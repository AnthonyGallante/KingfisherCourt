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D4366FC3-BDB2-491A-B89F-2E138138ED6E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<sst xmlns="http://schemas.openxmlformats.org/spreadsheetml/2006/main" count="1526" uniqueCount="1194">
  <si>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</si>
  <si>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</si>
  <si>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</si>
  <si>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</si>
  <si>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</si>
  <si>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</si>
  <si>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</si>
  <si>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</si>
  <si>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</si>
  <si>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</si>
  <si>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</si>
  <si>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</si>
  <si>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</si>
  <si>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</si>
  <si>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</si>
  <si>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</si>
  <si>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</si>
  <si>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</si>
  <si>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</si>
  <si>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</si>
  <si>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</si>
  <si>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</si>
  <si>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</si>
  <si>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</si>
  <si>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</si>
  <si>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</si>
  <si>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</si>
  <si>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</si>
  <si>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</si>
  <si>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</si>
  <si>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</si>
  <si>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</si>
  <si>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</si>
  <si>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</si>
  <si>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</si>
  <si>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</si>
  <si>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</si>
  <si>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</si>
  <si>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</si>
  <si>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</si>
  <si>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</si>
  <si>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</si>
  <si>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</si>
  <si>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</si>
  <si>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</si>
  <si>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</si>
  <si>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</si>
  <si>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</si>
  <si>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</si>
  <si>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</si>
  <si>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</si>
  <si>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</si>
  <si>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</si>
  <si>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</si>
  <si>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</si>
  <si>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</si>
  <si>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</si>
  <si>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</si>
  <si>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</si>
  <si>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</si>
  <si>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</si>
  <si>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</si>
  <si>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</si>
  <si>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</si>
  <si>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</si>
  <si>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</si>
  <si>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</si>
  <si>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</si>
  <si>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</si>
  <si>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</si>
  <si>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</si>
  <si>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</si>
  <si>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</si>
  <si>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</si>
  <si>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</si>
  <si>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</si>
  <si>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</si>
  <si>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</si>
  <si>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</si>
  <si>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</si>
  <si>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</si>
  <si>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</si>
  <si>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</si>
  <si>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</si>
  <si>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</si>
  <si>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</si>
  <si>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</si>
  <si>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</si>
  <si>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</si>
  <si>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</si>
  <si>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</si>
  <si>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</si>
  <si>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</si>
  <si>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</si>
  <si>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</si>
  <si>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</si>
  <si>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</si>
  <si>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</si>
  <si>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</si>
  <si>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</si>
  <si>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</si>
  <si>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</si>
  <si>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</si>
  <si>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</si>
  <si>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</si>
  <si>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</si>
  <si>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</si>
  <si>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</si>
  <si>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</si>
  <si>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</si>
  <si>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</si>
  <si>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</si>
  <si>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</si>
  <si>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</si>
  <si>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</si>
  <si>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</si>
  <si>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</si>
  <si>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</si>
  <si>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</si>
  <si>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</si>
  <si>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</si>
  <si>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</si>
  <si>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</si>
  <si>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</si>
  <si>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</si>
  <si>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</si>
  <si>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</si>
  <si>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</si>
  <si>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</si>
  <si>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</si>
  <si>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</si>
  <si>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</si>
  <si>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</si>
  <si>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</si>
  <si>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</si>
  <si>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</si>
  <si>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</si>
  <si>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</si>
  <si>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</si>
  <si>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</si>
  <si>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</si>
  <si>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</si>
  <si>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</si>
  <si>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</si>
  <si>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</si>
  <si>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</si>
  <si>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</si>
  <si>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</si>
  <si>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</si>
  <si>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</si>
  <si>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</si>
  <si>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</si>
  <si>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</si>
  <si>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</si>
  <si>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</si>
  <si>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</si>
  <si>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</si>
  <si>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</si>
  <si>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</si>
  <si>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</si>
  <si>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</si>
  <si>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</si>
  <si>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</si>
  <si>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</si>
  <si>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</si>
  <si>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</si>
  <si>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</si>
  <si>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</si>
  <si>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</si>
  <si>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</si>
  <si>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</si>
  <si>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</si>
  <si>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</si>
  <si>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</si>
  <si>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</si>
  <si>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</si>
  <si>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</si>
  <si>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</si>
  <si>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</si>
  <si>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</si>
  <si>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</si>
  <si>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</si>
  <si>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</si>
  <si>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</si>
  <si>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</si>
  <si>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</si>
  <si>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</si>
  <si>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</si>
  <si>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</si>
  <si>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</si>
  <si>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</si>
  <si>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</si>
  <si>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</si>
  <si>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</si>
  <si>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</si>
  <si>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</si>
  <si>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</si>
  <si>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</si>
  <si>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</si>
  <si>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</si>
  <si>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</si>
  <si>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</si>
  <si>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</si>
  <si>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</si>
  <si>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</si>
  <si>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</si>
  <si>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</si>
  <si>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</si>
  <si>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</si>
  <si>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</si>
  <si>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</si>
  <si>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</si>
  <si>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</si>
  <si>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</si>
  <si>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</si>
  <si>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</si>
  <si>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</si>
  <si>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</si>
  <si>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</si>
  <si>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</si>
  <si>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</si>
  <si>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</si>
  <si>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</si>
  <si>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</si>
  <si>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</si>
  <si>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</si>
  <si>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</si>
  <si>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</si>
  <si>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</si>
  <si>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</si>
  <si>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</si>
  <si>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</si>
  <si>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</si>
  <si>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</si>
  <si>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</si>
  <si>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</si>
  <si>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</si>
  <si>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</si>
  <si>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</si>
  <si>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</si>
  <si>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</si>
  <si>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</si>
  <si>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</si>
  <si>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</si>
  <si>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</si>
  <si>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</si>
  <si>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</si>
  <si>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</si>
  <si>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</si>
  <si>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</si>
  <si>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</si>
  <si>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</si>
  <si>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</si>
  <si>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</si>
  <si>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</si>
  <si>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</si>
  <si>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</si>
  <si>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</si>
  <si>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</si>
  <si>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</si>
  <si>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</si>
  <si>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</si>
  <si>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</si>
  <si>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</si>
  <si>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</si>
  <si>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</si>
  <si>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</si>
  <si>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</si>
  <si>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</si>
  <si>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</si>
  <si>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</si>
  <si>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</si>
  <si>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</si>
  <si>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</si>
  <si>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</si>
  <si>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</si>
  <si>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</si>
  <si>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</si>
  <si>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</si>
  <si>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</si>
  <si>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</si>
  <si>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</si>
  <si>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</si>
  <si>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</si>
  <si>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</si>
  <si>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</si>
  <si>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</si>
  <si>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</si>
  <si>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</si>
  <si>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</si>
  <si>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</si>
  <si>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</si>
  <si>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</si>
  <si>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</si>
  <si>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</si>
  <si>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</si>
  <si>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</si>
  <si>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</si>
  <si>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</si>
  <si>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</si>
  <si>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</si>
  <si>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</si>
  <si>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</si>
  <si>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</si>
  <si>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</si>
  <si>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</si>
  <si>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</si>
  <si>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</si>
  <si>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</si>
  <si>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</si>
  <si>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</si>
  <si>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</si>
  <si>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</si>
  <si>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</si>
  <si>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</si>
  <si>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</si>
  <si>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</si>
  <si>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</si>
  <si>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</si>
  <si>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</si>
  <si>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</si>
  <si>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</si>
  <si>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</si>
  <si>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</si>
  <si>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</si>
  <si>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</si>
  <si>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</si>
  <si>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</si>
  <si>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</si>
  <si>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</si>
  <si>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</si>
  <si>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</si>
  <si>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</si>
  <si>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</si>
  <si>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</si>
  <si>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</si>
  <si>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</si>
  <si>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</si>
  <si>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</si>
  <si>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</si>
  <si>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</si>
  <si>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</si>
  <si>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</si>
  <si>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</si>
  <si>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</si>
  <si>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</si>
  <si>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</si>
  <si>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</si>
  <si>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</si>
  <si>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</si>
  <si>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</si>
  <si>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</si>
  <si>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</si>
  <si>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</si>
  <si>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</si>
  <si>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</si>
  <si>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</si>
  <si>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</si>
  <si>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</si>
  <si>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</si>
  <si>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</si>
  <si>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</si>
  <si>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</si>
  <si>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</si>
  <si>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</si>
  <si>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</si>
  <si>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</si>
  <si>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</si>
  <si>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</si>
  <si>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</si>
  <si>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</si>
  <si>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</si>
  <si>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</si>
  <si>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</si>
  <si>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</si>
  <si>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</si>
  <si>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</si>
  <si>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</si>
  <si>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</si>
  <si>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</si>
  <si>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</si>
  <si>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</si>
  <si>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</si>
  <si>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</si>
  <si>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</si>
  <si>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</si>
  <si>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</si>
  <si>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</si>
  <si>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</si>
  <si>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</si>
  <si>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</si>
  <si>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</si>
  <si>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</si>
  <si>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</si>
  <si>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</si>
  <si>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</si>
  <si>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</si>
  <si>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</si>
  <si>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</si>
  <si>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</si>
  <si>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</si>
  <si>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</si>
  <si>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</si>
  <si>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</si>
  <si>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</si>
  <si>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</si>
  <si>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</si>
  <si>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</si>
  <si>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</si>
  <si>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</si>
  <si>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</si>
  <si>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</si>
  <si>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</si>
  <si>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</si>
  <si>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</si>
  <si>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</si>
  <si>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</si>
  <si>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</si>
  <si>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</si>
  <si>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</si>
  <si>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</si>
  <si>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</si>
  <si>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</si>
  <si>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</si>
  <si>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</si>
  <si>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</si>
  <si>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</si>
  <si>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</si>
  <si>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</si>
  <si>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</si>
  <si>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</si>
  <si>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</si>
  <si>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</si>
  <si>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</si>
  <si>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</si>
  <si>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</si>
  <si>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</si>
  <si>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</si>
  <si>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</si>
  <si>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</si>
  <si>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</si>
  <si>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</si>
  <si>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</si>
  <si>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</si>
  <si>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</si>
  <si>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</si>
  <si>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</si>
  <si>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</si>
  <si>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</si>
  <si>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</si>
  <si>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</si>
  <si>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</si>
  <si>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</si>
  <si>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</si>
  <si>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</si>
  <si>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</si>
  <si>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</si>
  <si>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</si>
  <si>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</si>
  <si>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</si>
  <si>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</si>
  <si>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</si>
  <si>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</si>
  <si>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</si>
  <si>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</si>
  <si>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</si>
  <si>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</si>
  <si>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</si>
  <si>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</si>
  <si>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</si>
  <si>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</si>
  <si>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</si>
  <si>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</si>
  <si>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</si>
  <si>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</si>
  <si>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</si>
  <si>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</si>
  <si>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</si>
  <si>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</si>
  <si>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</si>
  <si>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</si>
  <si>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</si>
  <si>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</si>
  <si>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</si>
  <si>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</si>
  <si>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</si>
  <si>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</si>
  <si>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</si>
  <si>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</si>
  <si>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</si>
  <si>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</si>
  <si>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</si>
  <si>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</si>
  <si>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</si>
  <si>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</si>
  <si>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</si>
  <si>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</si>
  <si>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</si>
  <si>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</si>
  <si>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</si>
  <si>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</si>
  <si>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</si>
  <si>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</si>
  <si>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</si>
  <si>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</si>
  <si>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</si>
  <si>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</si>
  <si>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</si>
  <si>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</si>
  <si>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</si>
  <si>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</si>
  <si>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</si>
  <si>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</si>
  <si>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</si>
  <si>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</si>
  <si>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</si>
  <si>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</si>
  <si>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</si>
  <si>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</si>
  <si>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</si>
  <si>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</si>
  <si>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</si>
  <si>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</si>
  <si>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</si>
  <si>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</si>
  <si>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</si>
  <si>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</si>
  <si>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</si>
  <si>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</si>
  <si>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</si>
  <si>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</si>
  <si>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</si>
  <si>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</si>
  <si>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</si>
  <si>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</si>
  <si>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</si>
  <si>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</si>
  <si>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</si>
  <si>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</si>
  <si>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</si>
  <si>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</si>
  <si>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</si>
  <si>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</si>
  <si>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</si>
  <si>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</si>
  <si>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</si>
  <si>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</si>
  <si>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</si>
  <si>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</si>
  <si>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</si>
  <si>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</si>
  <si>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</si>
  <si>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</si>
  <si>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</si>
  <si>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</si>
  <si>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</si>
  <si>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</si>
  <si>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</si>
  <si>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</si>
  <si>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</si>
  <si>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</si>
  <si>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</si>
  <si>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</si>
  <si>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</si>
  <si>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</si>
  <si>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</si>
  <si>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</si>
  <si>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</si>
  <si>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</si>
  <si>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</si>
  <si>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</si>
  <si>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</si>
  <si>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</si>
  <si>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</si>
  <si>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</si>
  <si>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</si>
  <si>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</si>
  <si>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</si>
  <si>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</si>
  <si>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</si>
  <si>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</si>
  <si>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</si>
  <si>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</si>
  <si>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</si>
  <si>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</si>
  <si>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</si>
  <si>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</si>
  <si>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</si>
  <si>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</si>
  <si>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</si>
  <si>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</si>
  <si>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</si>
  <si>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</si>
  <si>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</si>
  <si>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</si>
  <si>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</si>
  <si>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</si>
  <si>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</si>
  <si>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</si>
  <si>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</si>
  <si>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</si>
  <si>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</si>
  <si>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</si>
  <si>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</si>
  <si>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</si>
  <si>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</si>
  <si>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</si>
  <si>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</si>
  <si>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</si>
  <si>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</si>
  <si>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</si>
  <si>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</si>
  <si>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</si>
  <si>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</si>
  <si>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</si>
  <si>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</si>
  <si>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</si>
  <si>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</si>
  <si>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</si>
  <si>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</si>
  <si>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</si>
  <si>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</si>
  <si>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</si>
  <si>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</si>
  <si>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</si>
  <si>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</si>
  <si>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</si>
  <si>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</si>
  <si>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</si>
  <si>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</si>
  <si>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</si>
  <si>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</si>
  <si>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</si>
  <si>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</si>
  <si>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</si>
  <si>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</si>
  <si>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</si>
  <si>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</si>
  <si>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</si>
  <si>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</si>
  <si>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</si>
  <si>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</si>
  <si>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</si>
  <si>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</si>
  <si>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</si>
  <si>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</si>
  <si>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</si>
  <si>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</si>
  <si>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</si>
  <si>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</si>
  <si>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</si>
  <si>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</si>
  <si>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</si>
  <si>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</si>
  <si>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</si>
  <si>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</si>
  <si>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</si>
  <si>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</si>
  <si>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</si>
  <si>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</si>
  <si>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</si>
  <si>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</si>
  <si>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</si>
  <si>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</si>
  <si>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</si>
  <si>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</si>
  <si>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</si>
  <si>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</si>
  <si>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</si>
  <si>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</si>
  <si>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</si>
  <si>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</si>
  <si>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</si>
  <si>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</si>
  <si>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</si>
  <si>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</si>
  <si>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</si>
  <si>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</si>
  <si>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</si>
  <si>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</si>
  <si>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</si>
  <si>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</si>
  <si>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</si>
  <si>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</si>
  <si>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</si>
  <si>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</si>
  <si>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</si>
  <si>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</si>
  <si>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</si>
  <si>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</si>
  <si>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</si>
  <si>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</si>
  <si>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</si>
  <si>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</si>
  <si>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</si>
  <si>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</si>
  <si>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</si>
  <si>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</si>
  <si>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</si>
  <si>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</si>
  <si>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</si>
  <si>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</si>
  <si>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</si>
  <si>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</si>
  <si>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</si>
  <si>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</si>
  <si>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</si>
  <si>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</si>
  <si>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</si>
  <si>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</si>
  <si>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</si>
  <si>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</si>
  <si>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</si>
  <si>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</si>
  <si>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</si>
  <si>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</si>
  <si>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</si>
  <si>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</si>
  <si>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</si>
  <si>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</si>
  <si>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</si>
  <si>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</si>
  <si>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</si>
  <si>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</si>
  <si>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</si>
  <si>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</si>
  <si>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</si>
  <si>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</si>
  <si>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</si>
  <si>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</si>
  <si>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</si>
  <si>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</si>
  <si>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</si>
  <si>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</si>
  <si>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</si>
  <si>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</si>
  <si>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</si>
  <si>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</si>
  <si>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</si>
  <si>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</si>
  <si>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</si>
  <si>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</si>
  <si>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</si>
  <si>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</si>
  <si>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</si>
  <si>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</si>
  <si>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</si>
  <si>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</si>
  <si>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</si>
  <si>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</si>
  <si>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</si>
  <si>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</si>
  <si>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</si>
  <si>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</si>
  <si>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</si>
  <si>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</si>
  <si>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</si>
  <si>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</si>
  <si>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</si>
  <si>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</si>
  <si>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</si>
  <si>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</si>
  <si>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</si>
  <si>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</si>
  <si>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</si>
  <si>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</si>
  <si>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</si>
  <si>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</si>
  <si>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</si>
  <si>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</si>
  <si>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</si>
  <si>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</si>
  <si>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</si>
  <si>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</si>
  <si>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</si>
  <si>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</si>
  <si>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</si>
  <si>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</si>
  <si>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</si>
  <si>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</si>
  <si>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</si>
  <si>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</si>
  <si>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</si>
  <si>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</si>
  <si>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</si>
  <si>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</si>
  <si>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</si>
  <si>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</si>
  <si>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</si>
  <si>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</si>
  <si>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</si>
  <si>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</si>
  <si>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</si>
  <si>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</si>
  <si>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</si>
  <si>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</si>
  <si>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</si>
  <si>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</si>
  <si>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</si>
  <si>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</si>
  <si>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</si>
  <si>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</si>
  <si>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</si>
  <si>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</si>
  <si>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</si>
  <si>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</si>
  <si>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</si>
  <si>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</si>
  <si>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</si>
  <si>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</si>
  <si>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</si>
  <si>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</si>
  <si>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</si>
  <si>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</si>
  <si>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</si>
  <si>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</si>
  <si>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</si>
  <si>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</si>
  <si>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</si>
  <si>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</si>
  <si>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</si>
  <si>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</si>
  <si>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</si>
  <si>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</si>
  <si>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</si>
  <si>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</si>
  <si>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</si>
  <si>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</si>
  <si>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</si>
  <si>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</si>
  <si>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</si>
  <si>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</si>
  <si>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</si>
  <si>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</si>
  <si>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</si>
  <si>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</si>
  <si>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</si>
  <si>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</si>
  <si>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</si>
  <si>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</si>
  <si>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</si>
  <si>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</si>
  <si>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</si>
  <si>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</si>
  <si>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</si>
  <si>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</si>
  <si>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</si>
  <si>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</si>
  <si>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</si>
  <si>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</si>
  <si>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</si>
  <si>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</si>
  <si>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</si>
  <si>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</si>
  <si>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</si>
  <si>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</si>
  <si>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</si>
  <si>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</si>
  <si>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</si>
  <si>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</si>
  <si>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</si>
  <si>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</si>
  <si>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</si>
  <si>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</si>
  <si>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</si>
  <si>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</si>
  <si>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</si>
  <si>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</si>
  <si>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</si>
  <si>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</si>
  <si>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</si>
  <si>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</si>
  <si>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</si>
  <si>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</si>
  <si>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</si>
  <si>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</si>
  <si>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</si>
  <si>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</si>
  <si>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</si>
  <si>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</si>
  <si>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</si>
  <si>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</si>
  <si>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</si>
  <si>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</si>
  <si>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</si>
  <si>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</si>
  <si>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</si>
  <si>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</si>
  <si>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</si>
  <si>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</si>
  <si>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</si>
  <si>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</si>
  <si>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</si>
  <si>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</si>
  <si>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</si>
  <si>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</si>
  <si>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</si>
  <si>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</si>
  <si>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</si>
  <si>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</si>
  <si>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</si>
  <si>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</si>
  <si>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</si>
  <si>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</si>
  <si>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</si>
  <si>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</si>
  <si>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</si>
  <si>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</si>
  <si>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</si>
  <si>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</si>
  <si>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</si>
  <si>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</si>
  <si>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</si>
  <si>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</si>
  <si>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</si>
  <si>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</si>
  <si>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</si>
  <si>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</si>
  <si>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</si>
  <si>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</si>
  <si>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</si>
  <si>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</si>
  <si>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</si>
  <si>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</si>
  <si>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</si>
  <si>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</si>
  <si>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</si>
  <si>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</si>
  <si>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</si>
  <si>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</si>
  <si>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</si>
  <si>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</si>
  <si>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</si>
  <si>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</si>
  <si>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</si>
  <si>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</si>
  <si>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</si>
  <si>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</si>
  <si>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</si>
  <si>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</si>
  <si>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</si>
  <si>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</si>
  <si>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</si>
  <si>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</si>
  <si>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</si>
  <si>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</si>
  <si>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</si>
  <si>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</si>
  <si>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</si>
  <si>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</si>
  <si>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</si>
  <si>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</si>
  <si>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</si>
  <si>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</si>
  <si>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</si>
  <si>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</si>
  <si>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</si>
  <si>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</si>
  <si>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</si>
  <si>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</si>
  <si>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</si>
  <si>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</si>
  <si>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</si>
  <si>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</si>
  <si>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</si>
  <si>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</si>
  <si>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</si>
  <si>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</si>
  <si>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</si>
  <si>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</si>
  <si>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</si>
  <si>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</si>
  <si>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</si>
  <si>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</si>
  <si>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</si>
  <si>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</si>
  <si>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</si>
  <si>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</si>
  <si>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</si>
  <si>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</si>
  <si>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</si>
  <si>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</si>
  <si>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</si>
  <si>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</si>
  <si>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</si>
  <si>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</si>
  <si>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</si>
  <si>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</si>
  <si>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</si>
  <si>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</si>
  <si>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</si>
  <si>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</si>
  <si>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</si>
  <si>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</si>
  <si>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</si>
  <si>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</si>
  <si>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</si>
  <si>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</si>
  <si>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</si>
  <si>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</si>
  <si>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</si>
  <si>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</si>
  <si>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</si>
  <si>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</si>
  <si>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</si>
  <si>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</si>
  <si>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</si>
  <si>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</si>
  <si>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</si>
  <si>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</si>
  <si>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</si>
  <si>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</si>
  <si>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</si>
  <si>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</si>
  <si>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</si>
  <si>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</si>
  <si>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</si>
  <si>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</si>
  <si>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</si>
  <si>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</si>
  <si>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</si>
  <si>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</si>
  <si>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</si>
  <si>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</si>
  <si>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</si>
  <si>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</si>
  <si>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</si>
  <si>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</si>
  <si>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</si>
  <si>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</si>
  <si>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</si>
  <si>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</si>
  <si>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</si>
  <si>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</si>
  <si>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</si>
  <si>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</si>
  <si>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</si>
  <si>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</si>
  <si>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</si>
  <si>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</si>
  <si>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</si>
  <si>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</si>
  <si>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</si>
  <si>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</si>
  <si>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</si>
  <si>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</si>
  <si>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</si>
  <si>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</si>
  <si>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</si>
  <si>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</si>
  <si>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</si>
  <si>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</si>
  <si>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</si>
  <si>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</si>
  <si>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</si>
  <si>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</si>
  <si>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</si>
  <si>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</si>
  <si>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</si>
  <si>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</si>
  <si>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</si>
  <si>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</si>
  <si>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</si>
  <si>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</si>
  <si>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</si>
  <si>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</si>
  <si>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</si>
  <si>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</si>
  <si>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</si>
  <si>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</si>
  <si>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</si>
  <si>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</si>
  <si>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</si>
  <si>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</si>
  <si>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</si>
  <si>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</si>
  <si>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</si>
  <si>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</si>
  <si>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</si>
  <si>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</si>
  <si>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</si>
  <si>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</si>
  <si>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</si>
  <si>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</si>
  <si>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</si>
  <si>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</si>
  <si>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</si>
  <si>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</si>
  <si>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</si>
  <si>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</si>
  <si>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</si>
  <si>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</si>
  <si>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</si>
  <si>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</si>
  <si>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</si>
  <si>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</si>
  <si>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</si>
  <si>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</si>
  <si>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</si>
  <si>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</si>
  <si>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</si>
  <si>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</si>
  <si>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</si>
  <si>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</si>
  <si>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</si>
  <si>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</si>
  <si>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</si>
  <si>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</si>
  <si>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</si>
  <si>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</si>
  <si>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</si>
  <si>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</si>
  <si>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</si>
  <si>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</si>
  <si>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</si>
  <si>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</si>
  <si>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</si>
  <si>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</si>
  <si>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</si>
  <si>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</si>
  <si>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</si>
  <si>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</si>
  <si>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</si>
  <si>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</si>
  <si>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</si>
  <si>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</si>
  <si>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</si>
  <si>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</si>
  <si>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</si>
  <si>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</si>
  <si>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</si>
  <si>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</si>
  <si>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</si>
  <si>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</si>
  <si>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</si>
  <si>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</si>
  <si>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</si>
  <si>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</si>
  <si>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</si>
  <si>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</si>
  <si>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UPSET! Normal winner is Iowa</t>
  </si>
  <si>
    <t>Vanderbilt: 294 - 207 :McNeese State</t>
  </si>
  <si>
    <t>Nebraska: 417 - 84 :Troy</t>
  </si>
  <si>
    <t>UPSET! Normal winner is North Carolina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</si>
  <si>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</si>
  <si>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</si>
  <si>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</si>
  <si>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</si>
  <si>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</si>
  <si>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UPSET! Normal winner is Wisconsin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</si>
  <si>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</si>
  <si>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</si>
  <si>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</si>
  <si>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</si>
  <si>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</si>
  <si>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</si>
  <si>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</si>
  <si>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</si>
  <si>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</si>
  <si>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UPSET! Normal winner is Miami (OH)</t>
  </si>
  <si>
    <t>Virginia: 400 - 101 :Wright State</t>
  </si>
  <si>
    <t>UPSET! Normal winner is Kentucky</t>
  </si>
  <si>
    <t>Iowa State: 463 - 38 :Tennessee State</t>
  </si>
  <si>
    <t>Duke: 419 - 82 :TCU</t>
  </si>
  <si>
    <t>St. John's (NY): 205 - 296 :Kansas</t>
  </si>
  <si>
    <t>South Florida: 215 - 286 :Michigan State</t>
  </si>
  <si>
    <t>UPSET! Normal winner is Connecticut</t>
  </si>
  <si>
    <t>Florida: 487 - 14 :Clemson</t>
  </si>
  <si>
    <t>Vanderbilt: 197 - 304 :Nebraska</t>
  </si>
  <si>
    <t>Virginia Commonwealth: 89 - 412 :Illinois</t>
  </si>
  <si>
    <t>Saint Mary's (CA): 301 - 200 :Houston</t>
  </si>
  <si>
    <t>Arizona: 403 - 98 :Villanova</t>
  </si>
  <si>
    <t>High Point: 171 - 330 :Arkansas</t>
  </si>
  <si>
    <t>Brigham Young: 191 - 310 :Gonzaga</t>
  </si>
  <si>
    <t>Miami (FL): 235 - 266 :Purdue</t>
  </si>
  <si>
    <t>UPSET! Normal winner is Michigan</t>
  </si>
  <si>
    <t>Texas Tech: 345 - 156 :Alabama</t>
  </si>
  <si>
    <t>Tennessee: 253 - 248 :Virginia</t>
  </si>
  <si>
    <t>UPSET! Normal winner is Iowa State</t>
  </si>
  <si>
    <t>UPSET! Normal winner is Duke</t>
  </si>
  <si>
    <t>Michigan State: 271 - 230 :UCF</t>
  </si>
  <si>
    <t>Florida: 394 - 107 :Nebraska</t>
  </si>
  <si>
    <t>Illinois: 238 - 263 :Saint Mary's (CA)</t>
  </si>
  <si>
    <t>Arizona: 405 - 96 :Arkansas</t>
  </si>
  <si>
    <t>Gonzaga: 272 - 229 :Purdue</t>
  </si>
  <si>
    <t>Saint Louis: 65 - 436 :Texas Tech</t>
  </si>
  <si>
    <t>UPSET! Normal winner is Tennessee</t>
  </si>
  <si>
    <t>UPSET! Normal winner is Kansas</t>
  </si>
  <si>
    <t>Florida: 344 - 157 :Saint Mary's (CA)</t>
  </si>
  <si>
    <t>UPSET! Normal winner is Arizona</t>
  </si>
  <si>
    <t>Texas Tech: 454 - 47 :Santa Clara</t>
  </si>
  <si>
    <t>Michigan State: 64 - 437 :Florida</t>
  </si>
  <si>
    <t>Gonzaga: 165 - 336 :Texas Tech</t>
  </si>
  <si>
    <t>Florida: 265 - 236 :Texas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</si>
</sst>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Iowa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0.55000000000000004</v>
      </c>
      <c r="M14" s="83" t="e" vm="84">
        <f>_xlfn.XLOOKUP(I14,Teams!$C:$C,Teams!$E:$E,,0,1)</f>
        <v>#VALUE!</v>
      </c>
      <c r="N14" s="83">
        <v>0.45</v>
      </c>
      <c r="O14" s="192" t="str">
        <f t="shared" si="3"/>
        <v>Clemson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North Carolina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0.23</v>
      </c>
      <c r="M17" s="83" t="e" vm="90">
        <f>_xlfn.XLOOKUP(I17,Teams!$C:$C,Teams!$E:$E,,0,1)</f>
        <v>#VALUE!</v>
      </c>
      <c r="N17" s="83">
        <v>0.77</v>
      </c>
      <c r="O17" s="192" t="str">
        <f t="shared" si="3"/>
        <v>Virginia Commonwealth</v>
      </c>
      <c r="P17" s="207" t="e" vm="90">
        <f>_xlfn.XLOOKUP(O17,Teams!$C:$C,Teams!$E:$E,,0,1)</f>
        <v>#VALUE!</v>
      </c>
      <c r="Q17" s="226" t="s">
        <v>1143</v>
      </c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Wisconsin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0.49</v>
      </c>
      <c r="M23" s="82" t="e" vm="102">
        <f>_xlfn.XLOOKUP(I23,Teams!$C:$C,Teams!$E:$E,,0,1)</f>
        <v>#VALUE!</v>
      </c>
      <c r="N23" s="82">
        <v>0.51</v>
      </c>
      <c r="O23" s="189" t="str">
        <f t="shared" si="3"/>
        <v>High Point</v>
      </c>
      <c r="P23" s="204" t="e" vm="102">
        <f>_xlfn.XLOOKUP(O23,Teams!$C:$C,Teams!$E:$E,,0,1)</f>
        <v>#VALUE!</v>
      </c>
      <c r="Q23" s="223" t="s">
        <v>1149</v>
      </c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Miami (OH)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0.65</v>
      </c>
      <c r="M33" s="83" t="e" vm="122">
        <f>_xlfn.XLOOKUP(I33,Teams!$C:$C,Teams!$E:$E,,0,1)</f>
        <v>#VALUE!</v>
      </c>
      <c r="N33" s="83">
        <v>0.35</v>
      </c>
      <c r="O33" s="192" t="str">
        <f t="shared" si="3"/>
        <v>Tennessee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Kentucky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0.45</v>
      </c>
      <c r="M35" s="83" t="e" vm="126">
        <f>_xlfn.XLOOKUP(I35,Teams!$C:$C,Teams!$E:$E,,0,1)</f>
        <v>#VALUE!</v>
      </c>
      <c r="N35" s="83">
        <v>0.55000000000000004</v>
      </c>
      <c r="O35" s="192" t="str">
        <f t="shared" si="3"/>
        <v>Santa Clara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Connecticut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0.61</v>
      </c>
      <c r="M41" s="139" t="e" vm="79">
        <f>_xlfn.XLOOKUP(I41,Teams!$C:$C,Teams!$E:$E,,0,1)</f>
        <v>#VALUE!</v>
      </c>
      <c r="N41" s="139">
        <v>0.39</v>
      </c>
      <c r="O41" s="195" t="str">
        <f t="shared" si="9"/>
        <v>UCF</v>
      </c>
      <c r="P41" s="210" t="e" vm="78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Clemson</v>
      </c>
      <c r="C42" s="91" t="str">
        <f t="shared" si="7"/>
        <v>Clemson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80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0.97</v>
      </c>
      <c r="M42" s="145" t="e" vm="83">
        <f>_xlfn.XLOOKUP(I42,Teams!$C:$C,Teams!$E:$E,,0,1)</f>
        <v>#VALUE!</v>
      </c>
      <c r="N42" s="145">
        <v>0.03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Virginia Commonwealth</v>
      </c>
      <c r="B44" s="91" t="str">
        <f t="shared" si="11"/>
        <v>Illinois</v>
      </c>
      <c r="C44" s="91" t="str">
        <f t="shared" si="7"/>
        <v>Virginia Commonwealth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11</v>
      </c>
      <c r="G44" s="118" t="s">
        <v>1062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90">
        <f>_xlfn.XLOOKUP(G44,Teams!$C:$C,Teams!$E:$E,,0,1)</f>
        <v>#VALUE!</v>
      </c>
      <c r="L44" s="83">
        <v>0.18</v>
      </c>
      <c r="M44" s="83" t="e" vm="91">
        <f>_xlfn.XLOOKUP(I44,Teams!$C:$C,Teams!$E:$E,,0,1)</f>
        <v>#VALUE!</v>
      </c>
      <c r="N44" s="83">
        <v>0.82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High Point</v>
      </c>
      <c r="B47" s="152" t="str">
        <f t="shared" si="11"/>
        <v>Arkansas</v>
      </c>
      <c r="C47" s="152" t="str">
        <f t="shared" si="7"/>
        <v>High Point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140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2">
        <f>_xlfn.XLOOKUP(G47,Teams!$C:$C,Teams!$E:$E,,0,1)</f>
        <v>#VALUE!</v>
      </c>
      <c r="L47" s="82">
        <v>0.34</v>
      </c>
      <c r="M47" s="82" t="e" vm="103">
        <f>_xlfn.XLOOKUP(I47,Teams!$C:$C,Teams!$E:$E,,0,1)</f>
        <v>#VALUE!</v>
      </c>
      <c r="N47" s="82">
        <v>0.66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Michigan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0.24</v>
      </c>
      <c r="M50" s="145" t="e" vm="116">
        <f>_xlfn.XLOOKUP(I50,Teams!$C:$C,Teams!$E:$E,,0,1)</f>
        <v>#VALUE!</v>
      </c>
      <c r="N50" s="145">
        <v>0.76</v>
      </c>
      <c r="O50" s="196" t="str">
        <f t="shared" si="9"/>
        <v>Saint Louis</v>
      </c>
      <c r="P50" s="211" t="e" vm="116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Tennessee</v>
      </c>
      <c r="B52" s="91" t="str">
        <f t="shared" si="11"/>
        <v>Virginia</v>
      </c>
      <c r="C52" s="91" t="str">
        <f t="shared" si="7"/>
        <v>Tennessee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130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0.5</v>
      </c>
      <c r="M52" s="83" t="e" vm="123">
        <f>_xlfn.XLOOKUP(I52,Teams!$C:$C,Teams!$E:$E,,0,1)</f>
        <v>#VALUE!</v>
      </c>
      <c r="N52" s="83">
        <v>0.5</v>
      </c>
      <c r="O52" s="192" t="str">
        <f t="shared" si="9"/>
        <v>Virginia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Santa Clara</v>
      </c>
      <c r="B53" s="91" t="str">
        <f t="shared" si="11"/>
        <v>Iowa State</v>
      </c>
      <c r="C53" s="91" t="str">
        <f t="shared" si="7"/>
        <v>Iowa State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855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0.75</v>
      </c>
      <c r="M53" s="151" t="e" vm="127">
        <f>_xlfn.XLOOKUP(I53,Teams!$C:$C,Teams!$E:$E,,0,1)</f>
        <v>#VALUE!</v>
      </c>
      <c r="N53" s="151">
        <v>0.25</v>
      </c>
      <c r="O53" s="197" t="str">
        <f t="shared" si="9"/>
        <v>Santa Clara</v>
      </c>
      <c r="P53" s="212" t="e" vm="126">
        <f>_xlfn.XLOOKUP(O53,Teams!$C:$C,Teams!$E:$E,,0,1)</f>
        <v>#VALUE!</v>
      </c>
      <c r="Q53" s="227" t="s">
        <v>1178</v>
      </c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Duke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0.4</v>
      </c>
      <c r="M55" s="97" t="e" vm="71">
        <f>_xlfn.XLOOKUP(I55,Teams!$C:$C,Teams!$E:$E,,0,1)</f>
        <v>#VALUE!</v>
      </c>
      <c r="N55" s="97">
        <v>0.6</v>
      </c>
      <c r="O55" s="188" t="str">
        <f t="shared" ref="O55:O62" si="14">IF(L55&gt;N55,G55,I55)</f>
        <v>Kansas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UCF</v>
      </c>
      <c r="C56" s="91" t="str">
        <f t="shared" si="12"/>
        <v>UCF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1015</v>
      </c>
      <c r="J56" s="138" cm="1">
        <f t="array" ref="J56">_xlfn.XLOOKUP(I56,Teams[[#All],[Team]],Teams[[#All],[Seed]],0,0,1)</f>
        <v>10</v>
      </c>
      <c r="K56" s="139" t="e" vm="75">
        <f>_xlfn.XLOOKUP(G56,Teams!$C:$C,Teams!$E:$E,,0,1)</f>
        <v>#VALUE!</v>
      </c>
      <c r="L56" s="139">
        <v>0.54</v>
      </c>
      <c r="M56" s="139" t="e" vm="78">
        <f>_xlfn.XLOOKUP(I56,Teams!$C:$C,Teams!$E:$E,,0,1)</f>
        <v>#VALUE!</v>
      </c>
      <c r="N56" s="139">
        <v>0.46</v>
      </c>
      <c r="O56" s="195" t="str">
        <f t="shared" si="14"/>
        <v>Michigan State</v>
      </c>
      <c r="P56" s="210" t="e" vm="75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Saint Louis</v>
      </c>
      <c r="B61" s="91" t="str">
        <f t="shared" si="16"/>
        <v>Texas Tech</v>
      </c>
      <c r="C61" s="91" t="str">
        <f t="shared" si="12"/>
        <v>Saint Louis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9</v>
      </c>
      <c r="G61" s="142" t="s">
        <v>829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6">
        <f>_xlfn.XLOOKUP(G61,Teams!$C:$C,Teams!$E:$E,,0,1)</f>
        <v>#VALUE!</v>
      </c>
      <c r="L61" s="145">
        <v>0.13</v>
      </c>
      <c r="M61" s="145" t="e" vm="117">
        <f>_xlfn.XLOOKUP(I61,Teams!$C:$C,Teams!$E:$E,,0,1)</f>
        <v>#VALUE!</v>
      </c>
      <c r="N61" s="145">
        <v>0.87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Tennessee</v>
      </c>
      <c r="B62" s="91" t="str">
        <f t="shared" si="16"/>
        <v>Santa Clara</v>
      </c>
      <c r="C62" s="91" t="str">
        <f t="shared" si="12"/>
        <v>Tennessee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130</v>
      </c>
      <c r="H62" s="184" t="s">
        <v>9</v>
      </c>
      <c r="I62" s="149" t="s">
        <v>855</v>
      </c>
      <c r="J62" s="150" cm="1">
        <f t="array" ref="J62">_xlfn.XLOOKUP(I62,Teams[[#All],[Team]],Teams[[#All],[Seed]],0,0,1)</f>
        <v>10</v>
      </c>
      <c r="K62" s="151" t="e" vm="121">
        <f>_xlfn.XLOOKUP(G62,Teams!$C:$C,Teams!$E:$E,,0,1)</f>
        <v>#VALUE!</v>
      </c>
      <c r="L62" s="151">
        <v>0.36</v>
      </c>
      <c r="M62" s="151" t="e" vm="126">
        <f>_xlfn.XLOOKUP(I62,Teams!$C:$C,Teams!$E:$E,,0,1)</f>
        <v>#VALUE!</v>
      </c>
      <c r="N62" s="151">
        <v>0.64</v>
      </c>
      <c r="O62" s="197" t="str">
        <f t="shared" si="14"/>
        <v>Santa Clara</v>
      </c>
      <c r="P62" s="212" t="e" vm="126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Kansas</v>
      </c>
      <c r="B64" s="91" t="str">
        <f>I64</f>
        <v>Michigan State</v>
      </c>
      <c r="C64" s="91" t="str">
        <f>IF(O64="","",IF(A64=O64,B64,A64))</f>
        <v>Kansas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110</v>
      </c>
      <c r="H64" s="185" t="s">
        <v>9</v>
      </c>
      <c r="I64" s="156" t="s">
        <v>117</v>
      </c>
      <c r="J64" s="157" cm="1">
        <f t="array" ref="J64">_xlfn.XLOOKUP(I64,Teams[[#All],[Team]],Teams[[#All],[Seed]],0,0,1)</f>
        <v>3</v>
      </c>
      <c r="K64" s="158" t="e" vm="71">
        <f>_xlfn.XLOOKUP(G64,Teams!$C:$C,Teams!$E:$E,,0,1)</f>
        <v>#VALUE!</v>
      </c>
      <c r="L64" s="158">
        <v>0.32</v>
      </c>
      <c r="M64" s="158" t="e" vm="75">
        <f>_xlfn.XLOOKUP(I64,Teams!$C:$C,Teams!$E:$E,,0,1)</f>
        <v>#VALUE!</v>
      </c>
      <c r="N64" s="158">
        <v>0.68</v>
      </c>
      <c r="O64" s="198" t="str">
        <f>IF(L64&gt;N64,G64,I64)</f>
        <v>Michigan State</v>
      </c>
      <c r="P64" s="204" t="e" vm="7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Arizona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0.25</v>
      </c>
      <c r="M66" s="158" t="e" vm="107">
        <f>_xlfn.XLOOKUP(I66,Teams!$C:$C,Teams!$E:$E,,0,1)</f>
        <v>#VALUE!</v>
      </c>
      <c r="N66" s="158">
        <v>0.75</v>
      </c>
      <c r="O66" s="198" t="str">
        <f>IF(L66&gt;N66,G66,I66)</f>
        <v>Gonzaga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Santa Clara</v>
      </c>
      <c r="C67" s="91" t="str">
        <f>IF(O67="","",IF(A67=O67,B67,A67))</f>
        <v>Santa Clara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855</v>
      </c>
      <c r="J67" s="163" cm="1">
        <f t="array" ref="J67">_xlfn.XLOOKUP(I67,Teams[[#All],[Team]],Teams[[#All],[Seed]],0,0,1)</f>
        <v>10</v>
      </c>
      <c r="K67" s="164" t="e" vm="117">
        <f>_xlfn.XLOOKUP(G67,Teams!$C:$C,Teams!$E:$E,,0,1)</f>
        <v>#VALUE!</v>
      </c>
      <c r="L67" s="164">
        <v>0.91</v>
      </c>
      <c r="M67" s="164" t="e" vm="126">
        <f>_xlfn.XLOOKUP(I67,Teams!$C:$C,Teams!$E:$E,,0,1)</f>
        <v>#VALUE!</v>
      </c>
      <c r="N67" s="164">
        <v>0.09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Michigan State</v>
      </c>
      <c r="B69" s="91" t="str">
        <f>I69</f>
        <v>Florida</v>
      </c>
      <c r="C69" s="91" t="str">
        <f>IF(O69="","",IF(A69=O69,B69,A69))</f>
        <v>Michigan State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3</v>
      </c>
      <c r="G69" s="167" t="s">
        <v>117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5">
        <f>_xlfn.XLOOKUP(G69,Teams!$C:$C,Teams!$E:$E,,0,1)</f>
        <v>#VALUE!</v>
      </c>
      <c r="L69" s="170">
        <v>0.13</v>
      </c>
      <c r="M69" s="170" t="e" vm="81">
        <f>_xlfn.XLOOKUP(I69,Teams!$C:$C,Teams!$E:$E,,0,1)</f>
        <v>#VALUE!</v>
      </c>
      <c r="N69" s="170">
        <v>0.87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Gonzaga</v>
      </c>
      <c r="B70" s="91" t="str">
        <f>I70</f>
        <v>Texas Tech</v>
      </c>
      <c r="C70" s="91" t="str">
        <f>IF(O70="","",IF(A70=O70,B70,A70))</f>
        <v>Gonzaga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135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107">
        <f>_xlfn.XLOOKUP(G70,Teams!$C:$C,Teams!$E:$E,,0,1)</f>
        <v>#VALUE!</v>
      </c>
      <c r="L70" s="164">
        <v>0.33</v>
      </c>
      <c r="M70" s="164" t="e" vm="117">
        <f>_xlfn.XLOOKUP(I70,Teams!$C:$C,Teams!$E:$E,,0,1)</f>
        <v>#VALUE!</v>
      </c>
      <c r="N70" s="164">
        <v>0.67</v>
      </c>
      <c r="O70" s="199" t="str">
        <f>IF(L70&gt;N70,G70,I70)</f>
        <v>Texas Tech</v>
      </c>
      <c r="P70" s="213" t="e" vm="11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Texas Tech</v>
      </c>
      <c r="C72" s="91" t="str">
        <f>IF(O72="","",IF(A72=O72,B72,A72))</f>
        <v>Texas Tech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106</v>
      </c>
      <c r="J72" s="157" cm="1">
        <f t="array" ref="J72">_xlfn.XLOOKUP(I72,Teams[[#All],[Team]],Teams[[#All],[Seed]],0,0,1)</f>
        <v>5</v>
      </c>
      <c r="K72" s="158" t="e" vm="81">
        <f>_xlfn.XLOOKUP(G72,Teams!$C:$C,Teams!$E:$E,,0,1)</f>
        <v>#VALUE!</v>
      </c>
      <c r="L72" s="158">
        <v>0.53</v>
      </c>
      <c r="M72" s="158" t="e" vm="117">
        <f>_xlfn.XLOOKUP(I72,Teams!$C:$C,Teams!$E:$E,,0,1)</f>
        <v>#VALUE!</v>
      </c>
      <c r="N72" s="158">
        <v>0.47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0.8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0.81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0.2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Kansas</v>
      </c>
      <c r="M11" s="247" t="e" vm="71">
        <f>_xlfn.XLOOKUP(L11,Teams!$C:$C,Teams!$E:$E,,0,1)</f>
        <v>#VALUE!</v>
      </c>
      <c r="N11" s="264">
        <f>Games!L64</f>
        <v>0.32</v>
      </c>
      <c r="O11" s="25"/>
      <c r="P11" s="25"/>
      <c r="R11" s="25"/>
      <c r="S11" s="25"/>
      <c r="T11" s="251" t="e" vm="81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0.25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0.34</v>
      </c>
      <c r="AI13" s="249" t="e" vm="102">
        <f>_xlfn.XLOOKUP(AJ13,Teams!$C:$C,Teams!$E:$E,,0,1)</f>
        <v>#VALUE!</v>
      </c>
      <c r="AJ13" s="262" t="str">
        <f>Games!O23</f>
        <v>High Point</v>
      </c>
      <c r="AK13" s="58">
        <f>Games!L23</f>
        <v>0.49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0.6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0.19</v>
      </c>
      <c r="AF15" s="249" t="e" vm="103">
        <f>_xlfn.XLOOKUP(AG15,Teams!$C:$C,Teams!$E:$E,,0,1)</f>
        <v>#VALUE!</v>
      </c>
      <c r="AG15" s="262" t="str">
        <f>Games!O47</f>
        <v>Arkansas</v>
      </c>
      <c r="AH15" s="55"/>
      <c r="AI15" s="51"/>
      <c r="AJ15" s="282">
        <f>IF($AU$5=TRUE,AJ7+1,"")</f>
        <v>42</v>
      </c>
      <c r="AK15" s="59">
        <f>Games!N23</f>
        <v>0.51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0.66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Michigan State</v>
      </c>
      <c r="P19" s="247" t="e" vm="75">
        <f>_xlfn.XLOOKUP(O19,Teams!$C:$C,Teams!$E:$E,,0,1)</f>
        <v>#VALUE!</v>
      </c>
      <c r="Q19" s="264">
        <f>Games!L69</f>
        <v>0.13</v>
      </c>
      <c r="R19" s="25"/>
      <c r="S19" s="25"/>
      <c r="T19" s="257"/>
      <c r="U19" s="258"/>
      <c r="V19" s="259"/>
      <c r="W19" s="25"/>
      <c r="X19" s="25"/>
      <c r="Y19" s="264">
        <f>Games!L70</f>
        <v>0.33</v>
      </c>
      <c r="Z19" s="249" t="e" vm="107">
        <f>_xlfn.XLOOKUP(AA19,Teams!$C:$C,Teams!$E:$E,,0,1)</f>
        <v>#VALUE!</v>
      </c>
      <c r="AA19" s="262" t="str">
        <f>Games!O66</f>
        <v>Gonzaga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0.54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0.54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Michigan State</v>
      </c>
      <c r="M27" s="247" t="e" vm="75">
        <f>_xlfn.XLOOKUP(L27,Teams!$C:$C,Teams!$E:$E,,0,1)</f>
        <v>#VALUE!</v>
      </c>
      <c r="N27" s="277">
        <f>Games!N64</f>
        <v>0.68</v>
      </c>
      <c r="O27" s="25"/>
      <c r="P27" s="25"/>
      <c r="Q27" s="50"/>
      <c r="R27" s="279" t="str">
        <f>Games!O69</f>
        <v>Florida</v>
      </c>
      <c r="S27" s="262"/>
      <c r="T27" s="262"/>
      <c r="U27" s="289" t="e" vm="81">
        <f>_xlfn.XLOOKUP(R27,Teams!$C:$C,Teams!$E:$E,,0,1)</f>
        <v>#VALUE!</v>
      </c>
      <c r="V27" s="267">
        <f>Games!L72</f>
        <v>0.53</v>
      </c>
      <c r="W27" s="24"/>
      <c r="X27" s="25"/>
      <c r="Y27" s="56"/>
      <c r="AA27" s="25"/>
      <c r="AB27" s="269">
        <f>Games!N66</f>
        <v>0.75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0.61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UCF</v>
      </c>
      <c r="J31" s="247" t="e" vm="78">
        <f>_xlfn.XLOOKUP(I31,Teams!$C:$C,Teams!$E:$E,,0,1)</f>
        <v>#VALUE!</v>
      </c>
      <c r="K31" s="277">
        <f>Games!N56</f>
        <v>0.46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0.46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Florida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0.39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0.97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0.24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0.47</v>
      </c>
      <c r="U39" s="293" t="e" vm="117">
        <f>_xlfn.XLOOKUP(V39,Teams!$C:$C,Teams!$E:$E,,0,1)</f>
        <v>#VALUE!</v>
      </c>
      <c r="V39" s="262" t="str">
        <f>Games!O70</f>
        <v>Texas Tech</v>
      </c>
      <c r="W39" s="262"/>
      <c r="X39" s="295"/>
      <c r="Y39" s="56"/>
      <c r="AA39" s="25"/>
      <c r="AD39" s="25"/>
      <c r="AE39" s="269">
        <f>Games!L61</f>
        <v>0.13</v>
      </c>
      <c r="AF39" s="249" t="e" vm="116">
        <f>_xlfn.XLOOKUP(AG39,Teams!$C:$C,Teams!$E:$E,,0,1)</f>
        <v>#VALUE!</v>
      </c>
      <c r="AG39" s="262" t="str">
        <f>Games!O50</f>
        <v>Saint Louis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0.55000000000000004</v>
      </c>
      <c r="F41" s="262" t="str">
        <f>Games!O14</f>
        <v>Clemson</v>
      </c>
      <c r="G41" s="247" t="e" vm="83">
        <f>_xlfn.XLOOKUP(F41,Teams!$C:$C,Teams!$E:$E,,0,1)</f>
        <v>#VALUE!</v>
      </c>
      <c r="H41" s="277">
        <f>Games!N42</f>
        <v>0.03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0.76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0.45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0.91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0.87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0.87</v>
      </c>
      <c r="R51" s="25"/>
      <c r="S51" s="25"/>
      <c r="T51" s="25"/>
      <c r="U51" s="75"/>
      <c r="V51" s="25"/>
      <c r="W51" s="25"/>
      <c r="X51" s="25"/>
      <c r="Y51" s="269">
        <f>Games!N70</f>
        <v>0.67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0.23</v>
      </c>
      <c r="F53" s="262" t="str">
        <f>Games!O17</f>
        <v>Virginia Commonwealth</v>
      </c>
      <c r="G53" s="247" t="e" vm="90">
        <f>_xlfn.XLOOKUP(F53,Teams!$C:$C,Teams!$E:$E,,0,1)</f>
        <v>#VALUE!</v>
      </c>
      <c r="H53" s="264">
        <f>Games!L44</f>
        <v>0.18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0.5</v>
      </c>
      <c r="AI53" s="249" t="e" vm="121">
        <f>_xlfn.XLOOKUP(AJ53,Teams!$C:$C,Teams!$E:$E,,0,1)</f>
        <v>#VALUE!</v>
      </c>
      <c r="AJ53" s="262" t="str">
        <f>Games!O33</f>
        <v>Tennessee</v>
      </c>
      <c r="AK53" s="58">
        <f>Games!L33</f>
        <v>0.65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0.77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0.36</v>
      </c>
      <c r="AF55" s="249" t="e" vm="123">
        <f>_xlfn.XLOOKUP(AG55,Teams!$C:$C,Teams!$E:$E,,0,1)</f>
        <v>#VALUE!</v>
      </c>
      <c r="AG55" s="262" t="str">
        <f>Games!O52</f>
        <v>Virginia</v>
      </c>
      <c r="AH55" s="55"/>
      <c r="AI55" s="51"/>
      <c r="AJ55" s="282">
        <f>IF($AU$5=TRUE,AJ47+1,"")</f>
        <v>47</v>
      </c>
      <c r="AK55" s="59">
        <f>Games!N33</f>
        <v>0.35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0.82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Saint Mary's (CA)</v>
      </c>
      <c r="M59" s="247" t="e" vm="93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0.09</v>
      </c>
      <c r="AC59" s="249" t="e" vm="126">
        <f>_xlfn.XLOOKUP(AD59,Teams!$C:$C,Teams!$E:$E,,0,1)</f>
        <v>#VALUE!</v>
      </c>
      <c r="AD59" s="262" t="str">
        <f>Games!O62</f>
        <v>Santa Clara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0.75</v>
      </c>
      <c r="AI61" s="249" t="e" vm="126">
        <f>_xlfn.XLOOKUP(AJ61,Teams!$C:$C,Teams!$E:$E,,0,1)</f>
        <v>#VALUE!</v>
      </c>
      <c r="AJ61" s="262" t="str">
        <f>Games!O35</f>
        <v>Santa Clara</v>
      </c>
      <c r="AK61" s="58">
        <f>Games!L35</f>
        <v>0.45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0.64</v>
      </c>
      <c r="AF63" s="249" t="e" vm="126">
        <f>_xlfn.XLOOKUP(AG63,Teams!$C:$C,Teams!$E:$E,,0,1)</f>
        <v>#VALUE!</v>
      </c>
      <c r="AG63" s="262" t="str">
        <f>Games!O53</f>
        <v>Santa Clara</v>
      </c>
      <c r="AH63" s="55"/>
      <c r="AI63" s="51"/>
      <c r="AJ63" s="282">
        <f>IF($AU$5=TRUE,AJ55+1,"")</f>
        <v>48</v>
      </c>
      <c r="AK63" s="59">
        <f>Games!N35</f>
        <v>0.55000000000000004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0.25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