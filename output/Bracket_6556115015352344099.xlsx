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1B9C38DF-1922-48E9-8D80-C9C85BC67DE5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<sst xmlns="http://schemas.openxmlformats.org/spreadsheetml/2006/main" count="1526" uniqueCount="1194">
  <si>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</si>
  <si>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</si>
  <si>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</si>
  <si>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</si>
  <si>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</si>
  <si>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</si>
  <si>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</si>
  <si>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</si>
  <si>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</si>
  <si>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</si>
  <si>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</si>
  <si>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</si>
  <si>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</si>
  <si>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</si>
  <si>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</si>
  <si>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</si>
  <si>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</si>
  <si>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</si>
  <si>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</si>
  <si>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</si>
  <si>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</si>
  <si>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</si>
  <si>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</si>
  <si>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</si>
  <si>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</si>
  <si>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</si>
  <si>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</si>
  <si>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</si>
  <si>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</si>
  <si>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</si>
  <si>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</si>
  <si>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</si>
  <si>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</si>
  <si>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</si>
  <si>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</si>
  <si>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</si>
  <si>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</si>
  <si>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</si>
  <si>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</si>
  <si>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</si>
  <si>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</si>
  <si>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</si>
  <si>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</si>
  <si>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</si>
  <si>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</si>
  <si>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</si>
  <si>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</si>
  <si>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</si>
  <si>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</si>
  <si>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</si>
  <si>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</si>
  <si>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</si>
  <si>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</si>
  <si>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</si>
  <si>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</si>
  <si>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</si>
  <si>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</si>
  <si>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</si>
  <si>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</si>
  <si>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</si>
  <si>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</si>
  <si>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</si>
  <si>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</si>
  <si>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</si>
  <si>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</si>
  <si>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</si>
  <si>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</si>
  <si>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</si>
  <si>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</si>
  <si>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</si>
  <si>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</si>
  <si>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</si>
  <si>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</si>
  <si>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</si>
  <si>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</si>
  <si>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</si>
  <si>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</si>
  <si>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</si>
  <si>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</si>
  <si>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</si>
  <si>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</si>
  <si>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</si>
  <si>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</si>
  <si>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</si>
  <si>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</si>
  <si>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</si>
  <si>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</si>
  <si>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</si>
  <si>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</si>
  <si>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</si>
  <si>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</si>
  <si>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</si>
  <si>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</si>
  <si>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</si>
  <si>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</si>
  <si>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</si>
  <si>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</si>
  <si>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</si>
  <si>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</si>
  <si>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</si>
  <si>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</si>
  <si>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</si>
  <si>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</si>
  <si>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</si>
  <si>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</si>
  <si>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</si>
  <si>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</si>
  <si>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</si>
  <si>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</si>
  <si>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</si>
  <si>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</si>
  <si>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</si>
  <si>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</si>
  <si>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</si>
  <si>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</si>
  <si>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</si>
  <si>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</si>
  <si>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</si>
  <si>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</si>
  <si>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</si>
  <si>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</si>
  <si>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</si>
  <si>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</si>
  <si>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</si>
  <si>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</si>
  <si>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</si>
  <si>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</si>
  <si>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</si>
  <si>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</si>
  <si>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</si>
  <si>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</si>
  <si>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</si>
  <si>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</si>
  <si>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</si>
  <si>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</si>
  <si>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</si>
  <si>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</si>
  <si>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</si>
  <si>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</si>
  <si>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</si>
  <si>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</si>
  <si>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</si>
  <si>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</si>
  <si>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</si>
  <si>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</si>
  <si>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</si>
  <si>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</si>
  <si>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</si>
  <si>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</si>
  <si>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</si>
  <si>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</si>
  <si>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</si>
  <si>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</si>
  <si>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</si>
  <si>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</si>
  <si>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</si>
  <si>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</si>
  <si>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</si>
  <si>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</si>
  <si>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</si>
  <si>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</si>
  <si>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</si>
  <si>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</si>
  <si>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</si>
  <si>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</si>
  <si>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</si>
  <si>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</si>
  <si>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</si>
  <si>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</si>
  <si>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</si>
  <si>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</si>
  <si>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</si>
  <si>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</si>
  <si>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</si>
  <si>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</si>
  <si>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</si>
  <si>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</si>
  <si>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</si>
  <si>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</si>
  <si>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</si>
  <si>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</si>
  <si>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</si>
  <si>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</si>
  <si>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</si>
  <si>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</si>
  <si>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</si>
  <si>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</si>
  <si>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</si>
  <si>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</si>
  <si>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</si>
  <si>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</si>
  <si>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</si>
  <si>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</si>
  <si>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</si>
  <si>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</si>
  <si>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</si>
  <si>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</si>
  <si>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</si>
  <si>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</si>
  <si>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</si>
  <si>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</si>
  <si>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</si>
  <si>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</si>
  <si>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</si>
  <si>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</si>
  <si>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</si>
  <si>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</si>
  <si>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</si>
  <si>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</si>
  <si>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</si>
  <si>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</si>
  <si>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</si>
  <si>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</si>
  <si>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</si>
  <si>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</si>
  <si>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</si>
  <si>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</si>
  <si>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</si>
  <si>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</si>
  <si>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</si>
  <si>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</si>
  <si>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</si>
  <si>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</si>
  <si>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</si>
  <si>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</si>
  <si>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</si>
  <si>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</si>
  <si>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</si>
  <si>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</si>
  <si>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</si>
  <si>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</si>
  <si>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</si>
  <si>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</si>
  <si>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</si>
  <si>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</si>
  <si>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</si>
  <si>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</si>
  <si>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</si>
  <si>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</si>
  <si>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</si>
  <si>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</si>
  <si>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</si>
  <si>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</si>
  <si>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</si>
  <si>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</si>
  <si>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</si>
  <si>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</si>
  <si>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</si>
  <si>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</si>
  <si>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</si>
  <si>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</si>
  <si>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</si>
  <si>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</si>
  <si>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</si>
  <si>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</si>
  <si>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</si>
  <si>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</si>
  <si>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</si>
  <si>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</si>
  <si>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</si>
  <si>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</si>
  <si>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</si>
  <si>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</si>
  <si>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</si>
  <si>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</si>
  <si>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</si>
  <si>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</si>
  <si>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</si>
  <si>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</si>
  <si>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</si>
  <si>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</si>
  <si>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</si>
  <si>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</si>
  <si>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</si>
  <si>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</si>
  <si>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</si>
  <si>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</si>
  <si>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</si>
  <si>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</si>
  <si>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</si>
  <si>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</si>
  <si>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</si>
  <si>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</si>
  <si>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</si>
  <si>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</si>
  <si>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</si>
  <si>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</si>
  <si>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</si>
  <si>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</si>
  <si>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</si>
  <si>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</si>
  <si>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</si>
  <si>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</si>
  <si>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</si>
  <si>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</si>
  <si>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</si>
  <si>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</si>
  <si>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</si>
  <si>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</si>
  <si>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</si>
  <si>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</si>
  <si>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</si>
  <si>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</si>
  <si>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</si>
  <si>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</si>
  <si>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</si>
  <si>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</si>
  <si>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</si>
  <si>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</si>
  <si>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</si>
  <si>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</si>
  <si>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</si>
  <si>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</si>
  <si>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</si>
  <si>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</si>
  <si>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</si>
  <si>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</si>
  <si>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</si>
  <si>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</si>
  <si>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</si>
  <si>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</si>
  <si>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</si>
  <si>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</si>
  <si>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</si>
  <si>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</si>
  <si>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</si>
  <si>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</si>
  <si>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</si>
  <si>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</si>
  <si>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</si>
  <si>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</si>
  <si>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</si>
  <si>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</si>
  <si>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</si>
  <si>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</si>
  <si>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</si>
  <si>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</si>
  <si>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</si>
  <si>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</si>
  <si>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</si>
  <si>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</si>
  <si>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</si>
  <si>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</si>
  <si>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</si>
  <si>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</si>
  <si>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</si>
  <si>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</si>
  <si>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</si>
  <si>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</si>
  <si>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</si>
  <si>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</si>
  <si>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</si>
  <si>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</si>
  <si>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</si>
  <si>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</si>
  <si>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</si>
  <si>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</si>
  <si>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</si>
  <si>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</si>
  <si>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</si>
  <si>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</si>
  <si>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</si>
  <si>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</si>
  <si>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</si>
  <si>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</si>
  <si>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</si>
  <si>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</si>
  <si>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</si>
  <si>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</si>
  <si>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</si>
  <si>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</si>
  <si>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</si>
  <si>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</si>
  <si>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</si>
  <si>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</si>
  <si>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</si>
  <si>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</si>
  <si>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</si>
  <si>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</si>
  <si>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</si>
  <si>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</si>
  <si>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</si>
  <si>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</si>
  <si>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</si>
  <si>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</si>
  <si>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</si>
  <si>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</si>
  <si>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</si>
  <si>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</si>
  <si>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</si>
  <si>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</si>
  <si>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</si>
  <si>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</si>
  <si>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</si>
  <si>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</si>
  <si>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</si>
  <si>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</si>
  <si>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</si>
  <si>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</si>
  <si>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</si>
  <si>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</si>
  <si>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</si>
  <si>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</si>
  <si>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</si>
  <si>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</si>
  <si>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</si>
  <si>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</si>
  <si>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</si>
  <si>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</si>
  <si>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</si>
  <si>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</si>
  <si>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</si>
  <si>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</si>
  <si>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</si>
  <si>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</si>
  <si>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</si>
  <si>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</si>
  <si>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</si>
  <si>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</si>
  <si>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</si>
  <si>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</si>
  <si>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</si>
  <si>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</si>
  <si>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</si>
  <si>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</si>
  <si>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</si>
  <si>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</si>
  <si>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</si>
  <si>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</si>
  <si>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</si>
  <si>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</si>
  <si>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</si>
  <si>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</si>
  <si>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</si>
  <si>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</si>
  <si>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</si>
  <si>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</si>
  <si>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</si>
  <si>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</si>
  <si>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</si>
  <si>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</si>
  <si>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</si>
  <si>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</si>
  <si>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</si>
  <si>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</si>
  <si>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</si>
  <si>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</si>
  <si>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</si>
  <si>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</si>
  <si>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</si>
  <si>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</si>
  <si>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</si>
  <si>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</si>
  <si>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</si>
  <si>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</si>
  <si>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</si>
  <si>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</si>
  <si>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</si>
  <si>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</si>
  <si>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</si>
  <si>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</si>
  <si>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</si>
  <si>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</si>
  <si>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</si>
  <si>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</si>
  <si>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</si>
  <si>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</si>
  <si>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</si>
  <si>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</si>
  <si>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</si>
  <si>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</si>
  <si>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</si>
  <si>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</si>
  <si>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</si>
  <si>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</si>
  <si>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</si>
  <si>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</si>
  <si>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</si>
  <si>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</si>
  <si>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</si>
  <si>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</si>
  <si>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</si>
  <si>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</si>
  <si>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</si>
  <si>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</si>
  <si>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</si>
  <si>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</si>
  <si>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</si>
  <si>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</si>
  <si>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</si>
  <si>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</si>
  <si>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</si>
  <si>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</si>
  <si>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</si>
  <si>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</si>
  <si>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</si>
  <si>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</si>
  <si>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</si>
  <si>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</si>
  <si>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</si>
  <si>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</si>
  <si>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</si>
  <si>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</si>
  <si>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</si>
  <si>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</si>
  <si>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</si>
  <si>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</si>
  <si>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</si>
  <si>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</si>
  <si>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</si>
  <si>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</si>
  <si>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</si>
  <si>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</si>
  <si>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</si>
  <si>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</si>
  <si>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</si>
  <si>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</si>
  <si>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</si>
  <si>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</si>
  <si>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</si>
  <si>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</si>
  <si>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</si>
  <si>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</si>
  <si>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</si>
  <si>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</si>
  <si>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</si>
  <si>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</si>
  <si>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</si>
  <si>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</si>
  <si>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</si>
  <si>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</si>
  <si>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</si>
  <si>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</si>
  <si>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</si>
  <si>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</si>
  <si>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</si>
  <si>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</si>
  <si>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</si>
  <si>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</si>
  <si>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</si>
  <si>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</si>
  <si>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</si>
  <si>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</si>
  <si>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</si>
  <si>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</si>
  <si>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</si>
  <si>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</si>
  <si>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</si>
  <si>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</si>
  <si>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</si>
  <si>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</si>
  <si>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</si>
  <si>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</si>
  <si>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</si>
  <si>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</si>
  <si>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</si>
  <si>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</si>
  <si>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</si>
  <si>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</si>
  <si>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</si>
  <si>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</si>
  <si>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</si>
  <si>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</si>
  <si>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</si>
  <si>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</si>
  <si>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</si>
  <si>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</si>
  <si>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</si>
  <si>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</si>
  <si>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</si>
  <si>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</si>
  <si>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</si>
  <si>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</si>
  <si>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</si>
  <si>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</si>
  <si>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</si>
  <si>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</si>
  <si>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</si>
  <si>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</si>
  <si>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</si>
  <si>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</si>
  <si>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</si>
  <si>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</si>
  <si>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</si>
  <si>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</si>
  <si>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</si>
  <si>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</si>
  <si>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</si>
  <si>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</si>
  <si>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</si>
  <si>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</si>
  <si>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</si>
  <si>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</si>
  <si>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</si>
  <si>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</si>
  <si>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</si>
  <si>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</si>
  <si>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</si>
  <si>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</si>
  <si>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</si>
  <si>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</si>
  <si>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</si>
  <si>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</si>
  <si>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</si>
  <si>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</si>
  <si>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</si>
  <si>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</si>
  <si>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</si>
  <si>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</si>
  <si>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</si>
  <si>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</si>
  <si>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</si>
  <si>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</si>
  <si>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</si>
  <si>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</si>
  <si>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</si>
  <si>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</si>
  <si>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</si>
  <si>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</si>
  <si>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</si>
  <si>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</si>
  <si>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</si>
  <si>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</si>
  <si>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</si>
  <si>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</si>
  <si>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</si>
  <si>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</si>
  <si>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</si>
  <si>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</si>
  <si>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</si>
  <si>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</si>
  <si>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</si>
  <si>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</si>
  <si>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</si>
  <si>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</si>
  <si>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</si>
  <si>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</si>
  <si>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</si>
  <si>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</si>
  <si>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</si>
  <si>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</si>
  <si>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</si>
  <si>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</si>
  <si>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</si>
  <si>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</si>
  <si>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</si>
  <si>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</si>
  <si>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</si>
  <si>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</si>
  <si>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</si>
  <si>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</si>
  <si>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</si>
  <si>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</si>
  <si>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</si>
  <si>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</si>
  <si>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</si>
  <si>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</si>
  <si>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</si>
  <si>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</si>
  <si>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</si>
  <si>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</si>
  <si>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</si>
  <si>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</si>
  <si>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</si>
  <si>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</si>
  <si>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</si>
  <si>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</si>
  <si>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</si>
  <si>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</si>
  <si>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</si>
  <si>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</si>
  <si>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</si>
  <si>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</si>
  <si>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</si>
  <si>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</si>
  <si>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</si>
  <si>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</si>
  <si>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</si>
  <si>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</si>
  <si>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</si>
  <si>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</si>
  <si>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</si>
  <si>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</si>
  <si>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</si>
  <si>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</si>
  <si>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</si>
  <si>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</si>
  <si>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</si>
  <si>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</si>
  <si>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</si>
  <si>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</si>
  <si>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</si>
  <si>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</si>
  <si>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</si>
  <si>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</si>
  <si>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</si>
  <si>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</si>
  <si>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</si>
  <si>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</si>
  <si>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</si>
  <si>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</si>
  <si>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</si>
  <si>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</si>
  <si>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</si>
  <si>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</si>
  <si>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</si>
  <si>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</si>
  <si>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</si>
  <si>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</si>
  <si>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</si>
  <si>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</si>
  <si>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</si>
  <si>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</si>
  <si>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</si>
  <si>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</si>
  <si>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</si>
  <si>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</si>
  <si>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</si>
  <si>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</si>
  <si>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</si>
  <si>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</si>
  <si>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</si>
  <si>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</si>
  <si>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</si>
  <si>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</si>
  <si>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</si>
  <si>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</si>
  <si>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</si>
  <si>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</si>
  <si>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</si>
  <si>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</si>
  <si>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</si>
  <si>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</si>
  <si>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</si>
  <si>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</si>
  <si>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</si>
  <si>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</si>
  <si>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</si>
  <si>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</si>
  <si>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</si>
  <si>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</si>
  <si>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</si>
  <si>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</si>
  <si>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</si>
  <si>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</si>
  <si>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</si>
  <si>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</si>
  <si>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</si>
  <si>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</si>
  <si>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</si>
  <si>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</si>
  <si>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</si>
  <si>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</si>
  <si>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</si>
  <si>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</si>
  <si>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</si>
  <si>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</si>
  <si>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</si>
  <si>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</si>
  <si>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</si>
  <si>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</si>
  <si>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</si>
  <si>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</si>
  <si>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</si>
  <si>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</si>
  <si>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</si>
  <si>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</si>
  <si>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</si>
  <si>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</si>
  <si>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</si>
  <si>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</si>
  <si>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</si>
  <si>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</si>
  <si>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</si>
  <si>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</si>
  <si>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</si>
  <si>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</si>
  <si>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</si>
  <si>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</si>
  <si>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</si>
  <si>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</si>
  <si>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</si>
  <si>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</si>
  <si>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</si>
  <si>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</si>
  <si>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</si>
  <si>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</si>
  <si>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</si>
  <si>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</si>
  <si>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</si>
  <si>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</si>
  <si>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</si>
  <si>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</si>
  <si>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</si>
  <si>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</si>
  <si>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</si>
  <si>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</si>
  <si>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</si>
  <si>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</si>
  <si>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</si>
  <si>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</si>
  <si>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</si>
  <si>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</si>
  <si>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</si>
  <si>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</si>
  <si>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</si>
  <si>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</si>
  <si>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</si>
  <si>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</si>
  <si>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</si>
  <si>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</si>
  <si>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</si>
  <si>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</si>
  <si>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</si>
  <si>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</si>
  <si>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</si>
  <si>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</si>
  <si>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</si>
  <si>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</si>
  <si>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</si>
  <si>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</si>
  <si>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</si>
  <si>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</si>
  <si>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</si>
  <si>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</si>
  <si>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</si>
  <si>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</si>
  <si>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</si>
  <si>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</si>
  <si>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</si>
  <si>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</si>
  <si>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</si>
  <si>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</si>
  <si>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</si>
  <si>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</si>
  <si>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</si>
  <si>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</si>
  <si>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</si>
  <si>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</si>
  <si>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</si>
  <si>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</si>
  <si>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</si>
  <si>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</si>
  <si>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</si>
  <si>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</si>
  <si>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</si>
  <si>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</si>
  <si>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</si>
  <si>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</si>
  <si>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</si>
  <si>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</si>
  <si>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</si>
  <si>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</si>
  <si>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</si>
  <si>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</si>
  <si>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</si>
  <si>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</si>
  <si>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</si>
  <si>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</si>
  <si>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</si>
  <si>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</si>
  <si>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</si>
  <si>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</si>
  <si>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</si>
  <si>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</si>
  <si>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</si>
  <si>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</si>
  <si>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</si>
  <si>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</si>
  <si>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</si>
  <si>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</si>
  <si>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</si>
  <si>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</si>
  <si>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</si>
  <si>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</si>
  <si>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</si>
  <si>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</si>
  <si>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</si>
  <si>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</si>
  <si>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</si>
  <si>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</si>
  <si>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</si>
  <si>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</si>
  <si>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</si>
  <si>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</si>
  <si>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</si>
  <si>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</si>
  <si>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</si>
  <si>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</si>
  <si>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</si>
  <si>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</si>
  <si>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</si>
  <si>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</si>
  <si>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</si>
  <si>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</si>
  <si>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</si>
  <si>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</si>
  <si>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</si>
  <si>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</si>
  <si>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</si>
  <si>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</si>
  <si>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</si>
  <si>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</si>
  <si>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</si>
  <si>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</si>
  <si>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</si>
  <si>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</si>
  <si>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</si>
  <si>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</si>
  <si>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</si>
  <si>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</si>
  <si>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</si>
  <si>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</si>
  <si>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</si>
  <si>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</si>
  <si>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</si>
  <si>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</si>
  <si>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</si>
  <si>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</si>
  <si>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</si>
  <si>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</si>
  <si>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</si>
  <si>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</si>
  <si>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</si>
  <si>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</si>
  <si>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</si>
  <si>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</si>
  <si>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</si>
  <si>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</si>
  <si>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</si>
  <si>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</si>
  <si>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</si>
  <si>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</si>
  <si>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</si>
  <si>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</si>
  <si>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</si>
  <si>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</si>
  <si>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</si>
  <si>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</si>
  <si>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</si>
  <si>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</si>
  <si>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</si>
  <si>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</si>
  <si>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</si>
  <si>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</si>
  <si>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</si>
  <si>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</si>
  <si>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</si>
  <si>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</si>
  <si>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</si>
  <si>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</si>
  <si>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</si>
  <si>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</si>
  <si>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</si>
  <si>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</si>
  <si>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</si>
  <si>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</si>
  <si>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</si>
  <si>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</si>
  <si>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</si>
  <si>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</si>
  <si>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</si>
  <si>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</si>
  <si>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</si>
  <si>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</si>
  <si>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</si>
  <si>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</si>
  <si>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</si>
  <si>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</si>
  <si>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</si>
  <si>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</si>
  <si>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</si>
  <si>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</si>
  <si>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</si>
  <si>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</si>
  <si>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</si>
  <si>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</si>
  <si>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</si>
  <si>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</si>
  <si>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</si>
  <si>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</si>
  <si>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</si>
  <si>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</si>
  <si>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</si>
  <si>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</si>
  <si>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</si>
  <si>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</si>
  <si>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</si>
  <si>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</si>
  <si>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</si>
  <si>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</si>
  <si>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</si>
  <si>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</si>
  <si>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</si>
  <si>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</si>
  <si>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</si>
  <si>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</si>
  <si>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</si>
  <si>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</si>
  <si>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</si>
  <si>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</si>
  <si>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</si>
  <si>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</si>
  <si>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</si>
  <si>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</si>
  <si>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</si>
  <si>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</si>
  <si>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</si>
  <si>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</si>
  <si>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</si>
  <si>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</si>
  <si>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</si>
  <si>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</si>
  <si>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</si>
  <si>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</si>
  <si>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</si>
  <si>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</si>
  <si>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</si>
  <si>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</si>
  <si>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</si>
  <si>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</si>
  <si>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</si>
  <si>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</si>
  <si>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</si>
  <si>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</si>
  <si>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</si>
  <si>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</si>
  <si>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</si>
  <si>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</si>
  <si>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</si>
  <si>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</si>
  <si>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</si>
  <si>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</si>
  <si>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</si>
  <si>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</si>
  <si>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</si>
  <si>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</si>
  <si>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</si>
  <si>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</si>
  <si>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</si>
  <si>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</si>
  <si>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</si>
  <si>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</si>
  <si>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</si>
  <si>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</si>
  <si>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</si>
  <si>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</si>
  <si>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</si>
  <si>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</si>
  <si>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</si>
  <si>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</si>
  <si>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</si>
  <si>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</si>
  <si>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</si>
  <si>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</si>
  <si>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</si>
  <si>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</si>
  <si>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</si>
  <si>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</si>
  <si>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</si>
  <si>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</si>
  <si>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</si>
  <si>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</si>
  <si>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</si>
  <si>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</si>
  <si>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</si>
  <si>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</si>
  <si>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</si>
  <si>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</si>
  <si>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</si>
  <si>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</si>
  <si>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</si>
  <si>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</si>
  <si>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</si>
  <si>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</si>
  <si>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</si>
  <si>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</si>
  <si>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</si>
  <si>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</si>
  <si>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</si>
  <si>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</si>
  <si>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</si>
  <si>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</si>
  <si>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</si>
  <si>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</si>
  <si>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</si>
  <si>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</si>
  <si>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</si>
  <si>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</si>
  <si>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</si>
  <si>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</si>
  <si>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</si>
  <si>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</si>
  <si>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</si>
  <si>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</si>
  <si>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</si>
  <si>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</si>
  <si>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</si>
  <si>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</si>
  <si>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</si>
  <si>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</si>
  <si>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</si>
  <si>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</si>
  <si>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</si>
  <si>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</si>
  <si>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</si>
  <si>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</si>
  <si>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</si>
  <si>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</si>
  <si>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</si>
  <si>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</si>
  <si>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</si>
  <si>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</si>
  <si>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</si>
  <si>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</si>
  <si>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</si>
  <si>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</si>
  <si>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</si>
  <si>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</si>
  <si>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</si>
  <si>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</si>
  <si>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</si>
  <si>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</si>
  <si>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</si>
  <si>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</si>
  <si>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</si>
  <si>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</si>
  <si>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</si>
  <si>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</si>
  <si>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</si>
  <si>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</si>
  <si>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</si>
  <si>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Ohio State: 202 - 299 :TCU</t>
  </si>
  <si>
    <t>St. John's (NY): 470 - 31 :Northern Iowa</t>
  </si>
  <si>
    <t>Kansas: 475 - 26 :California Baptist</t>
  </si>
  <si>
    <t>Louisville: 236 - 265 :South Florida</t>
  </si>
  <si>
    <t>Michigan State: 349 - 152 :North Dakota State</t>
  </si>
  <si>
    <t>UCLA: 250 - 251 :UCF</t>
  </si>
  <si>
    <t>Connecticut: 415 - 86 :Furman</t>
  </si>
  <si>
    <t>Florida: 494 - 7 :Lehigh</t>
  </si>
  <si>
    <t>UPSET! Normal winner is Iowa</t>
  </si>
  <si>
    <t>Vanderbilt: 294 - 207 :McNeese State</t>
  </si>
  <si>
    <t>Nebraska: 417 - 84 :Troy</t>
  </si>
  <si>
    <t>UPSET! Normal winner is North Carolina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</si>
  <si>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</si>
  <si>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</si>
  <si>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</si>
  <si>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</si>
  <si>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</si>
  <si>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Wisconsin: 257 - 244 :High Point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</si>
  <si>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</si>
  <si>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</si>
  <si>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</si>
  <si>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</si>
  <si>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</si>
  <si>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</si>
  <si>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</si>
  <si>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</si>
  <si>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</si>
  <si>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UPSET! Normal winner is Miami (OH)</t>
  </si>
  <si>
    <t>Virginia: 400 - 101 :Wright State</t>
  </si>
  <si>
    <t>UPSET! Normal winner is Kentucky</t>
  </si>
  <si>
    <t>Iowa State: 463 - 38 :Tennessee State</t>
  </si>
  <si>
    <t>Duke: 419 - 82 :TCU</t>
  </si>
  <si>
    <t>UPSET! Normal winner is Kansas</t>
  </si>
  <si>
    <t>South Florida: 215 - 286 :Michigan State</t>
  </si>
  <si>
    <t>UCF: 197 - 304 :Connecticut</t>
  </si>
  <si>
    <t>Florida: 487 - 14 :Clemson</t>
  </si>
  <si>
    <t>Vanderbilt: 197 - 304 :Nebraska</t>
  </si>
  <si>
    <t>Virginia Commonwealth: 89 - 412 :Illinois</t>
  </si>
  <si>
    <t>Saint Mary's (CA): 301 - 200 :Houston</t>
  </si>
  <si>
    <t>UPSET! Normal winner is Arizona</t>
  </si>
  <si>
    <t>UPSET! Normal winner is Arkansas</t>
  </si>
  <si>
    <t>Brigham Young: 191 - 310 :Gonzaga</t>
  </si>
  <si>
    <t>UPSET! Normal winner is Purdue</t>
  </si>
  <si>
    <t>Michigan: 381 - 120 :Saint Louis</t>
  </si>
  <si>
    <t>Texas Tech: 345 - 156 :Alabama</t>
  </si>
  <si>
    <t>UPSET! Normal winner is Tennessee</t>
  </si>
  <si>
    <t>Santa Clara: 127 - 374 :Iowa State</t>
  </si>
  <si>
    <t>Duke: 318 - 183 :St. John's (NY)</t>
  </si>
  <si>
    <t>Michigan State: 213 - 288 :Connecticut</t>
  </si>
  <si>
    <t>Florida: 394 - 107 :Nebraska</t>
  </si>
  <si>
    <t>UPSET! Normal winner is Saint Mary's (CA)</t>
  </si>
  <si>
    <t>Villanova: 279 - 222 :Wisconsin</t>
  </si>
  <si>
    <t>Gonzaga: 299 - 202 :Miami (FL)</t>
  </si>
  <si>
    <t>Michigan: 177 - 324 :Texas Tech</t>
  </si>
  <si>
    <t>Virginia: 158 - 343 :Iowa State</t>
  </si>
  <si>
    <t>UPSET! Normal winner is Duke</t>
  </si>
  <si>
    <t>Florida: 347 - 154 :Illinois</t>
  </si>
  <si>
    <t>Villanova: 192 - 309 :Gonzaga</t>
  </si>
  <si>
    <t>UPSET! Normal winner is Texas Tech</t>
  </si>
  <si>
    <t>Connecticut: 86 - 415 :Florida</t>
  </si>
  <si>
    <t>Gonzaga: 258 - 243 :Iowa State</t>
  </si>
  <si>
    <t>Florida: 351 - 150 :Gonzaga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</si>
</sst>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Ohio State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0.4</v>
      </c>
      <c r="M6" s="82" t="e" vm="68">
        <f>_xlfn.XLOOKUP(I6,Teams!$C:$C,Teams!$E:$E,,0,1)</f>
        <v>#VALUE!</v>
      </c>
      <c r="N6" s="82">
        <v>0.6</v>
      </c>
      <c r="O6" s="189" t="str">
        <f t="shared" si="3"/>
        <v>TCU</v>
      </c>
      <c r="P6" s="204" t="e" vm="68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North Dakota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0.7</v>
      </c>
      <c r="M10" s="82" t="e" vm="76">
        <f>_xlfn.XLOOKUP(I10,Teams!$C:$C,Teams!$E:$E,,0,1)</f>
        <v>#VALUE!</v>
      </c>
      <c r="N10" s="82">
        <v>0.3</v>
      </c>
      <c r="O10" s="189" t="str">
        <f t="shared" si="3"/>
        <v>Michigan State</v>
      </c>
      <c r="P10" s="204" t="e" vm="75">
        <f>_xlfn.XLOOKUP(O10,Teams!$C:$C,Teams!$E:$E,,0,1)</f>
        <v>#VALUE!</v>
      </c>
      <c r="Q10" s="223" t="s">
        <v>1136</v>
      </c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Iowa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0.55000000000000004</v>
      </c>
      <c r="M14" s="83" t="e" vm="84">
        <f>_xlfn.XLOOKUP(I14,Teams!$C:$C,Teams!$E:$E,,0,1)</f>
        <v>#VALUE!</v>
      </c>
      <c r="N14" s="83">
        <v>0.45</v>
      </c>
      <c r="O14" s="192" t="str">
        <f t="shared" si="3"/>
        <v>Clemson</v>
      </c>
      <c r="P14" s="207" t="e" vm="83">
        <f>_xlfn.XLOOKUP(O14,Teams!$C:$C,Teams!$E:$E,,0,1)</f>
        <v>#VALUE!</v>
      </c>
      <c r="Q14" s="226" t="s">
        <v>1140</v>
      </c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North Carolina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0.23</v>
      </c>
      <c r="M17" s="83" t="e" vm="90">
        <f>_xlfn.XLOOKUP(I17,Teams!$C:$C,Teams!$E:$E,,0,1)</f>
        <v>#VALUE!</v>
      </c>
      <c r="N17" s="83">
        <v>0.77</v>
      </c>
      <c r="O17" s="192" t="str">
        <f t="shared" si="3"/>
        <v>Virginia Commonwealth</v>
      </c>
      <c r="P17" s="207" t="e" vm="90">
        <f>_xlfn.XLOOKUP(O17,Teams!$C:$C,Teams!$E:$E,,0,1)</f>
        <v>#VALUE!</v>
      </c>
      <c r="Q17" s="226" t="s">
        <v>1143</v>
      </c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High Point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0.51</v>
      </c>
      <c r="M23" s="82" t="e" vm="102">
        <f>_xlfn.XLOOKUP(I23,Teams!$C:$C,Teams!$E:$E,,0,1)</f>
        <v>#VALUE!</v>
      </c>
      <c r="N23" s="82">
        <v>0.49</v>
      </c>
      <c r="O23" s="189" t="str">
        <f t="shared" si="3"/>
        <v>Wisconsin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Miami (OH)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0.65</v>
      </c>
      <c r="M33" s="83" t="e" vm="122">
        <f>_xlfn.XLOOKUP(I33,Teams!$C:$C,Teams!$E:$E,,0,1)</f>
        <v>#VALUE!</v>
      </c>
      <c r="N33" s="83">
        <v>0.35</v>
      </c>
      <c r="O33" s="192" t="str">
        <f t="shared" si="3"/>
        <v>Tennessee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TCU</v>
      </c>
      <c r="C38" s="91" t="str">
        <f t="shared" ref="C38:C53" si="7">IF(O38="","",IF(A38=O38,B38,A38))</f>
        <v>TCU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946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0.84</v>
      </c>
      <c r="M38" s="84" t="e" vm="68">
        <f>_xlfn.XLOOKUP(I38,Teams!$C:$C,Teams!$E:$E,,0,1)</f>
        <v>#VALUE!</v>
      </c>
      <c r="N38" s="84">
        <v>0.16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Michigan State</v>
      </c>
      <c r="C40" s="91" t="str">
        <f t="shared" si="7"/>
        <v>South Florida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117</v>
      </c>
      <c r="J40" s="103" cm="1">
        <f t="array" ref="J40">_xlfn.XLOOKUP(I40,Teams[[#All],[Team]],Teams[[#All],[Seed]],0,0,1)</f>
        <v>3</v>
      </c>
      <c r="K40" s="82" t="e" vm="74">
        <f>_xlfn.XLOOKUP(G40,Teams!$C:$C,Teams!$E:$E,,0,1)</f>
        <v>#VALUE!</v>
      </c>
      <c r="L40" s="82">
        <v>0.43</v>
      </c>
      <c r="M40" s="82" t="e" vm="75">
        <f>_xlfn.XLOOKUP(I40,Teams!$C:$C,Teams!$E:$E,,0,1)</f>
        <v>#VALUE!</v>
      </c>
      <c r="N40" s="82">
        <v>0.56999999999999995</v>
      </c>
      <c r="O40" s="189" t="str">
        <f t="shared" si="9"/>
        <v>Michigan State</v>
      </c>
      <c r="P40" s="204" t="e" vm="75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Clemson</v>
      </c>
      <c r="C42" s="91" t="str">
        <f t="shared" si="7"/>
        <v>Clemson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80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0.97</v>
      </c>
      <c r="M42" s="145" t="e" vm="83">
        <f>_xlfn.XLOOKUP(I42,Teams!$C:$C,Teams!$E:$E,,0,1)</f>
        <v>#VALUE!</v>
      </c>
      <c r="N42" s="145">
        <v>0.03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Virginia Commonwealth</v>
      </c>
      <c r="B44" s="91" t="str">
        <f t="shared" si="11"/>
        <v>Illinois</v>
      </c>
      <c r="C44" s="91" t="str">
        <f t="shared" si="7"/>
        <v>Virginia Commonwealth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11</v>
      </c>
      <c r="G44" s="118" t="s">
        <v>1062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90">
        <f>_xlfn.XLOOKUP(G44,Teams!$C:$C,Teams!$E:$E,,0,1)</f>
        <v>#VALUE!</v>
      </c>
      <c r="L44" s="83">
        <v>0.18</v>
      </c>
      <c r="M44" s="83" t="e" vm="91">
        <f>_xlfn.XLOOKUP(I44,Teams!$C:$C,Teams!$E:$E,,0,1)</f>
        <v>#VALUE!</v>
      </c>
      <c r="N44" s="83">
        <v>0.82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Arizona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0.2</v>
      </c>
      <c r="M46" s="84" t="e" vm="99">
        <f>_xlfn.XLOOKUP(I46,Teams!$C:$C,Teams!$E:$E,,0,1)</f>
        <v>#VALUE!</v>
      </c>
      <c r="N46" s="84">
        <v>0.8</v>
      </c>
      <c r="O46" s="194" t="str">
        <f t="shared" si="9"/>
        <v>Villanova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Wisconsin</v>
      </c>
      <c r="B47" s="152" t="str">
        <f t="shared" si="11"/>
        <v>Arkansas</v>
      </c>
      <c r="C47" s="152" t="str">
        <f t="shared" si="7"/>
        <v>Arkansas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96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0.63</v>
      </c>
      <c r="M47" s="82" t="e" vm="103">
        <f>_xlfn.XLOOKUP(I47,Teams!$C:$C,Teams!$E:$E,,0,1)</f>
        <v>#VALUE!</v>
      </c>
      <c r="N47" s="82">
        <v>0.37</v>
      </c>
      <c r="O47" s="189" t="str">
        <f t="shared" si="9"/>
        <v>Wisconsin</v>
      </c>
      <c r="P47" s="204" t="e" vm="101">
        <f>_xlfn.XLOOKUP(O47,Teams!$C:$C,Teams!$E:$E,,0,1)</f>
        <v>#VALUE!</v>
      </c>
      <c r="Q47" s="223" t="s">
        <v>1172</v>
      </c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Purdue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0.53</v>
      </c>
      <c r="M49" s="139" t="e" vm="111">
        <f>_xlfn.XLOOKUP(I49,Teams!$C:$C,Teams!$E:$E,,0,1)</f>
        <v>#VALUE!</v>
      </c>
      <c r="N49" s="139">
        <v>0.47</v>
      </c>
      <c r="O49" s="195" t="str">
        <f t="shared" si="9"/>
        <v>Miami (FL)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Tennessee</v>
      </c>
      <c r="B52" s="91" t="str">
        <f t="shared" si="11"/>
        <v>Virginia</v>
      </c>
      <c r="C52" s="91" t="str">
        <f t="shared" si="7"/>
        <v>Tennessee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130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</v>
      </c>
      <c r="M52" s="83" t="e" vm="123">
        <f>_xlfn.XLOOKUP(I52,Teams!$C:$C,Teams!$E:$E,,0,1)</f>
        <v>#VALUE!</v>
      </c>
      <c r="N52" s="83">
        <v>0.5</v>
      </c>
      <c r="O52" s="192" t="str">
        <f t="shared" si="9"/>
        <v>Virginia</v>
      </c>
      <c r="P52" s="207" t="e" vm="123">
        <f>_xlfn.XLOOKUP(O52,Teams!$C:$C,Teams!$E:$E,,0,1)</f>
        <v>#VALUE!</v>
      </c>
      <c r="Q52" s="226" t="s">
        <v>1177</v>
      </c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Santa Clara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St. John's (NY)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0.63</v>
      </c>
      <c r="M55" s="97" t="e" vm="69">
        <f>_xlfn.XLOOKUP(I55,Teams!$C:$C,Teams!$E:$E,,0,1)</f>
        <v>#VALUE!</v>
      </c>
      <c r="N55" s="97">
        <v>0.37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Michigan State</v>
      </c>
      <c r="B56" s="91" t="str">
        <f t="shared" ref="B56:B62" si="16">I56</f>
        <v>Connecticut</v>
      </c>
      <c r="C56" s="91" t="str">
        <f t="shared" si="12"/>
        <v>Michigan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117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5">
        <f>_xlfn.XLOOKUP(G56,Teams!$C:$C,Teams!$E:$E,,0,1)</f>
        <v>#VALUE!</v>
      </c>
      <c r="L56" s="139">
        <v>0.43</v>
      </c>
      <c r="M56" s="139" t="e" vm="79">
        <f>_xlfn.XLOOKUP(I56,Teams!$C:$C,Teams!$E:$E,,0,1)</f>
        <v>#VALUE!</v>
      </c>
      <c r="N56" s="139">
        <v>0.56999999999999995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Saint Mary's (CA)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0.52</v>
      </c>
      <c r="M58" s="151" t="e" vm="93">
        <f>_xlfn.XLOOKUP(I58,Teams!$C:$C,Teams!$E:$E,,0,1)</f>
        <v>#VALUE!</v>
      </c>
      <c r="N58" s="151">
        <v>0.48</v>
      </c>
      <c r="O58" s="197" t="str">
        <f t="shared" si="14"/>
        <v>Illinois</v>
      </c>
      <c r="P58" s="212" t="e" vm="91">
        <f>_xlfn.XLOOKUP(O58,Teams!$C:$C,Teams!$E:$E,,0,1)</f>
        <v>#VALUE!</v>
      </c>
      <c r="Q58" s="227" t="s">
        <v>1182</v>
      </c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Villanova</v>
      </c>
      <c r="B59" s="152" t="str">
        <f t="shared" si="16"/>
        <v>Wisconsin</v>
      </c>
      <c r="C59" s="152" t="str">
        <f t="shared" si="12"/>
        <v>Wisconsin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1056</v>
      </c>
      <c r="H59" s="181" t="s">
        <v>9</v>
      </c>
      <c r="I59" s="132" t="s">
        <v>96</v>
      </c>
      <c r="J59" s="133" cm="1">
        <f t="array" ref="J59">_xlfn.XLOOKUP(I59,Teams[[#All],[Team]],Teams[[#All],[Seed]],0,0,1)</f>
        <v>5</v>
      </c>
      <c r="K59" s="84" t="e" vm="99">
        <f>_xlfn.XLOOKUP(G59,Teams!$C:$C,Teams!$E:$E,,0,1)</f>
        <v>#VALUE!</v>
      </c>
      <c r="L59" s="84">
        <v>0.56000000000000005</v>
      </c>
      <c r="M59" s="84" t="e" vm="101">
        <f>_xlfn.XLOOKUP(I59,Teams!$C:$C,Teams!$E:$E,,0,1)</f>
        <v>#VALUE!</v>
      </c>
      <c r="N59" s="84">
        <v>0.44</v>
      </c>
      <c r="O59" s="194" t="str">
        <f t="shared" si="14"/>
        <v>Villanova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Miami (FL)</v>
      </c>
      <c r="C60" s="152" t="str">
        <f t="shared" si="12"/>
        <v>Miami (FL)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585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0.6</v>
      </c>
      <c r="M60" s="139" t="e" vm="109">
        <f>_xlfn.XLOOKUP(I60,Teams!$C:$C,Teams!$E:$E,,0,1)</f>
        <v>#VALUE!</v>
      </c>
      <c r="N60" s="139">
        <v>0.4</v>
      </c>
      <c r="O60" s="195" t="str">
        <f t="shared" si="14"/>
        <v>Gonzaga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Virginia</v>
      </c>
      <c r="B62" s="91" t="str">
        <f t="shared" si="16"/>
        <v>Iowa State</v>
      </c>
      <c r="C62" s="91" t="str">
        <f t="shared" si="12"/>
        <v>Virginia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3</v>
      </c>
      <c r="G62" s="148" t="s">
        <v>1059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3">
        <f>_xlfn.XLOOKUP(G62,Teams!$C:$C,Teams!$E:$E,,0,1)</f>
        <v>#VALUE!</v>
      </c>
      <c r="L62" s="151">
        <v>0.32</v>
      </c>
      <c r="M62" s="151" t="e" vm="127">
        <f>_xlfn.XLOOKUP(I62,Teams!$C:$C,Teams!$E:$E,,0,1)</f>
        <v>#VALUE!</v>
      </c>
      <c r="N62" s="151">
        <v>0.68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Duke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0.24</v>
      </c>
      <c r="M64" s="158" t="e" vm="79">
        <f>_xlfn.XLOOKUP(I64,Teams!$C:$C,Teams!$E:$E,,0,1)</f>
        <v>#VALUE!</v>
      </c>
      <c r="N64" s="158">
        <v>0.76</v>
      </c>
      <c r="O64" s="198" t="str">
        <f>IF(L64&gt;N64,G64,I64)</f>
        <v>Connecticut</v>
      </c>
      <c r="P64" s="204" t="e" vm="79">
        <f>_xlfn.XLOOKUP(O64,Teams!$C:$C,Teams!$E:$E,,0,1)</f>
        <v>#VALUE!</v>
      </c>
      <c r="Q64" s="230" t="s">
        <v>1187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Illinois</v>
      </c>
      <c r="C65" s="91" t="str">
        <f>IF(O65="","",IF(A65=O65,B65,A65))</f>
        <v>Illinois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133</v>
      </c>
      <c r="J65" s="163" cm="1">
        <f t="array" ref="J65">_xlfn.XLOOKUP(I65,Teams[[#All],[Team]],Teams[[#All],[Seed]],0,0,1)</f>
        <v>3</v>
      </c>
      <c r="K65" s="164" t="e" vm="81">
        <f>_xlfn.XLOOKUP(G65,Teams!$C:$C,Teams!$E:$E,,0,1)</f>
        <v>#VALUE!</v>
      </c>
      <c r="L65" s="164">
        <v>0.69</v>
      </c>
      <c r="M65" s="164" t="e" vm="91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Villanova</v>
      </c>
      <c r="B66" s="91" t="str">
        <f>I66</f>
        <v>Gonzaga</v>
      </c>
      <c r="C66" s="91" t="str">
        <f>IF(O66="","",IF(A66=O66,B66,A66))</f>
        <v>Villanova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1056</v>
      </c>
      <c r="H66" s="185" t="s">
        <v>9</v>
      </c>
      <c r="I66" s="156" t="s">
        <v>135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0.38</v>
      </c>
      <c r="M66" s="158" t="e" vm="107">
        <f>_xlfn.XLOOKUP(I66,Teams!$C:$C,Teams!$E:$E,,0,1)</f>
        <v>#VALUE!</v>
      </c>
      <c r="N66" s="158">
        <v>0.62</v>
      </c>
      <c r="O66" s="198" t="str">
        <f>IF(L66&gt;N66,G66,I66)</f>
        <v>Gonzaga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Texas Tech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0.27</v>
      </c>
      <c r="M67" s="164" t="e" vm="127">
        <f>_xlfn.XLOOKUP(I67,Teams!$C:$C,Teams!$E:$E,,0,1)</f>
        <v>#VALUE!</v>
      </c>
      <c r="N67" s="164">
        <v>0.73</v>
      </c>
      <c r="O67" s="199" t="str">
        <f>IF(L67&gt;N67,G67,I67)</f>
        <v>Iowa State</v>
      </c>
      <c r="P67" s="207" t="e" vm="127">
        <f>_xlfn.XLOOKUP(O67,Teams!$C:$C,Teams!$E:$E,,0,1)</f>
        <v>#VALUE!</v>
      </c>
      <c r="Q67" s="231" t="s">
        <v>1190</v>
      </c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Connecticut</v>
      </c>
      <c r="B69" s="91" t="str">
        <f>I69</f>
        <v>Florida</v>
      </c>
      <c r="C69" s="91" t="str">
        <f>IF(O69="","",IF(A69=O69,B69,A69))</f>
        <v>Connecticut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2</v>
      </c>
      <c r="G69" s="167" t="s">
        <v>88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79">
        <f>_xlfn.XLOOKUP(G69,Teams!$C:$C,Teams!$E:$E,,0,1)</f>
        <v>#VALUE!</v>
      </c>
      <c r="L69" s="170">
        <v>0.17</v>
      </c>
      <c r="M69" s="170" t="e" vm="81">
        <f>_xlfn.XLOOKUP(I69,Teams!$C:$C,Teams!$E:$E,,0,1)</f>
        <v>#VALUE!</v>
      </c>
      <c r="N69" s="170">
        <v>0.83</v>
      </c>
      <c r="O69" s="200" t="str">
        <f>IF(L69&gt;N69,G69,I69)</f>
        <v>Florida</v>
      </c>
      <c r="P69" s="210" t="e" vm="8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Gonzaga</v>
      </c>
      <c r="B70" s="91" t="str">
        <f>I70</f>
        <v>Iowa State</v>
      </c>
      <c r="C70" s="91" t="str">
        <f>IF(O70="","",IF(A70=O70,B70,A70))</f>
        <v>Iowa State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135</v>
      </c>
      <c r="H70" s="186" t="s">
        <v>9</v>
      </c>
      <c r="I70" s="162" t="s">
        <v>118</v>
      </c>
      <c r="J70" s="163" cm="1">
        <f t="array" ref="J70">_xlfn.XLOOKUP(I70,Teams[[#All],[Team]],Teams[[#All],[Seed]],0,0,1)</f>
        <v>2</v>
      </c>
      <c r="K70" s="164" t="e" vm="107">
        <f>_xlfn.XLOOKUP(G70,Teams!$C:$C,Teams!$E:$E,,0,1)</f>
        <v>#VALUE!</v>
      </c>
      <c r="L70" s="164">
        <v>0.51</v>
      </c>
      <c r="M70" s="164" t="e" vm="127">
        <f>_xlfn.XLOOKUP(I70,Teams!$C:$C,Teams!$E:$E,,0,1)</f>
        <v>#VALUE!</v>
      </c>
      <c r="N70" s="164">
        <v>0.49</v>
      </c>
      <c r="O70" s="199" t="str">
        <f>IF(L70&gt;N70,G70,I70)</f>
        <v>Gonzaga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1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Florida</v>
      </c>
      <c r="B72" s="91" t="str">
        <f>I72</f>
        <v>Gonzaga</v>
      </c>
      <c r="C72" s="91" t="str">
        <f>IF(O72="","",IF(A72=O72,B72,A72))</f>
        <v>Gonzaga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105</v>
      </c>
      <c r="H72" s="185" t="s">
        <v>9</v>
      </c>
      <c r="I72" s="156" t="s">
        <v>135</v>
      </c>
      <c r="J72" s="157" cm="1">
        <f t="array" ref="J72">_xlfn.XLOOKUP(I72,Teams[[#All],[Team]],Teams[[#All],[Seed]],0,0,1)</f>
        <v>3</v>
      </c>
      <c r="K72" s="158" t="e" vm="81">
        <f>_xlfn.XLOOKUP(G72,Teams!$C:$C,Teams!$E:$E,,0,1)</f>
        <v>#VALUE!</v>
      </c>
      <c r="L72" s="158">
        <v>0.7</v>
      </c>
      <c r="M72" s="158" t="e" vm="107">
        <f>_xlfn.XLOOKUP(I72,Teams!$C:$C,Teams!$E:$E,,0,1)</f>
        <v>#VALUE!</v>
      </c>
      <c r="N72" s="158">
        <v>0.3</v>
      </c>
      <c r="O72" s="198" t="str">
        <f>IF(L72&gt;N72,G72,I72)</f>
        <v>Florida</v>
      </c>
      <c r="P72" s="205" t="e" vm="81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0.84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0.2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0.56000000000000005</v>
      </c>
      <c r="AF7" s="297" t="e" vm="99">
        <f>_xlfn.XLOOKUP(AG7,Teams!$C:$C,Teams!$E:$E,,0,1)</f>
        <v>#VALUE!</v>
      </c>
      <c r="AG7" s="262" t="str">
        <f>Games!O46</f>
        <v>Villanova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0.4</v>
      </c>
      <c r="F9" s="262" t="str">
        <f>Games!O6</f>
        <v>TCU</v>
      </c>
      <c r="G9" s="247" t="e" vm="68">
        <f>_xlfn.XLOOKUP(F9,Teams!$C:$C,Teams!$E:$E,,0,1)</f>
        <v>#VALUE!</v>
      </c>
      <c r="H9" s="277">
        <f>Games!N38</f>
        <v>0.16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0.8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0.6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0.24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0.38</v>
      </c>
      <c r="AC11" s="249" t="e" vm="99">
        <f>_xlfn.XLOOKUP(AD11,Teams!$C:$C,Teams!$E:$E,,0,1)</f>
        <v>#VALUE!</v>
      </c>
      <c r="AD11" s="262" t="str">
        <f>Games!O59</f>
        <v>Villanova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0.63</v>
      </c>
      <c r="AI13" s="249" t="e" vm="101">
        <f>_xlfn.XLOOKUP(AJ13,Teams!$C:$C,Teams!$E:$E,,0,1)</f>
        <v>#VALUE!</v>
      </c>
      <c r="AJ13" s="262" t="str">
        <f>Games!O23</f>
        <v>Wisconsin</v>
      </c>
      <c r="AK13" s="58">
        <f>Games!L23</f>
        <v>0.51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St. John's (NY)</v>
      </c>
      <c r="J15" s="247" t="e" vm="69">
        <f>_xlfn.XLOOKUP(I15,Teams!$C:$C,Teams!$E:$E,,0,1)</f>
        <v>#VALUE!</v>
      </c>
      <c r="K15" s="277">
        <f>Games!N55</f>
        <v>0.37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0.44</v>
      </c>
      <c r="AF15" s="249" t="e" vm="101">
        <f>_xlfn.XLOOKUP(AG15,Teams!$C:$C,Teams!$E:$E,,0,1)</f>
        <v>#VALUE!</v>
      </c>
      <c r="AG15" s="262" t="str">
        <f>Games!O47</f>
        <v>Wisconsin</v>
      </c>
      <c r="AH15" s="55"/>
      <c r="AI15" s="51"/>
      <c r="AJ15" s="282">
        <f>IF($AU$5=TRUE,AJ7+1,"")</f>
        <v>42</v>
      </c>
      <c r="AK15" s="59">
        <f>Games!N23</f>
        <v>0.49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0.37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Connecticut</v>
      </c>
      <c r="P19" s="247" t="e" vm="79">
        <f>_xlfn.XLOOKUP(O19,Teams!$C:$C,Teams!$E:$E,,0,1)</f>
        <v>#VALUE!</v>
      </c>
      <c r="Q19" s="264">
        <f>Games!L69</f>
        <v>0.17</v>
      </c>
      <c r="R19" s="25"/>
      <c r="S19" s="25"/>
      <c r="T19" s="257"/>
      <c r="U19" s="258"/>
      <c r="V19" s="259"/>
      <c r="W19" s="25"/>
      <c r="X19" s="25"/>
      <c r="Y19" s="264">
        <f>Games!L70</f>
        <v>0.51</v>
      </c>
      <c r="Z19" s="249" t="e" vm="107">
        <f>_xlfn.XLOOKUP(AA19,Teams!$C:$C,Teams!$E:$E,,0,1)</f>
        <v>#VALUE!</v>
      </c>
      <c r="AA19" s="262" t="str">
        <f>Games!O66</f>
        <v>Gonzaga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0.43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Michigan State</v>
      </c>
      <c r="J23" s="247" t="e" vm="75">
        <f>_xlfn.XLOOKUP(I23,Teams!$C:$C,Teams!$E:$E,,0,1)</f>
        <v>#VALUE!</v>
      </c>
      <c r="K23" s="264">
        <f>Games!L56</f>
        <v>0.43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0.6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0.7</v>
      </c>
      <c r="F25" s="262" t="str">
        <f>Games!O10</f>
        <v>Michigan State</v>
      </c>
      <c r="G25" s="247" t="e" vm="75">
        <f>_xlfn.XLOOKUP(F25,Teams!$C:$C,Teams!$E:$E,,0,1)</f>
        <v>#VALUE!</v>
      </c>
      <c r="H25" s="277">
        <f>Games!N40</f>
        <v>0.56999999999999995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0.3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0.76</v>
      </c>
      <c r="O27" s="25"/>
      <c r="P27" s="25"/>
      <c r="Q27" s="50"/>
      <c r="R27" s="279" t="str">
        <f>Games!O69</f>
        <v>Florida</v>
      </c>
      <c r="S27" s="262"/>
      <c r="T27" s="262"/>
      <c r="U27" s="289" t="e" vm="81">
        <f>_xlfn.XLOOKUP(R27,Teams!$C:$C,Teams!$E:$E,,0,1)</f>
        <v>#VALUE!</v>
      </c>
      <c r="V27" s="267">
        <f>Games!L72</f>
        <v>0.7</v>
      </c>
      <c r="W27" s="24"/>
      <c r="X27" s="25"/>
      <c r="Y27" s="56"/>
      <c r="AA27" s="25"/>
      <c r="AB27" s="269">
        <f>Games!N66</f>
        <v>0.62</v>
      </c>
      <c r="AC27" s="249" t="e" vm="107">
        <f>_xlfn.XLOOKUP(AD27,Teams!$C:$C,Teams!$E:$E,,0,1)</f>
        <v>#VALUE!</v>
      </c>
      <c r="AD27" s="262" t="str">
        <f>Games!O60</f>
        <v>Gonzaga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0.53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0.56999999999999995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0.4</v>
      </c>
      <c r="AF31" s="249" t="e" vm="109">
        <f>_xlfn.XLOOKUP(AG31,Teams!$C:$C,Teams!$E:$E,,0,1)</f>
        <v>#VALUE!</v>
      </c>
      <c r="AG31" s="262" t="str">
        <f>Games!O49</f>
        <v>Miami (FL)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Florida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0.47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0.97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0.3</v>
      </c>
      <c r="U39" s="293" t="e" vm="107">
        <f>_xlfn.XLOOKUP(V39,Teams!$C:$C,Teams!$E:$E,,0,1)</f>
        <v>#VALUE!</v>
      </c>
      <c r="V39" s="262" t="str">
        <f>Games!O70</f>
        <v>Gonzaga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0.55000000000000004</v>
      </c>
      <c r="F41" s="262" t="str">
        <f>Games!O14</f>
        <v>Clemson</v>
      </c>
      <c r="G41" s="247" t="e" vm="83">
        <f>_xlfn.XLOOKUP(F41,Teams!$C:$C,Teams!$E:$E,,0,1)</f>
        <v>#VALUE!</v>
      </c>
      <c r="H41" s="277">
        <f>Games!N42</f>
        <v>0.03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0.45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0.27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0.83</v>
      </c>
      <c r="R51" s="25"/>
      <c r="S51" s="25"/>
      <c r="T51" s="25"/>
      <c r="U51" s="75"/>
      <c r="V51" s="25"/>
      <c r="W51" s="25"/>
      <c r="X51" s="25"/>
      <c r="Y51" s="269">
        <f>Games!N70</f>
        <v>0.49</v>
      </c>
      <c r="Z51" s="249" t="e" vm="127">
        <f>_xlfn.XLOOKUP(AA51,Teams!$C:$C,Teams!$E:$E,,0,1)</f>
        <v>#VALUE!</v>
      </c>
      <c r="AA51" s="262" t="str">
        <f>Games!O67</f>
        <v>Iowa State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0.23</v>
      </c>
      <c r="F53" s="262" t="str">
        <f>Games!O17</f>
        <v>Virginia Commonwealth</v>
      </c>
      <c r="G53" s="247" t="e" vm="90">
        <f>_xlfn.XLOOKUP(F53,Teams!$C:$C,Teams!$E:$E,,0,1)</f>
        <v>#VALUE!</v>
      </c>
      <c r="H53" s="264">
        <f>Games!L44</f>
        <v>0.18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</v>
      </c>
      <c r="AI53" s="249" t="e" vm="121">
        <f>_xlfn.XLOOKUP(AJ53,Teams!$C:$C,Teams!$E:$E,,0,1)</f>
        <v>#VALUE!</v>
      </c>
      <c r="AJ53" s="262" t="str">
        <f>Games!O33</f>
        <v>Tennessee</v>
      </c>
      <c r="AK53" s="58">
        <f>Games!L33</f>
        <v>0.65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0.77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0.52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0.32</v>
      </c>
      <c r="AF55" s="249" t="e" vm="123">
        <f>_xlfn.XLOOKUP(AG55,Teams!$C:$C,Teams!$E:$E,,0,1)</f>
        <v>#VALUE!</v>
      </c>
      <c r="AG55" s="262" t="str">
        <f>Games!O52</f>
        <v>Virginia</v>
      </c>
      <c r="AH55" s="55"/>
      <c r="AI55" s="51"/>
      <c r="AJ55" s="282">
        <f>IF($AU$5=TRUE,AJ47+1,"")</f>
        <v>47</v>
      </c>
      <c r="AK55" s="59">
        <f>Games!N33</f>
        <v>0.35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0.82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Illinois</v>
      </c>
      <c r="M59" s="247" t="e" vm="91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0.73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6">
        <f>_xlfn.XLOOKUP(AJ61,Teams!$C:$C,Teams!$E:$E,,0,1)</f>
        <v>#VALUE!</v>
      </c>
      <c r="AJ61" s="262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0.48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0.68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