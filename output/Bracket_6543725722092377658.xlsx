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4C04C79E-EDCE-40B4-95E9-5A4D60772B53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5" i="2" l="1"/>
  <c r="C14" i="2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<sst xmlns="http://schemas.openxmlformats.org/spreadsheetml/2006/main" count="1526" uniqueCount="1194">
  <si>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</si>
  <si>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</si>
  <si>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</si>
  <si>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</si>
  <si>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</si>
  <si>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</si>
  <si>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</si>
  <si>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</si>
  <si>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</si>
  <si>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</si>
  <si>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</si>
  <si>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</si>
  <si>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</si>
  <si>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</si>
  <si>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</si>
  <si>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</si>
  <si>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</si>
  <si>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</si>
  <si>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</si>
  <si>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</si>
  <si>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</si>
  <si>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</si>
  <si>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</si>
  <si>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</si>
  <si>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</si>
  <si>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</si>
  <si>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</si>
  <si>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</si>
  <si>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</si>
  <si>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</si>
  <si>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</si>
  <si>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</si>
  <si>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</si>
  <si>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</si>
  <si>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</si>
  <si>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</si>
  <si>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</si>
  <si>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</si>
  <si>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</si>
  <si>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</si>
  <si>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</si>
  <si>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</si>
  <si>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</si>
  <si>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</si>
  <si>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</si>
  <si>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</si>
  <si>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</si>
  <si>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</si>
  <si>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</si>
  <si>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</si>
  <si>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</si>
  <si>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</si>
  <si>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</si>
  <si>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</si>
  <si>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</si>
  <si>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</si>
  <si>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</si>
  <si>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</si>
  <si>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</si>
  <si>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</si>
  <si>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</si>
  <si>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</si>
  <si>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</si>
  <si>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</si>
  <si>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</si>
  <si>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</si>
  <si>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</si>
  <si>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</si>
  <si>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</si>
  <si>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</si>
  <si>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</si>
  <si>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</si>
  <si>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</si>
  <si>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</si>
  <si>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</si>
  <si>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</si>
  <si>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</si>
  <si>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</si>
  <si>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</si>
  <si>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</si>
  <si>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</si>
  <si>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</si>
  <si>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</si>
  <si>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</si>
  <si>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</si>
  <si>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</si>
  <si>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</si>
  <si>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</si>
  <si>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</si>
  <si>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</si>
  <si>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</si>
  <si>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</si>
  <si>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</si>
  <si>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</si>
  <si>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</si>
  <si>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</si>
  <si>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</si>
  <si>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</si>
  <si>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</si>
  <si>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</si>
  <si>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</si>
  <si>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</si>
  <si>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</si>
  <si>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</si>
  <si>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</si>
  <si>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</si>
  <si>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</si>
  <si>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</si>
  <si>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</si>
  <si>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</si>
  <si>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</si>
  <si>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</si>
  <si>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</si>
  <si>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</si>
  <si>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</si>
  <si>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</si>
  <si>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</si>
  <si>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</si>
  <si>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</si>
  <si>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</si>
  <si>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</si>
  <si>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</si>
  <si>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</si>
  <si>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</si>
  <si>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</si>
  <si>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</si>
  <si>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</si>
  <si>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</si>
  <si>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</si>
  <si>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</si>
  <si>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</si>
  <si>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</si>
  <si>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</si>
  <si>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</si>
  <si>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</si>
  <si>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</si>
  <si>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</si>
  <si>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</si>
  <si>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</si>
  <si>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</si>
  <si>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</si>
  <si>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</si>
  <si>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</si>
  <si>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</si>
  <si>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</si>
  <si>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</si>
  <si>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</si>
  <si>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</si>
  <si>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</si>
  <si>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</si>
  <si>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</si>
  <si>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</si>
  <si>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</si>
  <si>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</si>
  <si>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</si>
  <si>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</si>
  <si>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</si>
  <si>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</si>
  <si>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</si>
  <si>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</si>
  <si>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</si>
  <si>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</si>
  <si>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</si>
  <si>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</si>
  <si>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</si>
  <si>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</si>
  <si>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</si>
  <si>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</si>
  <si>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</si>
  <si>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</si>
  <si>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</si>
  <si>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</si>
  <si>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</si>
  <si>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</si>
  <si>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</si>
  <si>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</si>
  <si>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</si>
  <si>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</si>
  <si>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</si>
  <si>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</si>
  <si>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</si>
  <si>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</si>
  <si>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</si>
  <si>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</si>
  <si>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</si>
  <si>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</si>
  <si>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</si>
  <si>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</si>
  <si>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</si>
  <si>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</si>
  <si>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</si>
  <si>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</si>
  <si>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</si>
  <si>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</si>
  <si>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</si>
  <si>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</si>
  <si>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</si>
  <si>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</si>
  <si>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</si>
  <si>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</si>
  <si>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</si>
  <si>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</si>
  <si>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</si>
  <si>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</si>
  <si>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</si>
  <si>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</si>
  <si>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</si>
  <si>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</si>
  <si>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</si>
  <si>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</si>
  <si>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</si>
  <si>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</si>
  <si>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</si>
  <si>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</si>
  <si>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</si>
  <si>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</si>
  <si>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</si>
  <si>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</si>
  <si>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</si>
  <si>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</si>
  <si>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</si>
  <si>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</si>
  <si>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</si>
  <si>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</si>
  <si>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</si>
  <si>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</si>
  <si>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</si>
  <si>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</si>
  <si>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</si>
  <si>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</si>
  <si>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</si>
  <si>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</si>
  <si>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</si>
  <si>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</si>
  <si>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</si>
  <si>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</si>
  <si>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</si>
  <si>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</si>
  <si>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</si>
  <si>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</si>
  <si>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</si>
  <si>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</si>
  <si>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</si>
  <si>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</si>
  <si>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</si>
  <si>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</si>
  <si>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</si>
  <si>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</si>
  <si>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</si>
  <si>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</si>
  <si>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</si>
  <si>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</si>
  <si>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</si>
  <si>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</si>
  <si>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</si>
  <si>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</si>
  <si>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</si>
  <si>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</si>
  <si>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</si>
  <si>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</si>
  <si>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</si>
  <si>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</si>
  <si>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</si>
  <si>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</si>
  <si>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</si>
  <si>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</si>
  <si>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</si>
  <si>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</si>
  <si>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</si>
  <si>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</si>
  <si>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</si>
  <si>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</si>
  <si>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</si>
  <si>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</si>
  <si>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</si>
  <si>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</si>
  <si>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</si>
  <si>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</si>
  <si>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</si>
  <si>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</si>
  <si>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</si>
  <si>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</si>
  <si>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</si>
  <si>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</si>
  <si>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</si>
  <si>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</si>
  <si>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</si>
  <si>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</si>
  <si>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</si>
  <si>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</si>
  <si>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</si>
  <si>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</si>
  <si>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</si>
  <si>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</si>
  <si>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</si>
  <si>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</si>
  <si>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</si>
  <si>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</si>
  <si>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</si>
  <si>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</si>
  <si>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</si>
  <si>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</si>
  <si>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</si>
  <si>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</si>
  <si>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</si>
  <si>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</si>
  <si>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</si>
  <si>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</si>
  <si>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</si>
  <si>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</si>
  <si>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</si>
  <si>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</si>
  <si>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</si>
  <si>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</si>
  <si>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</si>
  <si>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</si>
  <si>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</si>
  <si>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</si>
  <si>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</si>
  <si>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</si>
  <si>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</si>
  <si>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</si>
  <si>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</si>
  <si>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</si>
  <si>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</si>
  <si>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</si>
  <si>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</si>
  <si>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</si>
  <si>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</si>
  <si>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</si>
  <si>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</si>
  <si>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</si>
  <si>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</si>
  <si>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</si>
  <si>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</si>
  <si>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</si>
  <si>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</si>
  <si>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</si>
  <si>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</si>
  <si>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</si>
  <si>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</si>
  <si>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</si>
  <si>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</si>
  <si>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</si>
  <si>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</si>
  <si>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</si>
  <si>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</si>
  <si>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</si>
  <si>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</si>
  <si>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</si>
  <si>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</si>
  <si>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</si>
  <si>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</si>
  <si>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</si>
  <si>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</si>
  <si>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</si>
  <si>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</si>
  <si>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</si>
  <si>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</si>
  <si>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</si>
  <si>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</si>
  <si>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</si>
  <si>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</si>
  <si>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</si>
  <si>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</si>
  <si>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</si>
  <si>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</si>
  <si>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</si>
  <si>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</si>
  <si>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</si>
  <si>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</si>
  <si>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</si>
  <si>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</si>
  <si>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</si>
  <si>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</si>
  <si>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</si>
  <si>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</si>
  <si>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</si>
  <si>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</si>
  <si>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</si>
  <si>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</si>
  <si>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</si>
  <si>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</si>
  <si>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</si>
  <si>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</si>
  <si>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</si>
  <si>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</si>
  <si>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</si>
  <si>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</si>
  <si>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</si>
  <si>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</si>
  <si>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</si>
  <si>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</si>
  <si>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</si>
  <si>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</si>
  <si>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</si>
  <si>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</si>
  <si>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</si>
  <si>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</si>
  <si>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</si>
  <si>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</si>
  <si>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</si>
  <si>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</si>
  <si>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</si>
  <si>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</si>
  <si>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</si>
  <si>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</si>
  <si>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</si>
  <si>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</si>
  <si>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</si>
  <si>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</si>
  <si>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</si>
  <si>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</si>
  <si>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</si>
  <si>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</si>
  <si>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</si>
  <si>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</si>
  <si>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</si>
  <si>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</si>
  <si>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</si>
  <si>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</si>
  <si>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</si>
  <si>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</si>
  <si>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</si>
  <si>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</si>
  <si>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</si>
  <si>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</si>
  <si>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</si>
  <si>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</si>
  <si>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</si>
  <si>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</si>
  <si>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</si>
  <si>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</si>
  <si>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</si>
  <si>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</si>
  <si>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</si>
  <si>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</si>
  <si>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</si>
  <si>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</si>
  <si>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</si>
  <si>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</si>
  <si>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</si>
  <si>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</si>
  <si>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</si>
  <si>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</si>
  <si>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</si>
  <si>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</si>
  <si>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</si>
  <si>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</si>
  <si>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</si>
  <si>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</si>
  <si>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</si>
  <si>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</si>
  <si>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</si>
  <si>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</si>
  <si>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</si>
  <si>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</si>
  <si>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</si>
  <si>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</si>
  <si>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</si>
  <si>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</si>
  <si>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</si>
  <si>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</si>
  <si>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</si>
  <si>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</si>
  <si>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</si>
  <si>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</si>
  <si>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</si>
  <si>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</si>
  <si>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</si>
  <si>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</si>
  <si>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</si>
  <si>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</si>
  <si>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</si>
  <si>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</si>
  <si>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</si>
  <si>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</si>
  <si>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</si>
  <si>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</si>
  <si>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</si>
  <si>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</si>
  <si>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</si>
  <si>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</si>
  <si>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</si>
  <si>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</si>
  <si>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</si>
  <si>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</si>
  <si>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</si>
  <si>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</si>
  <si>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</si>
  <si>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</si>
  <si>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</si>
  <si>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</si>
  <si>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</si>
  <si>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</si>
  <si>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</si>
  <si>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</si>
  <si>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</si>
  <si>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</si>
  <si>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</si>
  <si>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</si>
  <si>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</si>
  <si>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</si>
  <si>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</si>
  <si>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</si>
  <si>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</si>
  <si>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</si>
  <si>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</si>
  <si>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</si>
  <si>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</si>
  <si>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</si>
  <si>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</si>
  <si>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</si>
  <si>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</si>
  <si>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</si>
  <si>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</si>
  <si>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</si>
  <si>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</si>
  <si>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</si>
  <si>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</si>
  <si>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</si>
  <si>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</si>
  <si>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</si>
  <si>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</si>
  <si>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</si>
  <si>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</si>
  <si>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</si>
  <si>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</si>
  <si>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</si>
  <si>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</si>
  <si>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</si>
  <si>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</si>
  <si>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</si>
  <si>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</si>
  <si>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</si>
  <si>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</si>
  <si>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</si>
  <si>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</si>
  <si>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</si>
  <si>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</si>
  <si>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</si>
  <si>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</si>
  <si>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</si>
  <si>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</si>
  <si>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</si>
  <si>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</si>
  <si>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</si>
  <si>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</si>
  <si>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</si>
  <si>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</si>
  <si>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</si>
  <si>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</si>
  <si>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</si>
  <si>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</si>
  <si>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</si>
  <si>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</si>
  <si>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</si>
  <si>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</si>
  <si>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</si>
  <si>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</si>
  <si>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</si>
  <si>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</si>
  <si>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</si>
  <si>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</si>
  <si>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</si>
  <si>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</si>
  <si>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</si>
  <si>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</si>
  <si>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</si>
  <si>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</si>
  <si>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</si>
  <si>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</si>
  <si>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</si>
  <si>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</si>
  <si>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</si>
  <si>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</si>
  <si>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</si>
  <si>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</si>
  <si>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</si>
  <si>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</si>
  <si>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</si>
  <si>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</si>
  <si>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</si>
  <si>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</si>
  <si>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</si>
  <si>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</si>
  <si>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</si>
  <si>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</si>
  <si>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</si>
  <si>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</si>
  <si>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</si>
  <si>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</si>
  <si>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</si>
  <si>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</si>
  <si>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</si>
  <si>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</si>
  <si>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</si>
  <si>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</si>
  <si>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</si>
  <si>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</si>
  <si>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</si>
  <si>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</si>
  <si>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</si>
  <si>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</si>
  <si>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</si>
  <si>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</si>
  <si>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</si>
  <si>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</si>
  <si>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</si>
  <si>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</si>
  <si>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</si>
  <si>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</si>
  <si>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</si>
  <si>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</si>
  <si>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</si>
  <si>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</si>
  <si>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</si>
  <si>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</si>
  <si>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</si>
  <si>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</si>
  <si>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</si>
  <si>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</si>
  <si>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</si>
  <si>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</si>
  <si>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</si>
  <si>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</si>
  <si>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</si>
  <si>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</si>
  <si>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</si>
  <si>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</si>
  <si>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</si>
  <si>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</si>
  <si>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</si>
  <si>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</si>
  <si>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</si>
  <si>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</si>
  <si>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</si>
  <si>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</si>
  <si>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</si>
  <si>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</si>
  <si>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</si>
  <si>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</si>
  <si>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</si>
  <si>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</si>
  <si>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</si>
  <si>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</si>
  <si>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</si>
  <si>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</si>
  <si>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</si>
  <si>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</si>
  <si>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</si>
  <si>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</si>
  <si>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</si>
  <si>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</si>
  <si>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</si>
  <si>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</si>
  <si>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</si>
  <si>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</si>
  <si>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</si>
  <si>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</si>
  <si>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</si>
  <si>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</si>
  <si>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</si>
  <si>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</si>
  <si>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</si>
  <si>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</si>
  <si>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</si>
  <si>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</si>
  <si>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</si>
  <si>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</si>
  <si>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</si>
  <si>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</si>
  <si>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</si>
  <si>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</si>
  <si>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</si>
  <si>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</si>
  <si>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</si>
  <si>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</si>
  <si>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</si>
  <si>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</si>
  <si>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</si>
  <si>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</si>
  <si>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</si>
  <si>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</si>
  <si>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</si>
  <si>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</si>
  <si>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</si>
  <si>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</si>
  <si>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</si>
  <si>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</si>
  <si>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</si>
  <si>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</si>
  <si>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</si>
  <si>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</si>
  <si>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</si>
  <si>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</si>
  <si>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</si>
  <si>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</si>
  <si>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</si>
  <si>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</si>
  <si>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</si>
  <si>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</si>
  <si>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</si>
  <si>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</si>
  <si>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</si>
  <si>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</si>
  <si>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</si>
  <si>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</si>
  <si>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</si>
  <si>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</si>
  <si>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</si>
  <si>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</si>
  <si>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</si>
  <si>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</si>
  <si>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</si>
  <si>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</si>
  <si>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</si>
  <si>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</si>
  <si>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</si>
  <si>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</si>
  <si>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</si>
  <si>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</si>
  <si>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</si>
  <si>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</si>
  <si>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</si>
  <si>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</si>
  <si>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</si>
  <si>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</si>
  <si>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</si>
  <si>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</si>
  <si>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</si>
  <si>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</si>
  <si>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</si>
  <si>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</si>
  <si>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</si>
  <si>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</si>
  <si>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</si>
  <si>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</si>
  <si>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</si>
  <si>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</si>
  <si>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</si>
  <si>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</si>
  <si>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</si>
  <si>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</si>
  <si>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</si>
  <si>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</si>
  <si>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</si>
  <si>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</si>
  <si>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</si>
  <si>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</si>
  <si>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</si>
  <si>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</si>
  <si>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</si>
  <si>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</si>
  <si>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</si>
  <si>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</si>
  <si>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</si>
  <si>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</si>
  <si>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</si>
  <si>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</si>
  <si>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</si>
  <si>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</si>
  <si>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</si>
  <si>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</si>
  <si>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</si>
  <si>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</si>
  <si>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</si>
  <si>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</si>
  <si>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</si>
  <si>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</si>
  <si>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</si>
  <si>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</si>
  <si>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</si>
  <si>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</si>
  <si>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</si>
  <si>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</si>
  <si>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</si>
  <si>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</si>
  <si>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</si>
  <si>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</si>
  <si>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</si>
  <si>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</si>
  <si>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</si>
  <si>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</si>
  <si>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</si>
  <si>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</si>
  <si>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</si>
  <si>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</si>
  <si>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</si>
  <si>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</si>
  <si>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</si>
  <si>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</si>
  <si>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</si>
  <si>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</si>
  <si>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</si>
  <si>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</si>
  <si>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</si>
  <si>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</si>
  <si>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</si>
  <si>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</si>
  <si>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</si>
  <si>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</si>
  <si>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</si>
  <si>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</si>
  <si>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</si>
  <si>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</si>
  <si>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</si>
  <si>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</si>
  <si>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</si>
  <si>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</si>
  <si>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</si>
  <si>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</si>
  <si>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</si>
  <si>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</si>
  <si>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</si>
  <si>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</si>
  <si>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</si>
  <si>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</si>
  <si>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</si>
  <si>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</si>
  <si>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</si>
  <si>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</si>
  <si>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</si>
  <si>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</si>
  <si>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</si>
  <si>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</si>
  <si>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</si>
  <si>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</si>
  <si>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</si>
  <si>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</si>
  <si>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</si>
  <si>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</si>
  <si>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</si>
  <si>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</si>
  <si>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</si>
  <si>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</si>
  <si>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</si>
  <si>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</si>
  <si>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</si>
  <si>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</si>
  <si>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</si>
  <si>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</si>
  <si>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</si>
  <si>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</si>
  <si>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</si>
  <si>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</si>
  <si>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</si>
  <si>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</si>
  <si>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</si>
  <si>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</si>
  <si>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</si>
  <si>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</si>
  <si>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</si>
  <si>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</si>
  <si>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</si>
  <si>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</si>
  <si>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</si>
  <si>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</si>
  <si>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</si>
  <si>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</si>
  <si>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</si>
  <si>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</si>
  <si>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</si>
  <si>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</si>
  <si>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</si>
  <si>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</si>
  <si>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</si>
  <si>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</si>
  <si>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</si>
  <si>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</si>
  <si>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</si>
  <si>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</si>
  <si>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</si>
  <si>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</si>
  <si>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</si>
  <si>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</si>
  <si>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</si>
  <si>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</si>
  <si>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</si>
  <si>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</si>
  <si>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</si>
  <si>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</si>
  <si>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</si>
  <si>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</si>
  <si>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</si>
  <si>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</si>
  <si>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</si>
  <si>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</si>
  <si>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</si>
  <si>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</si>
  <si>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</si>
  <si>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</si>
  <si>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</si>
  <si>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</si>
  <si>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</si>
  <si>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</si>
  <si>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</si>
  <si>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</si>
  <si>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</si>
  <si>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</si>
  <si>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</si>
  <si>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</si>
  <si>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</si>
  <si>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</si>
  <si>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</si>
  <si>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</si>
  <si>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</si>
  <si>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</si>
  <si>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</si>
  <si>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</si>
  <si>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</si>
  <si>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</si>
  <si>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</si>
  <si>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</si>
  <si>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</si>
  <si>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</si>
  <si>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</si>
  <si>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</si>
  <si>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</si>
  <si>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</si>
  <si>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</si>
  <si>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</si>
  <si>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</si>
  <si>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</si>
  <si>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</si>
  <si>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</si>
  <si>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</si>
  <si>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</si>
  <si>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</si>
  <si>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</si>
  <si>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</si>
  <si>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</si>
  <si>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</si>
  <si>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</si>
  <si>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</si>
  <si>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</si>
  <si>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</si>
  <si>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</si>
  <si>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</si>
  <si>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</si>
  <si>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</si>
  <si>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</si>
  <si>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</si>
  <si>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</si>
  <si>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</si>
  <si>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</si>
  <si>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</si>
  <si>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</si>
  <si>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</si>
  <si>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</si>
  <si>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</si>
  <si>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</si>
  <si>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</si>
  <si>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</si>
  <si>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</si>
  <si>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</si>
  <si>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</si>
  <si>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</si>
  <si>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</si>
  <si>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</si>
  <si>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</si>
  <si>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</si>
  <si>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</si>
  <si>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</si>
  <si>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</si>
  <si>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</si>
  <si>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</si>
  <si>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</si>
  <si>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</si>
  <si>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</si>
  <si>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</si>
  <si>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</si>
  <si>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</si>
  <si>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</si>
  <si>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</si>
  <si>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</si>
  <si>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</si>
  <si>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</si>
  <si>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</si>
  <si>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</si>
  <si>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</si>
  <si>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</si>
  <si>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</si>
  <si>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</si>
  <si>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</si>
  <si>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</si>
  <si>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</si>
  <si>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</si>
  <si>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</si>
  <si>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</si>
  <si>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</si>
  <si>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</si>
  <si>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</si>
  <si>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</si>
  <si>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</si>
  <si>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</si>
  <si>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</si>
  <si>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</si>
  <si>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</si>
  <si>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</si>
  <si>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</si>
  <si>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</si>
  <si>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</si>
  <si>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</si>
  <si>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</si>
  <si>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</si>
  <si>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</si>
  <si>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</si>
  <si>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</si>
  <si>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</si>
  <si>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</si>
  <si>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</si>
  <si>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</si>
  <si>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</si>
  <si>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</si>
  <si>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</si>
  <si>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</si>
  <si>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</si>
  <si>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</si>
  <si>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</si>
  <si>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</si>
  <si>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</si>
  <si>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</si>
  <si>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</si>
  <si>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</si>
  <si>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</si>
  <si>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</si>
  <si>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</si>
  <si>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</si>
  <si>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</si>
  <si>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</si>
  <si>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</si>
  <si>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</si>
  <si>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</si>
  <si>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</si>
  <si>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</si>
  <si>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</si>
  <si>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</si>
  <si>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</si>
  <si>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</si>
  <si>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</si>
  <si>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</si>
  <si>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</si>
  <si>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</si>
  <si>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</si>
  <si>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</si>
  <si>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</si>
  <si>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</si>
  <si>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</si>
  <si>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</si>
  <si>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</si>
  <si>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</si>
  <si>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</si>
  <si>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</si>
  <si>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</si>
  <si>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</si>
  <si>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</si>
  <si>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</si>
  <si>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</si>
  <si>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</si>
  <si>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</si>
  <si>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</si>
  <si>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</si>
  <si>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</si>
  <si>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</si>
  <si>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</si>
  <si>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</si>
  <si>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</si>
  <si>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</si>
  <si>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</si>
  <si>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</si>
  <si>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</si>
  <si>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</si>
  <si>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</si>
  <si>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</si>
  <si>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</si>
  <si>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</si>
  <si>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</si>
  <si>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</si>
  <si>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</si>
  <si>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</si>
  <si>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</si>
  <si>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</si>
  <si>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</si>
  <si>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</si>
  <si>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</si>
  <si>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</si>
  <si>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</si>
  <si>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</si>
  <si>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</si>
  <si>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</si>
  <si>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</si>
  <si>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</si>
  <si>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</si>
  <si>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</si>
  <si>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</si>
  <si>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</si>
  <si>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</si>
  <si>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</si>
  <si>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</si>
  <si>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</si>
  <si>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</si>
  <si>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</si>
  <si>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</si>
  <si>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</si>
  <si>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</si>
  <si>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</si>
  <si>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</si>
  <si>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</si>
  <si>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</si>
  <si>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</si>
  <si>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</si>
  <si>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</si>
  <si>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</si>
  <si>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</si>
  <si>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</si>
  <si>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</si>
  <si>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</si>
  <si>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</si>
  <si>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</si>
  <si>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</si>
  <si>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</si>
  <si>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</si>
  <si>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</si>
  <si>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</si>
  <si>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</si>
  <si>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</si>
  <si>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</si>
  <si>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</si>
  <si>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</si>
  <si>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</si>
  <si>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</si>
  <si>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</si>
  <si>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</si>
  <si>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</si>
  <si>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</si>
  <si>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</si>
  <si>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</si>
  <si>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</si>
  <si>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</si>
  <si>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Clemson: 227 - 274 :Iowa</t>
  </si>
  <si>
    <t>UPSET! Normal winner is Vanderbilt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</si>
  <si>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</si>
  <si>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</si>
  <si>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</si>
  <si>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</si>
  <si>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</si>
  <si>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</si>
  <si>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</si>
  <si>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</si>
  <si>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</si>
  <si>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UPSET! Normal winner is Brigham Young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</si>
  <si>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</si>
  <si>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</si>
  <si>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</si>
  <si>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</si>
  <si>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</si>
  <si>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</si>
  <si>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</si>
  <si>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UPSET! Normal winner is Miami (OH)</t>
  </si>
  <si>
    <t>Virginia: 400 - 101 :Wright State</t>
  </si>
  <si>
    <t>Kentucky: 278 - 223 :Santa Clara</t>
  </si>
  <si>
    <t>Iowa State: 463 - 38 :Tennessee State</t>
  </si>
  <si>
    <t>Duke: 419 - 82 :TCU</t>
  </si>
  <si>
    <t>St. John's (NY): 205 - 296 :Kansas</t>
  </si>
  <si>
    <t>South Florida: 215 - 286 :Michigan State</t>
  </si>
  <si>
    <t>UCF: 197 - 304 :Connecticut</t>
  </si>
  <si>
    <t>Florida: 463 - 38 :Iowa</t>
  </si>
  <si>
    <t>McNeese State: 105 - 396 :Nebraska</t>
  </si>
  <si>
    <t>North Carolina: 218 - 283 :Illinois</t>
  </si>
  <si>
    <t>Saint Mary's (CA): 301 - 200 :Houston</t>
  </si>
  <si>
    <t>Arizona: 403 - 98 :Villanova</t>
  </si>
  <si>
    <t>UPSET! Normal winner is Arkansas</t>
  </si>
  <si>
    <t>Texas: 177 - 324 :Gonzaga</t>
  </si>
  <si>
    <t>Miami (FL): 235 - 266 :Purdue</t>
  </si>
  <si>
    <t>Michigan: 381 - 120 :Saint Louis</t>
  </si>
  <si>
    <t>Texas Tech: 345 - 156 :Alabama</t>
  </si>
  <si>
    <t>Tennessee: 253 - 248 :Virginia</t>
  </si>
  <si>
    <t>Kentucky: 126 - 375 :Iowa State</t>
  </si>
  <si>
    <t>UPSET! Normal winner is Duke</t>
  </si>
  <si>
    <t>Michigan State: 213 - 288 :Connecticut</t>
  </si>
  <si>
    <t>Florida: 394 - 107 :Nebraska</t>
  </si>
  <si>
    <t>Illinois: 238 - 263 :Saint Mary's (CA)</t>
  </si>
  <si>
    <t>Arizona: 434 - 67 :Wisconsin</t>
  </si>
  <si>
    <t>Gonzaga: 272 - 229 :Purdue</t>
  </si>
  <si>
    <t>Michigan: 177 - 324 :Texas Tech</t>
  </si>
  <si>
    <t>Tennessee: 157 - 344 :Iowa State</t>
  </si>
  <si>
    <t>UPSET! Normal winner is Kansas</t>
  </si>
  <si>
    <t>Florida: 344 - 157 :Saint Mary's (CA)</t>
  </si>
  <si>
    <t>Arizona: 378 - 123 :Gonzaga</t>
  </si>
  <si>
    <t>Texas Tech: 365 - 136 :Iowa State</t>
  </si>
  <si>
    <t>Connecticut: 86 - 415 :Florida</t>
  </si>
  <si>
    <t>Arizona: 316 - 185 :Texas Tech</t>
  </si>
  <si>
    <t>Florida: 217 - 284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</si>
</sst>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Vanderbilt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0.41</v>
      </c>
      <c r="M15" s="83" t="e" vm="86">
        <f>_xlfn.XLOOKUP(I15,Teams!$C:$C,Teams!$E:$E,,0,1)</f>
        <v>#VALUE!</v>
      </c>
      <c r="N15" s="83">
        <v>0.59</v>
      </c>
      <c r="O15" s="192" t="str">
        <f t="shared" si="3"/>
        <v>McNeese State</v>
      </c>
      <c r="P15" s="207" t="e" vm="86">
        <f>_xlfn.XLOOKUP(O15,Teams!$C:$C,Teams!$E:$E,,0,1)</f>
        <v>#VALUE!</v>
      </c>
      <c r="Q15" s="226" t="s">
        <v>1141</v>
      </c>
      <c r="R15" s="6" t="b">
        <f t="shared" si="5"/>
        <v>1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Brigham Young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0.46</v>
      </c>
      <c r="M25" s="82" t="e" vm="106">
        <f>_xlfn.XLOOKUP(I25,Teams!$C:$C,Teams!$E:$E,,0,1)</f>
        <v>#VALUE!</v>
      </c>
      <c r="N25" s="82">
        <v>0.54</v>
      </c>
      <c r="O25" s="189" t="str">
        <f t="shared" si="3"/>
        <v>Texas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Miami (OH)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0.65</v>
      </c>
      <c r="M33" s="83" t="e" vm="122">
        <f>_xlfn.XLOOKUP(I33,Teams!$C:$C,Teams!$E:$E,,0,1)</f>
        <v>#VALUE!</v>
      </c>
      <c r="N33" s="83">
        <v>0.35</v>
      </c>
      <c r="O33" s="192" t="str">
        <f t="shared" si="3"/>
        <v>Tennessee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Santa Clara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0.55000000000000004</v>
      </c>
      <c r="M35" s="83" t="e" vm="126">
        <f>_xlfn.XLOOKUP(I35,Teams!$C:$C,Teams!$E:$E,,0,1)</f>
        <v>#VALUE!</v>
      </c>
      <c r="N35" s="83">
        <v>0.45</v>
      </c>
      <c r="O35" s="192" t="str">
        <f t="shared" si="3"/>
        <v>Kentucky</v>
      </c>
      <c r="P35" s="207" t="e" vm="125">
        <f>_xlfn.XLOOKUP(O35,Teams!$C:$C,Teams!$E:$E,,0,1)</f>
        <v>#VALUE!</v>
      </c>
      <c r="Q35" s="226" t="s">
        <v>1161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St. John's (NY)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0.41</v>
      </c>
      <c r="M39" s="82" t="e" vm="71">
        <f>_xlfn.XLOOKUP(I39,Teams!$C:$C,Teams!$E:$E,,0,1)</f>
        <v>#VALUE!</v>
      </c>
      <c r="N39" s="82">
        <v>0.59</v>
      </c>
      <c r="O39" s="189" t="str">
        <f t="shared" si="9"/>
        <v>Kansas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McNeese State</v>
      </c>
      <c r="B43" s="91" t="str">
        <f t="shared" si="11"/>
        <v>Nebraska</v>
      </c>
      <c r="C43" s="91" t="str">
        <f t="shared" si="7"/>
        <v>McNeese State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12</v>
      </c>
      <c r="G43" s="118" t="s">
        <v>571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6">
        <f>_xlfn.XLOOKUP(G43,Teams!$C:$C,Teams!$E:$E,,0,1)</f>
        <v>#VALUE!</v>
      </c>
      <c r="L43" s="83">
        <v>0.21</v>
      </c>
      <c r="M43" s="83" t="e" vm="87">
        <f>_xlfn.XLOOKUP(I43,Teams!$C:$C,Teams!$E:$E,,0,1)</f>
        <v>#VALUE!</v>
      </c>
      <c r="N43" s="83">
        <v>0.79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Arkansas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0.63</v>
      </c>
      <c r="M47" s="82" t="e" vm="103">
        <f>_xlfn.XLOOKUP(I47,Teams!$C:$C,Teams!$E:$E,,0,1)</f>
        <v>#VALUE!</v>
      </c>
      <c r="N47" s="82">
        <v>0.37</v>
      </c>
      <c r="O47" s="189" t="str">
        <f t="shared" si="9"/>
        <v>Wisconsin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Texas</v>
      </c>
      <c r="B48" s="152" t="str">
        <f t="shared" si="11"/>
        <v>Gonzaga</v>
      </c>
      <c r="C48" s="152" t="str">
        <f t="shared" si="7"/>
        <v>Texas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138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0.35</v>
      </c>
      <c r="M48" s="82" t="e" vm="107">
        <f>_xlfn.XLOOKUP(I48,Teams!$C:$C,Teams!$E:$E,,0,1)</f>
        <v>#VALUE!</v>
      </c>
      <c r="N48" s="82">
        <v>0.65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Tennessee</v>
      </c>
      <c r="B52" s="91" t="str">
        <f t="shared" si="11"/>
        <v>Virginia</v>
      </c>
      <c r="C52" s="91" t="str">
        <f t="shared" si="7"/>
        <v>Tennessee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130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</v>
      </c>
      <c r="M52" s="83" t="e" vm="123">
        <f>_xlfn.XLOOKUP(I52,Teams!$C:$C,Teams!$E:$E,,0,1)</f>
        <v>#VALUE!</v>
      </c>
      <c r="N52" s="83">
        <v>0.5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Kentucky</v>
      </c>
      <c r="B53" s="91" t="str">
        <f t="shared" si="11"/>
        <v>Iowa State</v>
      </c>
      <c r="C53" s="91" t="str">
        <f t="shared" si="7"/>
        <v>Kentucky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131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Kansas</v>
      </c>
      <c r="C55" s="91" t="str">
        <f t="shared" ref="C55:C62" si="12">IF(O55="","",IF(A55=O55,B55,A55))</f>
        <v>Duke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110</v>
      </c>
      <c r="J55" s="96" cm="1">
        <f t="array" ref="J55">_xlfn.XLOOKUP(I55,Teams[[#All],[Team]],Teams[[#All],[Seed]],0,0,1)</f>
        <v>4</v>
      </c>
      <c r="K55" s="97" t="e" vm="65">
        <f>_xlfn.XLOOKUP(G55,Teams!$C:$C,Teams!$E:$E,,0,1)</f>
        <v>#VALUE!</v>
      </c>
      <c r="L55" s="97">
        <v>0.4</v>
      </c>
      <c r="M55" s="97" t="e" vm="71">
        <f>_xlfn.XLOOKUP(I55,Teams!$C:$C,Teams!$E:$E,,0,1)</f>
        <v>#VALUE!</v>
      </c>
      <c r="N55" s="97">
        <v>0.6</v>
      </c>
      <c r="O55" s="188" t="str">
        <f t="shared" ref="O55:O62" si="14">IF(L55&gt;N55,G55,I55)</f>
        <v>Kansas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1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Wisconsin</v>
      </c>
      <c r="C59" s="152" t="str">
        <f t="shared" si="12"/>
        <v>Wisconsin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96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0.87</v>
      </c>
      <c r="M59" s="84" t="e" vm="101">
        <f>_xlfn.XLOOKUP(I59,Teams!$C:$C,Teams!$E:$E,,0,1)</f>
        <v>#VALUE!</v>
      </c>
      <c r="N59" s="84">
        <v>0.13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Purdue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0.54</v>
      </c>
      <c r="M60" s="139" t="e" vm="111">
        <f>_xlfn.XLOOKUP(I60,Teams!$C:$C,Teams!$E:$E,,0,1)</f>
        <v>#VALUE!</v>
      </c>
      <c r="N60" s="139">
        <v>0.46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1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Tennessee</v>
      </c>
      <c r="B62" s="91" t="str">
        <f t="shared" si="16"/>
        <v>Iowa State</v>
      </c>
      <c r="C62" s="91" t="str">
        <f t="shared" si="12"/>
        <v>Tennessee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130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1">
        <f>_xlfn.XLOOKUP(G62,Teams!$C:$C,Teams!$E:$E,,0,1)</f>
        <v>#VALUE!</v>
      </c>
      <c r="L62" s="151">
        <v>0.31</v>
      </c>
      <c r="M62" s="151" t="e" vm="127">
        <f>_xlfn.XLOOKUP(I62,Teams!$C:$C,Teams!$E:$E,,0,1)</f>
        <v>#VALUE!</v>
      </c>
      <c r="N62" s="151">
        <v>0.69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Kansas</v>
      </c>
      <c r="B64" s="91" t="str">
        <f>I64</f>
        <v>Connecticut</v>
      </c>
      <c r="C64" s="91" t="str">
        <f>IF(O64="","",IF(A64=O64,B64,A64))</f>
        <v>Kansas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110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71">
        <f>_xlfn.XLOOKUP(G64,Teams!$C:$C,Teams!$E:$E,,0,1)</f>
        <v>#VALUE!</v>
      </c>
      <c r="L64" s="158">
        <v>0.38</v>
      </c>
      <c r="M64" s="158" t="e" vm="79">
        <f>_xlfn.XLOOKUP(I64,Teams!$C:$C,Teams!$E:$E,,0,1)</f>
        <v>#VALUE!</v>
      </c>
      <c r="N64" s="158">
        <v>0.62</v>
      </c>
      <c r="O64" s="198" t="str">
        <f>IF(L64&gt;N64,G64,I64)</f>
        <v>Connecticut</v>
      </c>
      <c r="P64" s="204" t="e" vm="79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Gonzaga</v>
      </c>
      <c r="C66" s="91" t="str">
        <f>IF(O66="","",IF(A66=O66,B66,A66))</f>
        <v>Gonzaga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7">
        <f>_xlfn.XLOOKUP(G66,Teams!$C:$C,Teams!$E:$E,,0,1)</f>
        <v>#VALUE!</v>
      </c>
      <c r="L66" s="158">
        <v>0.75</v>
      </c>
      <c r="M66" s="158" t="e" vm="107">
        <f>_xlfn.XLOOKUP(I66,Teams!$C:$C,Teams!$E:$E,,0,1)</f>
        <v>#VALUE!</v>
      </c>
      <c r="N66" s="158">
        <v>0.25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Connecticut</v>
      </c>
      <c r="B69" s="91" t="str">
        <f>I69</f>
        <v>Florida</v>
      </c>
      <c r="C69" s="91" t="str">
        <f>IF(O69="","",IF(A69=O69,B69,A69))</f>
        <v>Connecticut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2</v>
      </c>
      <c r="G69" s="167" t="s">
        <v>88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9">
        <f>_xlfn.XLOOKUP(G69,Teams!$C:$C,Teams!$E:$E,,0,1)</f>
        <v>#VALUE!</v>
      </c>
      <c r="L69" s="170">
        <v>0.17</v>
      </c>
      <c r="M69" s="170" t="e" vm="81">
        <f>_xlfn.XLOOKUP(I69,Teams!$C:$C,Teams!$E:$E,,0,1)</f>
        <v>#VALUE!</v>
      </c>
      <c r="N69" s="170">
        <v>0.83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Arizona</v>
      </c>
      <c r="C72" s="91" t="str">
        <f>IF(O72="","",IF(A72=O72,B72,A72))</f>
        <v>Florida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81">
        <f>_xlfn.XLOOKUP(G72,Teams!$C:$C,Teams!$E:$E,,0,1)</f>
        <v>#VALUE!</v>
      </c>
      <c r="L72" s="158">
        <v>0.43</v>
      </c>
      <c r="M72" s="158" t="e" vm="97">
        <f>_xlfn.XLOOKUP(I72,Teams!$C:$C,Teams!$E:$E,,0,1)</f>
        <v>#VALUE!</v>
      </c>
      <c r="N72" s="158">
        <v>0.56999999999999995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0.87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Kansas</v>
      </c>
      <c r="M11" s="247" t="e" vm="71">
        <f>_xlfn.XLOOKUP(L11,Teams!$C:$C,Teams!$E:$E,,0,1)</f>
        <v>#VALUE!</v>
      </c>
      <c r="N11" s="264">
        <f>Games!L64</f>
        <v>0.38</v>
      </c>
      <c r="O11" s="25"/>
      <c r="P11" s="25"/>
      <c r="R11" s="25"/>
      <c r="S11" s="25"/>
      <c r="T11" s="251" t="e" vm="9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0.75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0.41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0.63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Kansas</v>
      </c>
      <c r="J15" s="247" t="e" vm="71">
        <f>_xlfn.XLOOKUP(I15,Teams!$C:$C,Teams!$E:$E,,0,1)</f>
        <v>#VALUE!</v>
      </c>
      <c r="K15" s="277">
        <f>Games!N55</f>
        <v>0.6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0.13</v>
      </c>
      <c r="AF15" s="249" t="e" vm="101">
        <f>_xlfn.XLOOKUP(AG15,Teams!$C:$C,Teams!$E:$E,,0,1)</f>
        <v>#VALUE!</v>
      </c>
      <c r="AG15" s="262" t="str">
        <f>Games!O47</f>
        <v>Wisconsin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0.59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0.37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Connecticut</v>
      </c>
      <c r="P19" s="247" t="e" vm="79">
        <f>_xlfn.XLOOKUP(O19,Teams!$C:$C,Teams!$E:$E,,0,1)</f>
        <v>#VALUE!</v>
      </c>
      <c r="Q19" s="264">
        <f>Games!L69</f>
        <v>0.17</v>
      </c>
      <c r="R19" s="25"/>
      <c r="S19" s="25"/>
      <c r="T19" s="257"/>
      <c r="U19" s="258"/>
      <c r="V19" s="259"/>
      <c r="W19" s="25"/>
      <c r="X19" s="25"/>
      <c r="Y19" s="264">
        <f>Games!L70</f>
        <v>0.63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0.35</v>
      </c>
      <c r="AI21" s="249" t="e" vm="106">
        <f>_xlfn.XLOOKUP(AJ21,Teams!$C:$C,Teams!$E:$E,,0,1)</f>
        <v>#VALUE!</v>
      </c>
      <c r="AJ21" s="262" t="str">
        <f>Games!O25</f>
        <v>Texas</v>
      </c>
      <c r="AK21" s="58">
        <f>Games!L25</f>
        <v>0.46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0.54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0.54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0.65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0.62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0.43</v>
      </c>
      <c r="W27" s="24"/>
      <c r="X27" s="25"/>
      <c r="Y27" s="56"/>
      <c r="AA27" s="25"/>
      <c r="AB27" s="269">
        <f>Games!N66</f>
        <v>0.25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0.46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0.56999999999999995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0.41</v>
      </c>
      <c r="F45" s="262" t="str">
        <f>Games!O15</f>
        <v>McNeese State</v>
      </c>
      <c r="G45" s="247" t="e" vm="86">
        <f>_xlfn.XLOOKUP(F45,Teams!$C:$C,Teams!$E:$E,,0,1)</f>
        <v>#VALUE!</v>
      </c>
      <c r="H45" s="264">
        <f>Games!L43</f>
        <v>0.21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0.59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0.79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0.83</v>
      </c>
      <c r="R51" s="25"/>
      <c r="S51" s="25"/>
      <c r="T51" s="25"/>
      <c r="U51" s="75"/>
      <c r="V51" s="25"/>
      <c r="W51" s="25"/>
      <c r="X51" s="25"/>
      <c r="Y51" s="269">
        <f>Games!N70</f>
        <v>0.37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0.5</v>
      </c>
      <c r="AI53" s="249" t="e" vm="121">
        <f>_xlfn.XLOOKUP(AJ53,Teams!$C:$C,Teams!$E:$E,,0,1)</f>
        <v>#VALUE!</v>
      </c>
      <c r="AJ53" s="262" t="str">
        <f>Games!O33</f>
        <v>Tennessee</v>
      </c>
      <c r="AK53" s="58">
        <f>Games!L33</f>
        <v>0.65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0.31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0.35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5">
        <f>_xlfn.XLOOKUP(AJ61,Teams!$C:$C,Teams!$E:$E,,0,1)</f>
        <v>#VALUE!</v>
      </c>
      <c r="AJ61" s="262" t="str">
        <f>Games!O35</f>
        <v>Kentucky</v>
      </c>
      <c r="AK61" s="58">
        <f>Games!L35</f>
        <v>0.55000000000000004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0.69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0.45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