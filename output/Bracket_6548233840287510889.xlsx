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63C89411-3A25-4380-B236-780AEBEDD0E7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<sst xmlns="http://schemas.openxmlformats.org/spreadsheetml/2006/main" count="1526" uniqueCount="1194">
  <si>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</si>
  <si>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</si>
  <si>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</si>
  <si>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</si>
  <si>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</si>
  <si>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</si>
  <si>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</si>
  <si>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</si>
  <si>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</si>
  <si>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</si>
  <si>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</si>
  <si>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</si>
  <si>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</si>
  <si>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</si>
  <si>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</si>
  <si>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</si>
  <si>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</si>
  <si>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</si>
  <si>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</si>
  <si>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</si>
  <si>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</si>
  <si>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</si>
  <si>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</si>
  <si>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</si>
  <si>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</si>
  <si>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</si>
  <si>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</si>
  <si>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</si>
  <si>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</si>
  <si>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</si>
  <si>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</si>
  <si>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</si>
  <si>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</si>
  <si>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</si>
  <si>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</si>
  <si>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</si>
  <si>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</si>
  <si>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</si>
  <si>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</si>
  <si>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</si>
  <si>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</si>
  <si>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</si>
  <si>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</si>
  <si>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</si>
  <si>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</si>
  <si>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</si>
  <si>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</si>
  <si>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</si>
  <si>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</si>
  <si>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</si>
  <si>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</si>
  <si>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</si>
  <si>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</si>
  <si>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</si>
  <si>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</si>
  <si>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</si>
  <si>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</si>
  <si>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</si>
  <si>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</si>
  <si>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</si>
  <si>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</si>
  <si>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</si>
  <si>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</si>
  <si>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</si>
  <si>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</si>
  <si>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</si>
  <si>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</si>
  <si>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</si>
  <si>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</si>
  <si>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</si>
  <si>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</si>
  <si>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</si>
  <si>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</si>
  <si>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</si>
  <si>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</si>
  <si>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</si>
  <si>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</si>
  <si>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</si>
  <si>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</si>
  <si>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</si>
  <si>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</si>
  <si>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</si>
  <si>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</si>
  <si>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</si>
  <si>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</si>
  <si>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</si>
  <si>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</si>
  <si>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</si>
  <si>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</si>
  <si>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</si>
  <si>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</si>
  <si>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</si>
  <si>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</si>
  <si>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</si>
  <si>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</si>
  <si>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</si>
  <si>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</si>
  <si>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</si>
  <si>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</si>
  <si>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</si>
  <si>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</si>
  <si>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</si>
  <si>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</si>
  <si>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</si>
  <si>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</si>
  <si>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</si>
  <si>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</si>
  <si>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</si>
  <si>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</si>
  <si>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</si>
  <si>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</si>
  <si>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</si>
  <si>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</si>
  <si>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</si>
  <si>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</si>
  <si>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</si>
  <si>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</si>
  <si>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</si>
  <si>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</si>
  <si>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</si>
  <si>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</si>
  <si>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</si>
  <si>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</si>
  <si>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</si>
  <si>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</si>
  <si>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</si>
  <si>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</si>
  <si>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</si>
  <si>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</si>
  <si>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</si>
  <si>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</si>
  <si>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</si>
  <si>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</si>
  <si>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</si>
  <si>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</si>
  <si>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</si>
  <si>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</si>
  <si>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</si>
  <si>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</si>
  <si>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</si>
  <si>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</si>
  <si>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</si>
  <si>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</si>
  <si>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</si>
  <si>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</si>
  <si>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</si>
  <si>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</si>
  <si>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</si>
  <si>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</si>
  <si>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</si>
  <si>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</si>
  <si>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</si>
  <si>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</si>
  <si>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</si>
  <si>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</si>
  <si>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</si>
  <si>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</si>
  <si>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</si>
  <si>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</si>
  <si>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</si>
  <si>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</si>
  <si>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</si>
  <si>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</si>
  <si>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</si>
  <si>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</si>
  <si>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</si>
  <si>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</si>
  <si>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</si>
  <si>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</si>
  <si>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</si>
  <si>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</si>
  <si>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</si>
  <si>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</si>
  <si>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</si>
  <si>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</si>
  <si>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</si>
  <si>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</si>
  <si>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</si>
  <si>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</si>
  <si>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</si>
  <si>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</si>
  <si>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</si>
  <si>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</si>
  <si>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</si>
  <si>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</si>
  <si>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</si>
  <si>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</si>
  <si>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</si>
  <si>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</si>
  <si>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</si>
  <si>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</si>
  <si>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</si>
  <si>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</si>
  <si>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</si>
  <si>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</si>
  <si>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</si>
  <si>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</si>
  <si>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</si>
  <si>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</si>
  <si>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</si>
  <si>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</si>
  <si>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</si>
  <si>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</si>
  <si>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</si>
  <si>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</si>
  <si>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</si>
  <si>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</si>
  <si>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</si>
  <si>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</si>
  <si>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</si>
  <si>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</si>
  <si>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</si>
  <si>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</si>
  <si>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</si>
  <si>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</si>
  <si>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</si>
  <si>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</si>
  <si>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</si>
  <si>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</si>
  <si>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</si>
  <si>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</si>
  <si>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</si>
  <si>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</si>
  <si>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</si>
  <si>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</si>
  <si>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</si>
  <si>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</si>
  <si>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</si>
  <si>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</si>
  <si>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</si>
  <si>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</si>
  <si>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</si>
  <si>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</si>
  <si>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</si>
  <si>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</si>
  <si>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</si>
  <si>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</si>
  <si>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</si>
  <si>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</si>
  <si>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</si>
  <si>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</si>
  <si>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</si>
  <si>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</si>
  <si>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</si>
  <si>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</si>
  <si>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</si>
  <si>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</si>
  <si>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</si>
  <si>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</si>
  <si>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</si>
  <si>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</si>
  <si>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</si>
  <si>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</si>
  <si>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</si>
  <si>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</si>
  <si>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</si>
  <si>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</si>
  <si>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</si>
  <si>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</si>
  <si>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</si>
  <si>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</si>
  <si>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</si>
  <si>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</si>
  <si>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</si>
  <si>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</si>
  <si>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</si>
  <si>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</si>
  <si>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</si>
  <si>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</si>
  <si>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</si>
  <si>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</si>
  <si>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</si>
  <si>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</si>
  <si>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</si>
  <si>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</si>
  <si>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</si>
  <si>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</si>
  <si>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</si>
  <si>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</si>
  <si>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</si>
  <si>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</si>
  <si>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</si>
  <si>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</si>
  <si>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</si>
  <si>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</si>
  <si>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</si>
  <si>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</si>
  <si>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</si>
  <si>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</si>
  <si>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</si>
  <si>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</si>
  <si>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</si>
  <si>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</si>
  <si>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</si>
  <si>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</si>
  <si>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</si>
  <si>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</si>
  <si>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</si>
  <si>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</si>
  <si>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</si>
  <si>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</si>
  <si>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</si>
  <si>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</si>
  <si>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</si>
  <si>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</si>
  <si>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</si>
  <si>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</si>
  <si>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</si>
  <si>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</si>
  <si>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</si>
  <si>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</si>
  <si>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</si>
  <si>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</si>
  <si>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</si>
  <si>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</si>
  <si>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</si>
  <si>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</si>
  <si>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</si>
  <si>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</si>
  <si>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</si>
  <si>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</si>
  <si>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</si>
  <si>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</si>
  <si>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</si>
  <si>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</si>
  <si>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</si>
  <si>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</si>
  <si>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</si>
  <si>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</si>
  <si>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</si>
  <si>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</si>
  <si>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</si>
  <si>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</si>
  <si>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</si>
  <si>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</si>
  <si>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</si>
  <si>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</si>
  <si>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</si>
  <si>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</si>
  <si>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</si>
  <si>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</si>
  <si>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</si>
  <si>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</si>
  <si>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</si>
  <si>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</si>
  <si>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</si>
  <si>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</si>
  <si>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</si>
  <si>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</si>
  <si>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</si>
  <si>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</si>
  <si>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</si>
  <si>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</si>
  <si>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</si>
  <si>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</si>
  <si>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</si>
  <si>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</si>
  <si>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</si>
  <si>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</si>
  <si>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</si>
  <si>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</si>
  <si>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</si>
  <si>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</si>
  <si>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</si>
  <si>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</si>
  <si>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</si>
  <si>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</si>
  <si>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</si>
  <si>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</si>
  <si>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</si>
  <si>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</si>
  <si>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</si>
  <si>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</si>
  <si>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</si>
  <si>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</si>
  <si>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</si>
  <si>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</si>
  <si>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</si>
  <si>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</si>
  <si>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</si>
  <si>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</si>
  <si>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</si>
  <si>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</si>
  <si>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</si>
  <si>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</si>
  <si>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</si>
  <si>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</si>
  <si>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</si>
  <si>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</si>
  <si>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</si>
  <si>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</si>
  <si>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</si>
  <si>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</si>
  <si>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</si>
  <si>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</si>
  <si>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</si>
  <si>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</si>
  <si>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</si>
  <si>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</si>
  <si>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</si>
  <si>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</si>
  <si>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</si>
  <si>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</si>
  <si>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</si>
  <si>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</si>
  <si>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</si>
  <si>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</si>
  <si>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</si>
  <si>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</si>
  <si>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</si>
  <si>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</si>
  <si>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</si>
  <si>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</si>
  <si>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</si>
  <si>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</si>
  <si>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</si>
  <si>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</si>
  <si>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</si>
  <si>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</si>
  <si>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</si>
  <si>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</si>
  <si>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</si>
  <si>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</si>
  <si>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</si>
  <si>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</si>
  <si>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</si>
  <si>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</si>
  <si>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</si>
  <si>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</si>
  <si>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</si>
  <si>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</si>
  <si>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</si>
  <si>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</si>
  <si>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</si>
  <si>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</si>
  <si>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</si>
  <si>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</si>
  <si>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</si>
  <si>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</si>
  <si>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</si>
  <si>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</si>
  <si>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</si>
  <si>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</si>
  <si>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</si>
  <si>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</si>
  <si>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</si>
  <si>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</si>
  <si>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</si>
  <si>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</si>
  <si>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</si>
  <si>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</si>
  <si>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</si>
  <si>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</si>
  <si>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</si>
  <si>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</si>
  <si>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</si>
  <si>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</si>
  <si>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</si>
  <si>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</si>
  <si>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</si>
  <si>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</si>
  <si>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</si>
  <si>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</si>
  <si>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</si>
  <si>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</si>
  <si>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</si>
  <si>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</si>
  <si>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</si>
  <si>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</si>
  <si>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</si>
  <si>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</si>
  <si>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</si>
  <si>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</si>
  <si>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</si>
  <si>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</si>
  <si>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</si>
  <si>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</si>
  <si>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</si>
  <si>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</si>
  <si>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</si>
  <si>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</si>
  <si>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</si>
  <si>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</si>
  <si>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</si>
  <si>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</si>
  <si>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</si>
  <si>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</si>
  <si>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</si>
  <si>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</si>
  <si>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</si>
  <si>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</si>
  <si>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</si>
  <si>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</si>
  <si>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</si>
  <si>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</si>
  <si>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</si>
  <si>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</si>
  <si>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</si>
  <si>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</si>
  <si>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</si>
  <si>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</si>
  <si>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</si>
  <si>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</si>
  <si>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</si>
  <si>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</si>
  <si>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</si>
  <si>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</si>
  <si>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</si>
  <si>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</si>
  <si>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</si>
  <si>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</si>
  <si>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</si>
  <si>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</si>
  <si>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</si>
  <si>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</si>
  <si>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</si>
  <si>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</si>
  <si>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</si>
  <si>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</si>
  <si>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</si>
  <si>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</si>
  <si>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</si>
  <si>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</si>
  <si>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</si>
  <si>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</si>
  <si>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</si>
  <si>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</si>
  <si>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</si>
  <si>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</si>
  <si>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</si>
  <si>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</si>
  <si>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</si>
  <si>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</si>
  <si>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</si>
  <si>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</si>
  <si>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</si>
  <si>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</si>
  <si>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</si>
  <si>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</si>
  <si>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</si>
  <si>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</si>
  <si>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</si>
  <si>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</si>
  <si>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</si>
  <si>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</si>
  <si>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</si>
  <si>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</si>
  <si>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</si>
  <si>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</si>
  <si>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</si>
  <si>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</si>
  <si>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</si>
  <si>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</si>
  <si>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</si>
  <si>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</si>
  <si>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</si>
  <si>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</si>
  <si>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</si>
  <si>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</si>
  <si>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</si>
  <si>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</si>
  <si>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</si>
  <si>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</si>
  <si>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</si>
  <si>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</si>
  <si>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</si>
  <si>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</si>
  <si>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</si>
  <si>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</si>
  <si>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</si>
  <si>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</si>
  <si>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</si>
  <si>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</si>
  <si>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</si>
  <si>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</si>
  <si>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</si>
  <si>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</si>
  <si>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</si>
  <si>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</si>
  <si>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</si>
  <si>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</si>
  <si>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</si>
  <si>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</si>
  <si>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</si>
  <si>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</si>
  <si>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</si>
  <si>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</si>
  <si>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</si>
  <si>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</si>
  <si>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</si>
  <si>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</si>
  <si>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</si>
  <si>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</si>
  <si>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</si>
  <si>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</si>
  <si>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</si>
  <si>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</si>
  <si>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</si>
  <si>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</si>
  <si>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</si>
  <si>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</si>
  <si>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</si>
  <si>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</si>
  <si>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</si>
  <si>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</si>
  <si>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</si>
  <si>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</si>
  <si>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</si>
  <si>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</si>
  <si>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</si>
  <si>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</si>
  <si>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</si>
  <si>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</si>
  <si>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</si>
  <si>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</si>
  <si>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</si>
  <si>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</si>
  <si>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</si>
  <si>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</si>
  <si>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</si>
  <si>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</si>
  <si>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</si>
  <si>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</si>
  <si>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</si>
  <si>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</si>
  <si>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</si>
  <si>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</si>
  <si>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</si>
  <si>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</si>
  <si>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</si>
  <si>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</si>
  <si>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</si>
  <si>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</si>
  <si>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</si>
  <si>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</si>
  <si>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</si>
  <si>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</si>
  <si>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</si>
  <si>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</si>
  <si>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</si>
  <si>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</si>
  <si>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</si>
  <si>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</si>
  <si>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</si>
  <si>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</si>
  <si>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</si>
  <si>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</si>
  <si>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</si>
  <si>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</si>
  <si>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</si>
  <si>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</si>
  <si>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</si>
  <si>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</si>
  <si>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</si>
  <si>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</si>
  <si>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</si>
  <si>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</si>
  <si>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</si>
  <si>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</si>
  <si>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</si>
  <si>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</si>
  <si>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</si>
  <si>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</si>
  <si>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</si>
  <si>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</si>
  <si>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</si>
  <si>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</si>
  <si>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</si>
  <si>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</si>
  <si>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</si>
  <si>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</si>
  <si>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</si>
  <si>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</si>
  <si>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</si>
  <si>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</si>
  <si>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</si>
  <si>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</si>
  <si>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</si>
  <si>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</si>
  <si>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</si>
  <si>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</si>
  <si>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</si>
  <si>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</si>
  <si>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</si>
  <si>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</si>
  <si>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</si>
  <si>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</si>
  <si>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</si>
  <si>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</si>
  <si>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</si>
  <si>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</si>
  <si>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</si>
  <si>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</si>
  <si>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</si>
  <si>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</si>
  <si>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</si>
  <si>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</si>
  <si>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</si>
  <si>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</si>
  <si>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</si>
  <si>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</si>
  <si>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</si>
  <si>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</si>
  <si>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</si>
  <si>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</si>
  <si>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</si>
  <si>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</si>
  <si>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</si>
  <si>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</si>
  <si>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</si>
  <si>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</si>
  <si>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</si>
  <si>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</si>
  <si>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</si>
  <si>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</si>
  <si>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</si>
  <si>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</si>
  <si>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</si>
  <si>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</si>
  <si>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</si>
  <si>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</si>
  <si>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</si>
  <si>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</si>
  <si>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</si>
  <si>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</si>
  <si>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</si>
  <si>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</si>
  <si>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</si>
  <si>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</si>
  <si>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</si>
  <si>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</si>
  <si>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</si>
  <si>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</si>
  <si>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</si>
  <si>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</si>
  <si>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</si>
  <si>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</si>
  <si>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</si>
  <si>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</si>
  <si>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</si>
  <si>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</si>
  <si>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</si>
  <si>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</si>
  <si>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</si>
  <si>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</si>
  <si>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</si>
  <si>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</si>
  <si>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</si>
  <si>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</si>
  <si>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</si>
  <si>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</si>
  <si>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</si>
  <si>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</si>
  <si>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</si>
  <si>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</si>
  <si>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</si>
  <si>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</si>
  <si>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</si>
  <si>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</si>
  <si>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</si>
  <si>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</si>
  <si>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</si>
  <si>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</si>
  <si>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</si>
  <si>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</si>
  <si>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</si>
  <si>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</si>
  <si>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</si>
  <si>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</si>
  <si>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</si>
  <si>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</si>
  <si>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</si>
  <si>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</si>
  <si>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</si>
  <si>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</si>
  <si>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</si>
  <si>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</si>
  <si>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</si>
  <si>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</si>
  <si>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</si>
  <si>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</si>
  <si>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</si>
  <si>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</si>
  <si>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</si>
  <si>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</si>
  <si>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</si>
  <si>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</si>
  <si>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</si>
  <si>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</si>
  <si>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</si>
  <si>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</si>
  <si>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</si>
  <si>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</si>
  <si>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</si>
  <si>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</si>
  <si>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</si>
  <si>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</si>
  <si>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</si>
  <si>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</si>
  <si>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</si>
  <si>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</si>
  <si>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</si>
  <si>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</si>
  <si>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</si>
  <si>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</si>
  <si>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</si>
  <si>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</si>
  <si>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</si>
  <si>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</si>
  <si>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</si>
  <si>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</si>
  <si>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</si>
  <si>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</si>
  <si>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</si>
  <si>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</si>
  <si>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</si>
  <si>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</si>
  <si>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</si>
  <si>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</si>
  <si>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</si>
  <si>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</si>
  <si>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</si>
  <si>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</si>
  <si>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</si>
  <si>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</si>
  <si>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</si>
  <si>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</si>
  <si>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</si>
  <si>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</si>
  <si>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</si>
  <si>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</si>
  <si>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</si>
  <si>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</si>
  <si>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</si>
  <si>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</si>
  <si>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</si>
  <si>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</si>
  <si>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</si>
  <si>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</si>
  <si>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</si>
  <si>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</si>
  <si>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</si>
  <si>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</si>
  <si>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</si>
  <si>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</si>
  <si>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</si>
  <si>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</si>
  <si>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</si>
  <si>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</si>
  <si>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</si>
  <si>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</si>
  <si>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</si>
  <si>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</si>
  <si>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</si>
  <si>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</si>
  <si>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</si>
  <si>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</si>
  <si>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</si>
  <si>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</si>
  <si>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</si>
  <si>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</si>
  <si>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</si>
  <si>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</si>
  <si>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</si>
  <si>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</si>
  <si>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</si>
  <si>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</si>
  <si>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</si>
  <si>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</si>
  <si>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</si>
  <si>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</si>
  <si>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</si>
  <si>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</si>
  <si>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</si>
  <si>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</si>
  <si>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</si>
  <si>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</si>
  <si>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</si>
  <si>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</si>
  <si>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</si>
  <si>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</si>
  <si>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</si>
  <si>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</si>
  <si>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</si>
  <si>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</si>
  <si>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</si>
  <si>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</si>
  <si>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</si>
  <si>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</si>
  <si>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</si>
  <si>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</si>
  <si>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</si>
  <si>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</si>
  <si>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</si>
  <si>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</si>
  <si>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</si>
  <si>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</si>
  <si>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</si>
  <si>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</si>
  <si>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</si>
  <si>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</si>
  <si>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</si>
  <si>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</si>
  <si>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</si>
  <si>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</si>
  <si>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</si>
  <si>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</si>
  <si>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</si>
  <si>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</si>
  <si>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</si>
  <si>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</si>
  <si>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</si>
  <si>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</si>
  <si>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</si>
  <si>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</si>
  <si>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</si>
  <si>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</si>
  <si>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</si>
  <si>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</si>
  <si>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</si>
  <si>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</si>
  <si>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</si>
  <si>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</si>
  <si>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</si>
  <si>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</si>
  <si>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</si>
  <si>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</si>
  <si>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</si>
  <si>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</si>
  <si>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</si>
  <si>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</si>
  <si>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</si>
  <si>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</si>
  <si>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</si>
  <si>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</si>
  <si>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</si>
  <si>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</si>
  <si>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</si>
  <si>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</si>
  <si>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</si>
  <si>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</si>
  <si>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</si>
  <si>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</si>
  <si>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</si>
  <si>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</si>
  <si>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</si>
  <si>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</si>
  <si>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</si>
  <si>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</si>
  <si>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</si>
  <si>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</si>
  <si>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</si>
  <si>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</si>
  <si>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</si>
  <si>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</si>
  <si>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</si>
  <si>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</si>
  <si>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</si>
  <si>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</si>
  <si>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</si>
  <si>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</si>
  <si>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</si>
  <si>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</si>
  <si>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</si>
  <si>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</si>
  <si>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</si>
  <si>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</si>
  <si>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</si>
  <si>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</si>
  <si>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</si>
  <si>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</si>
  <si>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</si>
  <si>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</si>
  <si>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</si>
  <si>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</si>
  <si>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</si>
  <si>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</si>
  <si>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</si>
  <si>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</si>
  <si>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</si>
  <si>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</si>
  <si>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</si>
  <si>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</si>
  <si>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</si>
  <si>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</si>
  <si>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</si>
  <si>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</si>
  <si>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</si>
  <si>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</si>
  <si>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</si>
  <si>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</si>
  <si>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</si>
  <si>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</si>
  <si>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</si>
  <si>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</si>
  <si>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</si>
  <si>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</si>
  <si>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</si>
  <si>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</si>
  <si>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</si>
  <si>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</si>
  <si>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</si>
  <si>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</si>
  <si>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</si>
  <si>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</si>
  <si>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</si>
  <si>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</si>
  <si>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</si>
  <si>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</si>
  <si>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</si>
  <si>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</si>
  <si>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</si>
  <si>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</si>
  <si>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</si>
  <si>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</si>
  <si>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</si>
  <si>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</si>
  <si>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</si>
  <si>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</si>
  <si>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</si>
  <si>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</si>
  <si>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</si>
  <si>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</si>
  <si>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</si>
  <si>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</si>
  <si>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</si>
  <si>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</si>
  <si>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</si>
  <si>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</si>
  <si>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</si>
  <si>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</si>
  <si>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</si>
  <si>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</si>
  <si>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</si>
  <si>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</si>
  <si>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</si>
  <si>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</si>
  <si>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</si>
  <si>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</si>
  <si>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</si>
  <si>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</si>
  <si>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</si>
  <si>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</si>
  <si>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</si>
  <si>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</si>
  <si>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</si>
  <si>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</si>
  <si>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</si>
  <si>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</si>
  <si>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</si>
  <si>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</si>
  <si>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</si>
  <si>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</si>
  <si>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</si>
  <si>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</si>
  <si>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</si>
  <si>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</si>
  <si>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</si>
  <si>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</si>
  <si>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</si>
  <si>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</si>
  <si>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</si>
  <si>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</si>
  <si>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</si>
  <si>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</si>
  <si>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</si>
  <si>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</si>
  <si>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</si>
  <si>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</si>
  <si>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</si>
  <si>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</si>
  <si>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</si>
  <si>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</si>
  <si>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</si>
  <si>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</si>
  <si>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</si>
  <si>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</si>
  <si>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</si>
  <si>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</si>
  <si>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</si>
  <si>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</si>
  <si>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</si>
  <si>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</si>
  <si>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</si>
  <si>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</si>
  <si>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</si>
  <si>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</si>
  <si>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</si>
  <si>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</si>
  <si>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</si>
  <si>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</si>
  <si>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</si>
  <si>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</si>
  <si>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</si>
  <si>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</si>
  <si>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</si>
  <si>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</si>
  <si>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</si>
  <si>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</si>
  <si>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</si>
  <si>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</si>
  <si>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</si>
  <si>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</si>
  <si>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</si>
  <si>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</si>
  <si>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</si>
  <si>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</si>
  <si>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</si>
  <si>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</si>
  <si>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</si>
  <si>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</si>
  <si>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</si>
  <si>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</si>
  <si>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</si>
  <si>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</si>
  <si>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</si>
  <si>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</si>
  <si>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</si>
  <si>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</si>
  <si>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</si>
  <si>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</si>
  <si>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</si>
  <si>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</si>
  <si>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</si>
  <si>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</si>
  <si>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</si>
  <si>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</si>
  <si>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</si>
  <si>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</si>
  <si>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</si>
  <si>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</si>
  <si>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</si>
  <si>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</si>
  <si>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</si>
  <si>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</si>
  <si>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</si>
  <si>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</si>
  <si>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</si>
  <si>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</si>
  <si>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</si>
  <si>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</si>
  <si>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</si>
  <si>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</si>
  <si>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</si>
  <si>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</si>
  <si>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</si>
  <si>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</si>
  <si>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</si>
  <si>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</si>
  <si>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</si>
  <si>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</si>
  <si>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</si>
  <si>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</si>
  <si>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</si>
  <si>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</si>
  <si>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</si>
  <si>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UPSET! Normal winner is 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</si>
  <si>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</si>
  <si>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</si>
  <si>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</si>
  <si>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</si>
  <si>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</si>
  <si>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</si>
  <si>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</si>
  <si>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</si>
  <si>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UPSET! Normal winner is Michigan State</t>
  </si>
  <si>
    <t>UCF: 197 - 304 :Connecticut</t>
  </si>
  <si>
    <t>Florida: 463 - 38 :Iowa</t>
  </si>
  <si>
    <t>Vanderbilt: 197 - 304 :Nebraska</t>
  </si>
  <si>
    <t>North Carolina: 218 - 283 :Illinois</t>
  </si>
  <si>
    <t>Saint Mary's (CA): 301 - 200 :Houston</t>
  </si>
  <si>
    <t>UPSET! Normal winner is Arizona</t>
  </si>
  <si>
    <t>Wisconsin: 184 - 317 :Arkansas</t>
  </si>
  <si>
    <t>Brigham Young: 191 - 310 :Gonzaga</t>
  </si>
  <si>
    <t>Miami (FL): 235 - 266 :Purdue</t>
  </si>
  <si>
    <t>Michigan: 390 - 111 :Georgia</t>
  </si>
  <si>
    <t>Texas Tech: 345 - 156 :Alabama</t>
  </si>
  <si>
    <t>Miami (OH): 325 - 176 :Virginia</t>
  </si>
  <si>
    <t>Kentucky: 126 - 375 :Iowa State</t>
  </si>
  <si>
    <t>Duke: 303 - 198 :Kansas</t>
  </si>
  <si>
    <t>UPSET! Normal winner is Connecticut</t>
  </si>
  <si>
    <t>Florida: 394 - 107 :Nebraska</t>
  </si>
  <si>
    <t>Illinois: 238 - 263 :Saint Mary's (CA)</t>
  </si>
  <si>
    <t>Villanova: 241 - 260 :Arkansas</t>
  </si>
  <si>
    <t>UPSET! Normal winner is Gonzaga</t>
  </si>
  <si>
    <t>UPSET! Normal winner is Texas Tech</t>
  </si>
  <si>
    <t>Miami (OH): 227 - 274 :Iowa State</t>
  </si>
  <si>
    <t>Duke: 413 - 88 :South Florida</t>
  </si>
  <si>
    <t>Florida: 344 - 157 :Saint Mary's (CA)</t>
  </si>
  <si>
    <t>UPSET! Normal winner is Arkansas</t>
  </si>
  <si>
    <t>Michigan: 292 - 209 :Iowa State</t>
  </si>
  <si>
    <t>Duke: 215 - 286 :Florida</t>
  </si>
  <si>
    <t>Purdue: 205 - 296 :Michigan</t>
  </si>
  <si>
    <t>Florida: 365 - 136 :Michigan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</si>
</sst>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Saint Louis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Georgia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Michigan State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0.56999999999999995</v>
      </c>
      <c r="M40" s="82" t="e" vm="75">
        <f>_xlfn.XLOOKUP(I40,Teams!$C:$C,Teams!$E:$E,,0,1)</f>
        <v>#VALUE!</v>
      </c>
      <c r="N40" s="82">
        <v>0.43</v>
      </c>
      <c r="O40" s="189" t="str">
        <f t="shared" si="9"/>
        <v>South Florida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Arizona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0.2</v>
      </c>
      <c r="M46" s="84" t="e" vm="99">
        <f>_xlfn.XLOOKUP(I46,Teams!$C:$C,Teams!$E:$E,,0,1)</f>
        <v>#VALUE!</v>
      </c>
      <c r="N46" s="84">
        <v>0.8</v>
      </c>
      <c r="O46" s="194" t="str">
        <f t="shared" si="9"/>
        <v>Villanova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Georgia</v>
      </c>
      <c r="C50" s="91" t="str">
        <f t="shared" si="7"/>
        <v>Georgia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136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0.78</v>
      </c>
      <c r="M50" s="145" t="e" vm="115">
        <f>_xlfn.XLOOKUP(I50,Teams!$C:$C,Teams!$E:$E,,0,1)</f>
        <v>#VALUE!</v>
      </c>
      <c r="N50" s="145">
        <v>0.22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South Florida</v>
      </c>
      <c r="B56" s="91" t="str">
        <f t="shared" ref="B56:B62" si="16">I56</f>
        <v>Connecticut</v>
      </c>
      <c r="C56" s="91" t="str">
        <f t="shared" si="12"/>
        <v>Connecticut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885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4">
        <f>_xlfn.XLOOKUP(G56,Teams!$C:$C,Teams!$E:$E,,0,1)</f>
        <v>#VALUE!</v>
      </c>
      <c r="L56" s="139">
        <v>0.61</v>
      </c>
      <c r="M56" s="139" t="e" vm="79">
        <f>_xlfn.XLOOKUP(I56,Teams!$C:$C,Teams!$E:$E,,0,1)</f>
        <v>#VALUE!</v>
      </c>
      <c r="N56" s="139">
        <v>0.39</v>
      </c>
      <c r="O56" s="195" t="str">
        <f t="shared" si="14"/>
        <v>South Florida</v>
      </c>
      <c r="P56" s="210" t="e" vm="74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Villanova</v>
      </c>
      <c r="B59" s="152" t="str">
        <f t="shared" si="16"/>
        <v>Arkansas</v>
      </c>
      <c r="C59" s="152" t="str">
        <f t="shared" si="12"/>
        <v>Villanova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1056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9">
        <f>_xlfn.XLOOKUP(G59,Teams!$C:$C,Teams!$E:$E,,0,1)</f>
        <v>#VALUE!</v>
      </c>
      <c r="L59" s="84">
        <v>0.48</v>
      </c>
      <c r="M59" s="84" t="e" vm="103">
        <f>_xlfn.XLOOKUP(I59,Teams!$C:$C,Teams!$E:$E,,0,1)</f>
        <v>#VALUE!</v>
      </c>
      <c r="N59" s="84">
        <v>0.52</v>
      </c>
      <c r="O59" s="194" t="str">
        <f t="shared" si="14"/>
        <v>Arkansas</v>
      </c>
      <c r="P59" s="209" t="e" vm="103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Gonzaga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0.46</v>
      </c>
      <c r="M60" s="139" t="e" vm="111">
        <f>_xlfn.XLOOKUP(I60,Teams!$C:$C,Teams!$E:$E,,0,1)</f>
        <v>#VALUE!</v>
      </c>
      <c r="N60" s="139">
        <v>0.54</v>
      </c>
      <c r="O60" s="195" t="str">
        <f t="shared" si="14"/>
        <v>Purdue</v>
      </c>
      <c r="P60" s="210" t="e" vm="111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Texas Tech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0.65</v>
      </c>
      <c r="M61" s="145" t="e" vm="117">
        <f>_xlfn.XLOOKUP(I61,Teams!$C:$C,Teams!$E:$E,,0,1)</f>
        <v>#VALUE!</v>
      </c>
      <c r="N61" s="145">
        <v>0.35</v>
      </c>
      <c r="O61" s="196" t="str">
        <f t="shared" si="14"/>
        <v>Michigan</v>
      </c>
      <c r="P61" s="211" t="e" vm="113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South Florida</v>
      </c>
      <c r="C64" s="91" t="str">
        <f>IF(O64="","",IF(A64=O64,B64,A64))</f>
        <v>South Florida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885</v>
      </c>
      <c r="J64" s="157" cm="1">
        <f t="array" ref="J64">_xlfn.XLOOKUP(I64,Teams[[#All],[Team]],Teams[[#All],[Seed]],0,0,1)</f>
        <v>11</v>
      </c>
      <c r="K64" s="158" t="e" vm="65">
        <f>_xlfn.XLOOKUP(G64,Teams!$C:$C,Teams!$E:$E,,0,1)</f>
        <v>#VALUE!</v>
      </c>
      <c r="L64" s="158">
        <v>0.82</v>
      </c>
      <c r="M64" s="158" t="e" vm="74">
        <f>_xlfn.XLOOKUP(I64,Teams!$C:$C,Teams!$E:$E,,0,1)</f>
        <v>#VALUE!</v>
      </c>
      <c r="N64" s="158">
        <v>0.18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Arkansas</v>
      </c>
      <c r="B66" s="91" t="str">
        <f>I66</f>
        <v>Purdue</v>
      </c>
      <c r="C66" s="91" t="str">
        <f>IF(O66="","",IF(A66=O66,B66,A66))</f>
        <v>Arkansas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4</v>
      </c>
      <c r="G66" s="155" t="s">
        <v>41</v>
      </c>
      <c r="H66" s="185" t="s">
        <v>9</v>
      </c>
      <c r="I66" s="156" t="s">
        <v>132</v>
      </c>
      <c r="J66" s="157" cm="1">
        <f t="array" ref="J66">_xlfn.XLOOKUP(I66,Teams[[#All],[Team]],Teams[[#All],[Seed]],0,0,1)</f>
        <v>2</v>
      </c>
      <c r="K66" s="158" t="e" vm="103">
        <f>_xlfn.XLOOKUP(G66,Teams!$C:$C,Teams!$E:$E,,0,1)</f>
        <v>#VALUE!</v>
      </c>
      <c r="L66" s="158">
        <v>0.49</v>
      </c>
      <c r="M66" s="158" t="e" vm="111">
        <f>_xlfn.XLOOKUP(I66,Teams!$C:$C,Teams!$E:$E,,0,1)</f>
        <v>#VALUE!</v>
      </c>
      <c r="N66" s="158">
        <v>0.51</v>
      </c>
      <c r="O66" s="198" t="str">
        <f>IF(L66&gt;N66,G66,I66)</f>
        <v>Purdue</v>
      </c>
      <c r="P66" s="204" t="e" vm="111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Michigan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120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3">
        <f>_xlfn.XLOOKUP(G67,Teams!$C:$C,Teams!$E:$E,,0,1)</f>
        <v>#VALUE!</v>
      </c>
      <c r="L67" s="164">
        <v>0.57999999999999996</v>
      </c>
      <c r="M67" s="164" t="e" vm="127">
        <f>_xlfn.XLOOKUP(I67,Teams!$C:$C,Teams!$E:$E,,0,1)</f>
        <v>#VALUE!</v>
      </c>
      <c r="N67" s="164">
        <v>0.42</v>
      </c>
      <c r="O67" s="199" t="str">
        <f>IF(L67&gt;N67,G67,I67)</f>
        <v>Michigan</v>
      </c>
      <c r="P67" s="207" t="e" vm="113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Purdue</v>
      </c>
      <c r="B70" s="91" t="str">
        <f>I70</f>
        <v>Michigan</v>
      </c>
      <c r="C70" s="91" t="str">
        <f>IF(O70="","",IF(A70=O70,B70,A70))</f>
        <v>Purdue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2</v>
      </c>
      <c r="G70" s="161" t="s">
        <v>132</v>
      </c>
      <c r="H70" s="186" t="s">
        <v>9</v>
      </c>
      <c r="I70" s="162" t="s">
        <v>120</v>
      </c>
      <c r="J70" s="163" cm="1">
        <f t="array" ref="J70">_xlfn.XLOOKUP(I70,Teams[[#All],[Team]],Teams[[#All],[Seed]],0,0,1)</f>
        <v>1</v>
      </c>
      <c r="K70" s="164" t="e" vm="111">
        <f>_xlfn.XLOOKUP(G70,Teams!$C:$C,Teams!$E:$E,,0,1)</f>
        <v>#VALUE!</v>
      </c>
      <c r="L70" s="164">
        <v>0.41</v>
      </c>
      <c r="M70" s="164" t="e" vm="113">
        <f>_xlfn.XLOOKUP(I70,Teams!$C:$C,Teams!$E:$E,,0,1)</f>
        <v>#VALUE!</v>
      </c>
      <c r="N70" s="164">
        <v>0.59</v>
      </c>
      <c r="O70" s="199" t="str">
        <f>IF(L70&gt;N70,G70,I70)</f>
        <v>Michigan</v>
      </c>
      <c r="P70" s="213" t="e" vm="113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0.73</v>
      </c>
      <c r="M72" s="158" t="e" vm="113">
        <f>_xlfn.XLOOKUP(I72,Teams!$C:$C,Teams!$E:$E,,0,1)</f>
        <v>#VALUE!</v>
      </c>
      <c r="N72" s="158">
        <v>0.27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0.2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0.48</v>
      </c>
      <c r="AF7" s="297" t="e" vm="99">
        <f>_xlfn.XLOOKUP(AG7,Teams!$C:$C,Teams!$E:$E,,0,1)</f>
        <v>#VALUE!</v>
      </c>
      <c r="AG7" s="262" t="str">
        <f>Games!O46</f>
        <v>Villanova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0.8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0.82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0.49</v>
      </c>
      <c r="AC11" s="249" t="e" vm="103">
        <f>_xlfn.XLOOKUP(AD11,Teams!$C:$C,Teams!$E:$E,,0,1)</f>
        <v>#VALUE!</v>
      </c>
      <c r="AD11" s="262" t="str">
        <f>Games!O59</f>
        <v>Arkansas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0.52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0.43</v>
      </c>
      <c r="R19" s="25"/>
      <c r="S19" s="25"/>
      <c r="T19" s="257"/>
      <c r="U19" s="258"/>
      <c r="V19" s="259"/>
      <c r="W19" s="25"/>
      <c r="X19" s="25"/>
      <c r="Y19" s="264">
        <f>Games!L70</f>
        <v>0.41</v>
      </c>
      <c r="Z19" s="249" t="e" vm="111">
        <f>_xlfn.XLOOKUP(AA19,Teams!$C:$C,Teams!$E:$E,,0,1)</f>
        <v>#VALUE!</v>
      </c>
      <c r="AA19" s="262" t="str">
        <f>Games!O66</f>
        <v>Purdue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0.56999999999999995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South Florida</v>
      </c>
      <c r="J23" s="247" t="e" vm="74">
        <f>_xlfn.XLOOKUP(I23,Teams!$C:$C,Teams!$E:$E,,0,1)</f>
        <v>#VALUE!</v>
      </c>
      <c r="K23" s="264">
        <f>Games!L56</f>
        <v>0.61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0.46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0.43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South Florida</v>
      </c>
      <c r="M27" s="247" t="e" vm="74">
        <f>_xlfn.XLOOKUP(L27,Teams!$C:$C,Teams!$E:$E,,0,1)</f>
        <v>#VALUE!</v>
      </c>
      <c r="N27" s="277">
        <f>Games!N64</f>
        <v>0.18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0.73</v>
      </c>
      <c r="W27" s="24"/>
      <c r="X27" s="25"/>
      <c r="Y27" s="56"/>
      <c r="AA27" s="25"/>
      <c r="AB27" s="269">
        <f>Games!N66</f>
        <v>0.51</v>
      </c>
      <c r="AC27" s="249" t="e" vm="111">
        <f>_xlfn.XLOOKUP(AD27,Teams!$C:$C,Teams!$E:$E,,0,1)</f>
        <v>#VALUE!</v>
      </c>
      <c r="AD27" s="262" t="str">
        <f>Games!O60</f>
        <v>Purdue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0.39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0.54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Florida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0.78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0.27</v>
      </c>
      <c r="U39" s="293" t="e" vm="113">
        <f>_xlfn.XLOOKUP(V39,Teams!$C:$C,Teams!$E:$E,,0,1)</f>
        <v>#VALUE!</v>
      </c>
      <c r="V39" s="262" t="str">
        <f>Games!O70</f>
        <v>Michigan</v>
      </c>
      <c r="W39" s="262"/>
      <c r="X39" s="295"/>
      <c r="Y39" s="56"/>
      <c r="AA39" s="25"/>
      <c r="AD39" s="25"/>
      <c r="AE39" s="269">
        <f>Games!L61</f>
        <v>0.65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0.22</v>
      </c>
      <c r="AI41" s="249" t="e" vm="115">
        <f>_xlfn.XLOOKUP(AJ41,Teams!$C:$C,Teams!$E:$E,,0,1)</f>
        <v>#VALUE!</v>
      </c>
      <c r="AJ41" s="262" t="str">
        <f>Games!O30</f>
        <v>Georgia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0.57999999999999996</v>
      </c>
      <c r="AC43" s="249" t="e" vm="113">
        <f>_xlfn.XLOOKUP(AD43,Teams!$C:$C,Teams!$E:$E,,0,1)</f>
        <v>#VALUE!</v>
      </c>
      <c r="AD43" s="291" t="str">
        <f>Games!O61</f>
        <v>Michigan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0.35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0.56999999999999995</v>
      </c>
      <c r="R51" s="25"/>
      <c r="S51" s="25"/>
      <c r="T51" s="25"/>
      <c r="U51" s="75"/>
      <c r="V51" s="25"/>
      <c r="W51" s="25"/>
      <c r="X51" s="25"/>
      <c r="Y51" s="269">
        <f>Games!N70</f>
        <v>0.59</v>
      </c>
      <c r="Z51" s="249" t="e" vm="113">
        <f>_xlfn.XLOOKUP(AA51,Teams!$C:$C,Teams!$E:$E,,0,1)</f>
        <v>#VALUE!</v>
      </c>
      <c r="AA51" s="262" t="str">
        <f>Games!O67</f>
        <v>Michigan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0.65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0.45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0.35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0.42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0.55000000000000004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