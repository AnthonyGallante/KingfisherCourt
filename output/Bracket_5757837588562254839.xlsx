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74D3E2DD-908B-41E8-98F6-0C24E068DBCC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<sst xmlns="http://schemas.openxmlformats.org/spreadsheetml/2006/main" count="1526" uniqueCount="1194">
  <si>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</si>
  <si>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</si>
  <si>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</si>
  <si>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</si>
  <si>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</si>
  <si>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</si>
  <si>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</si>
  <si>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</si>
  <si>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</si>
  <si>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</si>
  <si>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</si>
  <si>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</si>
  <si>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</si>
  <si>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</si>
  <si>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</si>
  <si>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</si>
  <si>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</si>
  <si>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</si>
  <si>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</si>
  <si>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</si>
  <si>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</si>
  <si>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</si>
  <si>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</si>
  <si>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</si>
  <si>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</si>
  <si>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</si>
  <si>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</si>
  <si>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</si>
  <si>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</si>
  <si>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</si>
  <si>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</si>
  <si>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</si>
  <si>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</si>
  <si>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</si>
  <si>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</si>
  <si>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</si>
  <si>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</si>
  <si>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</si>
  <si>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</si>
  <si>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</si>
  <si>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</si>
  <si>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</si>
  <si>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</si>
  <si>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</si>
  <si>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</si>
  <si>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</si>
  <si>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</si>
  <si>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</si>
  <si>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</si>
  <si>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</si>
  <si>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</si>
  <si>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</si>
  <si>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</si>
  <si>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</si>
  <si>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</si>
  <si>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</si>
  <si>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</si>
  <si>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</si>
  <si>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</si>
  <si>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</si>
  <si>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</si>
  <si>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</si>
  <si>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</si>
  <si>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</si>
  <si>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</si>
  <si>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</si>
  <si>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</si>
  <si>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</si>
  <si>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</si>
  <si>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</si>
  <si>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</si>
  <si>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</si>
  <si>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</si>
  <si>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</si>
  <si>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</si>
  <si>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</si>
  <si>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</si>
  <si>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</si>
  <si>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</si>
  <si>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</si>
  <si>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</si>
  <si>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</si>
  <si>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</si>
  <si>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</si>
  <si>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</si>
  <si>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</si>
  <si>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</si>
  <si>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</si>
  <si>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</si>
  <si>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</si>
  <si>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</si>
  <si>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</si>
  <si>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</si>
  <si>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</si>
  <si>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</si>
  <si>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</si>
  <si>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</si>
  <si>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</si>
  <si>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</si>
  <si>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</si>
  <si>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</si>
  <si>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</si>
  <si>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</si>
  <si>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</si>
  <si>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</si>
  <si>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</si>
  <si>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</si>
  <si>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</si>
  <si>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</si>
  <si>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</si>
  <si>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</si>
  <si>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</si>
  <si>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</si>
  <si>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</si>
  <si>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</si>
  <si>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</si>
  <si>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</si>
  <si>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</si>
  <si>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</si>
  <si>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</si>
  <si>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</si>
  <si>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</si>
  <si>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</si>
  <si>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</si>
  <si>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</si>
  <si>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</si>
  <si>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</si>
  <si>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</si>
  <si>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</si>
  <si>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</si>
  <si>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</si>
  <si>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</si>
  <si>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</si>
  <si>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</si>
  <si>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</si>
  <si>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</si>
  <si>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</si>
  <si>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</si>
  <si>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</si>
  <si>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</si>
  <si>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</si>
  <si>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</si>
  <si>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</si>
  <si>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</si>
  <si>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</si>
  <si>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</si>
  <si>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</si>
  <si>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</si>
  <si>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</si>
  <si>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</si>
  <si>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</si>
  <si>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</si>
  <si>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</si>
  <si>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</si>
  <si>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</si>
  <si>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</si>
  <si>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</si>
  <si>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</si>
  <si>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</si>
  <si>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</si>
  <si>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</si>
  <si>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</si>
  <si>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</si>
  <si>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</si>
  <si>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</si>
  <si>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</si>
  <si>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</si>
  <si>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</si>
  <si>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</si>
  <si>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</si>
  <si>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</si>
  <si>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</si>
  <si>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</si>
  <si>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</si>
  <si>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</si>
  <si>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</si>
  <si>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</si>
  <si>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</si>
  <si>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</si>
  <si>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</si>
  <si>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</si>
  <si>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</si>
  <si>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</si>
  <si>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</si>
  <si>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</si>
  <si>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</si>
  <si>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</si>
  <si>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</si>
  <si>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</si>
  <si>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</si>
  <si>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</si>
  <si>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</si>
  <si>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</si>
  <si>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</si>
  <si>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</si>
  <si>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</si>
  <si>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</si>
  <si>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</si>
  <si>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</si>
  <si>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</si>
  <si>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</si>
  <si>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</si>
  <si>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</si>
  <si>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</si>
  <si>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</si>
  <si>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</si>
  <si>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</si>
  <si>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</si>
  <si>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</si>
  <si>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</si>
  <si>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</si>
  <si>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</si>
  <si>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</si>
  <si>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</si>
  <si>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</si>
  <si>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</si>
  <si>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</si>
  <si>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</si>
  <si>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</si>
  <si>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</si>
  <si>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</si>
  <si>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</si>
  <si>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</si>
  <si>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</si>
  <si>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</si>
  <si>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</si>
  <si>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</si>
  <si>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</si>
  <si>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</si>
  <si>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</si>
  <si>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</si>
  <si>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</si>
  <si>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</si>
  <si>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</si>
  <si>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</si>
  <si>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</si>
  <si>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</si>
  <si>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</si>
  <si>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</si>
  <si>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</si>
  <si>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</si>
  <si>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</si>
  <si>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</si>
  <si>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</si>
  <si>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</si>
  <si>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</si>
  <si>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</si>
  <si>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</si>
  <si>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</si>
  <si>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</si>
  <si>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</si>
  <si>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</si>
  <si>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</si>
  <si>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</si>
  <si>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</si>
  <si>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</si>
  <si>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</si>
  <si>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</si>
  <si>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</si>
  <si>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</si>
  <si>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</si>
  <si>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</si>
  <si>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</si>
  <si>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</si>
  <si>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</si>
  <si>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</si>
  <si>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</si>
  <si>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</si>
  <si>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</si>
  <si>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</si>
  <si>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</si>
  <si>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</si>
  <si>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</si>
  <si>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</si>
  <si>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</si>
  <si>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</si>
  <si>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</si>
  <si>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</si>
  <si>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</si>
  <si>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</si>
  <si>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</si>
  <si>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</si>
  <si>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</si>
  <si>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</si>
  <si>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</si>
  <si>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</si>
  <si>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</si>
  <si>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</si>
  <si>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</si>
  <si>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</si>
  <si>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</si>
  <si>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</si>
  <si>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</si>
  <si>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</si>
  <si>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</si>
  <si>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</si>
  <si>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</si>
  <si>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</si>
  <si>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</si>
  <si>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</si>
  <si>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</si>
  <si>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</si>
  <si>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</si>
  <si>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</si>
  <si>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</si>
  <si>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</si>
  <si>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</si>
  <si>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</si>
  <si>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</si>
  <si>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</si>
  <si>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</si>
  <si>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</si>
  <si>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</si>
  <si>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</si>
  <si>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</si>
  <si>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</si>
  <si>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</si>
  <si>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</si>
  <si>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</si>
  <si>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</si>
  <si>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</si>
  <si>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</si>
  <si>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</si>
  <si>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</si>
  <si>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</si>
  <si>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</si>
  <si>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</si>
  <si>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</si>
  <si>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</si>
  <si>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</si>
  <si>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</si>
  <si>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</si>
  <si>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</si>
  <si>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</si>
  <si>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</si>
  <si>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</si>
  <si>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</si>
  <si>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</si>
  <si>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</si>
  <si>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</si>
  <si>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</si>
  <si>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</si>
  <si>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</si>
  <si>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</si>
  <si>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</si>
  <si>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</si>
  <si>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</si>
  <si>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</si>
  <si>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</si>
  <si>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</si>
  <si>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</si>
  <si>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</si>
  <si>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</si>
  <si>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</si>
  <si>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</si>
  <si>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</si>
  <si>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</si>
  <si>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</si>
  <si>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</si>
  <si>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</si>
  <si>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</si>
  <si>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</si>
  <si>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</si>
  <si>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</si>
  <si>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</si>
  <si>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</si>
  <si>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</si>
  <si>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</si>
  <si>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</si>
  <si>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</si>
  <si>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</si>
  <si>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</si>
  <si>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</si>
  <si>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</si>
  <si>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</si>
  <si>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</si>
  <si>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</si>
  <si>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</si>
  <si>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</si>
  <si>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</si>
  <si>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</si>
  <si>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</si>
  <si>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</si>
  <si>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</si>
  <si>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</si>
  <si>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</si>
  <si>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</si>
  <si>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</si>
  <si>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</si>
  <si>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</si>
  <si>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</si>
  <si>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</si>
  <si>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</si>
  <si>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</si>
  <si>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</si>
  <si>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</si>
  <si>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</si>
  <si>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</si>
  <si>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</si>
  <si>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</si>
  <si>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</si>
  <si>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</si>
  <si>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</si>
  <si>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</si>
  <si>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</si>
  <si>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</si>
  <si>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</si>
  <si>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</si>
  <si>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</si>
  <si>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</si>
  <si>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</si>
  <si>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</si>
  <si>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</si>
  <si>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</si>
  <si>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</si>
  <si>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</si>
  <si>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</si>
  <si>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</si>
  <si>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</si>
  <si>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</si>
  <si>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</si>
  <si>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</si>
  <si>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</si>
  <si>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</si>
  <si>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</si>
  <si>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</si>
  <si>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</si>
  <si>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</si>
  <si>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</si>
  <si>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</si>
  <si>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</si>
  <si>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</si>
  <si>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</si>
  <si>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</si>
  <si>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</si>
  <si>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</si>
  <si>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</si>
  <si>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</si>
  <si>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</si>
  <si>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</si>
  <si>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</si>
  <si>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</si>
  <si>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</si>
  <si>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</si>
  <si>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</si>
  <si>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</si>
  <si>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</si>
  <si>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</si>
  <si>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</si>
  <si>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</si>
  <si>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</si>
  <si>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</si>
  <si>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</si>
  <si>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</si>
  <si>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</si>
  <si>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</si>
  <si>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</si>
  <si>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</si>
  <si>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</si>
  <si>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</si>
  <si>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</si>
  <si>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</si>
  <si>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</si>
  <si>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</si>
  <si>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</si>
  <si>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</si>
  <si>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</si>
  <si>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</si>
  <si>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</si>
  <si>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</si>
  <si>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</si>
  <si>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</si>
  <si>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</si>
  <si>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</si>
  <si>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</si>
  <si>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</si>
  <si>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</si>
  <si>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</si>
  <si>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</si>
  <si>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</si>
  <si>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</si>
  <si>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</si>
  <si>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</si>
  <si>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</si>
  <si>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</si>
  <si>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</si>
  <si>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</si>
  <si>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</si>
  <si>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</si>
  <si>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</si>
  <si>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</si>
  <si>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</si>
  <si>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</si>
  <si>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</si>
  <si>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</si>
  <si>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</si>
  <si>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</si>
  <si>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</si>
  <si>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</si>
  <si>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</si>
  <si>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</si>
  <si>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</si>
  <si>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</si>
  <si>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</si>
  <si>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</si>
  <si>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</si>
  <si>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</si>
  <si>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</si>
  <si>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</si>
  <si>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</si>
  <si>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</si>
  <si>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</si>
  <si>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</si>
  <si>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</si>
  <si>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</si>
  <si>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</si>
  <si>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</si>
  <si>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</si>
  <si>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</si>
  <si>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</si>
  <si>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</si>
  <si>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</si>
  <si>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</si>
  <si>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</si>
  <si>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</si>
  <si>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</si>
  <si>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</si>
  <si>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</si>
  <si>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</si>
  <si>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</si>
  <si>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</si>
  <si>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</si>
  <si>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</si>
  <si>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</si>
  <si>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</si>
  <si>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</si>
  <si>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</si>
  <si>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</si>
  <si>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</si>
  <si>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</si>
  <si>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</si>
  <si>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</si>
  <si>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</si>
  <si>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</si>
  <si>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</si>
  <si>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</si>
  <si>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</si>
  <si>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</si>
  <si>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</si>
  <si>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</si>
  <si>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</si>
  <si>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</si>
  <si>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</si>
  <si>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</si>
  <si>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</si>
  <si>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</si>
  <si>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</si>
  <si>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</si>
  <si>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</si>
  <si>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</si>
  <si>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</si>
  <si>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</si>
  <si>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</si>
  <si>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</si>
  <si>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</si>
  <si>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</si>
  <si>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</si>
  <si>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</si>
  <si>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</si>
  <si>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</si>
  <si>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</si>
  <si>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</si>
  <si>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</si>
  <si>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</si>
  <si>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</si>
  <si>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</si>
  <si>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</si>
  <si>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</si>
  <si>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</si>
  <si>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</si>
  <si>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</si>
  <si>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</si>
  <si>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</si>
  <si>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</si>
  <si>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</si>
  <si>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</si>
  <si>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</si>
  <si>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</si>
  <si>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</si>
  <si>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</si>
  <si>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</si>
  <si>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</si>
  <si>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</si>
  <si>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</si>
  <si>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</si>
  <si>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</si>
  <si>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</si>
  <si>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</si>
  <si>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</si>
  <si>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</si>
  <si>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</si>
  <si>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</si>
  <si>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</si>
  <si>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</si>
  <si>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</si>
  <si>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</si>
  <si>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</si>
  <si>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</si>
  <si>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</si>
  <si>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</si>
  <si>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</si>
  <si>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</si>
  <si>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</si>
  <si>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</si>
  <si>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</si>
  <si>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</si>
  <si>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</si>
  <si>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</si>
  <si>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</si>
  <si>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</si>
  <si>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</si>
  <si>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</si>
  <si>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</si>
  <si>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</si>
  <si>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</si>
  <si>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</si>
  <si>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</si>
  <si>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</si>
  <si>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</si>
  <si>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</si>
  <si>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</si>
  <si>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</si>
  <si>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</si>
  <si>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</si>
  <si>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</si>
  <si>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</si>
  <si>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</si>
  <si>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</si>
  <si>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</si>
  <si>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</si>
  <si>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</si>
  <si>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</si>
  <si>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</si>
  <si>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</si>
  <si>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</si>
  <si>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</si>
  <si>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</si>
  <si>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</si>
  <si>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</si>
  <si>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</si>
  <si>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</si>
  <si>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</si>
  <si>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</si>
  <si>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</si>
  <si>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</si>
  <si>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</si>
  <si>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</si>
  <si>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</si>
  <si>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</si>
  <si>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</si>
  <si>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</si>
  <si>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</si>
  <si>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</si>
  <si>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</si>
  <si>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</si>
  <si>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</si>
  <si>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</si>
  <si>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</si>
  <si>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</si>
  <si>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</si>
  <si>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</si>
  <si>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</si>
  <si>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</si>
  <si>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</si>
  <si>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</si>
  <si>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</si>
  <si>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</si>
  <si>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</si>
  <si>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</si>
  <si>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</si>
  <si>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</si>
  <si>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</si>
  <si>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</si>
  <si>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</si>
  <si>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</si>
  <si>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</si>
  <si>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</si>
  <si>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</si>
  <si>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</si>
  <si>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</si>
  <si>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</si>
  <si>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</si>
  <si>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</si>
  <si>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</si>
  <si>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</si>
  <si>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</si>
  <si>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</si>
  <si>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</si>
  <si>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</si>
  <si>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</si>
  <si>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</si>
  <si>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</si>
  <si>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</si>
  <si>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</si>
  <si>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</si>
  <si>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</si>
  <si>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</si>
  <si>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</si>
  <si>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</si>
  <si>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</si>
  <si>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</si>
  <si>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</si>
  <si>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</si>
  <si>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</si>
  <si>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</si>
  <si>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</si>
  <si>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</si>
  <si>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</si>
  <si>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</si>
  <si>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</si>
  <si>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</si>
  <si>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</si>
  <si>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</si>
  <si>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</si>
  <si>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</si>
  <si>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</si>
  <si>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</si>
  <si>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</si>
  <si>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</si>
  <si>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</si>
  <si>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</si>
  <si>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</si>
  <si>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</si>
  <si>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</si>
  <si>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</si>
  <si>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</si>
  <si>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</si>
  <si>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</si>
  <si>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</si>
  <si>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</si>
  <si>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</si>
  <si>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</si>
  <si>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</si>
  <si>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</si>
  <si>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</si>
  <si>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</si>
  <si>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</si>
  <si>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</si>
  <si>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</si>
  <si>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</si>
  <si>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</si>
  <si>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</si>
  <si>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</si>
  <si>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</si>
  <si>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</si>
  <si>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</si>
  <si>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</si>
  <si>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</si>
  <si>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</si>
  <si>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</si>
  <si>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</si>
  <si>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</si>
  <si>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</si>
  <si>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</si>
  <si>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</si>
  <si>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</si>
  <si>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</si>
  <si>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</si>
  <si>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</si>
  <si>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</si>
  <si>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</si>
  <si>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</si>
  <si>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</si>
  <si>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</si>
  <si>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</si>
  <si>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</si>
  <si>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</si>
  <si>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</si>
  <si>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</si>
  <si>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</si>
  <si>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</si>
  <si>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</si>
  <si>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</si>
  <si>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</si>
  <si>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</si>
  <si>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</si>
  <si>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</si>
  <si>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</si>
  <si>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</si>
  <si>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</si>
  <si>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</si>
  <si>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</si>
  <si>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</si>
  <si>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</si>
  <si>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</si>
  <si>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</si>
  <si>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</si>
  <si>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</si>
  <si>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</si>
  <si>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</si>
  <si>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</si>
  <si>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</si>
  <si>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</si>
  <si>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</si>
  <si>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</si>
  <si>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</si>
  <si>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</si>
  <si>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</si>
  <si>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</si>
  <si>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</si>
  <si>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</si>
  <si>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</si>
  <si>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</si>
  <si>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</si>
  <si>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</si>
  <si>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</si>
  <si>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</si>
  <si>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</si>
  <si>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</si>
  <si>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</si>
  <si>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</si>
  <si>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</si>
  <si>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</si>
  <si>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</si>
  <si>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</si>
  <si>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</si>
  <si>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</si>
  <si>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</si>
  <si>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</si>
  <si>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</si>
  <si>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</si>
  <si>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</si>
  <si>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</si>
  <si>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</si>
  <si>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</si>
  <si>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</si>
  <si>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</si>
  <si>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</si>
  <si>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</si>
  <si>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</si>
  <si>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</si>
  <si>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</si>
  <si>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</si>
  <si>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</si>
  <si>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</si>
  <si>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</si>
  <si>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</si>
  <si>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</si>
  <si>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</si>
  <si>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</si>
  <si>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</si>
  <si>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</si>
  <si>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</si>
  <si>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</si>
  <si>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</si>
  <si>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</si>
  <si>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</si>
  <si>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</si>
  <si>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</si>
  <si>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</si>
  <si>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</si>
  <si>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</si>
  <si>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</si>
  <si>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</si>
  <si>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</si>
  <si>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</si>
  <si>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</si>
  <si>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</si>
  <si>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</si>
  <si>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</si>
  <si>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</si>
  <si>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</si>
  <si>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</si>
  <si>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</si>
  <si>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</si>
  <si>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</si>
  <si>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</si>
  <si>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</si>
  <si>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</si>
  <si>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</si>
  <si>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</si>
  <si>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</si>
  <si>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</si>
  <si>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</si>
  <si>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</si>
  <si>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</si>
  <si>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</si>
  <si>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</si>
  <si>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</si>
  <si>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</si>
  <si>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</si>
  <si>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</si>
  <si>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</si>
  <si>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</si>
  <si>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</si>
  <si>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</si>
  <si>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</si>
  <si>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</si>
  <si>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</si>
  <si>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</si>
  <si>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</si>
  <si>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</si>
  <si>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</si>
  <si>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</si>
  <si>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</si>
  <si>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</si>
  <si>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</si>
  <si>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</si>
  <si>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</si>
  <si>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</si>
  <si>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</si>
  <si>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</si>
  <si>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</si>
  <si>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</si>
  <si>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</si>
  <si>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</si>
  <si>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</si>
  <si>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</si>
  <si>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</si>
  <si>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</si>
  <si>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</si>
  <si>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</si>
  <si>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</si>
  <si>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</si>
  <si>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</si>
  <si>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</si>
  <si>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</si>
  <si>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</si>
  <si>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</si>
  <si>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</si>
  <si>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</si>
  <si>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</si>
  <si>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</si>
  <si>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</si>
  <si>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</si>
  <si>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</si>
  <si>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</si>
  <si>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</si>
  <si>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</si>
  <si>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</si>
  <si>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</si>
  <si>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</si>
  <si>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</si>
  <si>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</si>
  <si>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</si>
  <si>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</si>
  <si>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</si>
  <si>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</si>
  <si>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</si>
  <si>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</si>
  <si>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</si>
  <si>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</si>
  <si>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</si>
  <si>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</si>
  <si>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</si>
  <si>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</si>
  <si>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</si>
  <si>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</si>
  <si>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</si>
  <si>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</si>
  <si>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</si>
  <si>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</si>
  <si>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</si>
  <si>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</si>
  <si>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</si>
  <si>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</si>
  <si>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</si>
  <si>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</si>
  <si>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</si>
  <si>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</si>
  <si>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</si>
  <si>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</si>
  <si>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</si>
  <si>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</si>
  <si>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</si>
  <si>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</si>
  <si>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</si>
  <si>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</si>
  <si>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</si>
  <si>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</si>
  <si>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</si>
  <si>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</si>
  <si>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</si>
  <si>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</si>
  <si>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</si>
  <si>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</si>
  <si>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</si>
  <si>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</si>
  <si>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</si>
  <si>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</si>
  <si>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</si>
  <si>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</si>
  <si>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</si>
  <si>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</si>
  <si>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</si>
  <si>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</si>
  <si>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</si>
  <si>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</si>
  <si>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</si>
  <si>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</si>
  <si>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</si>
  <si>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</si>
  <si>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</si>
  <si>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</si>
  <si>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</si>
  <si>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</si>
  <si>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</si>
  <si>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</si>
  <si>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</si>
  <si>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</si>
  <si>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</si>
  <si>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</si>
  <si>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</si>
  <si>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</si>
  <si>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</si>
  <si>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</si>
  <si>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</si>
  <si>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</si>
  <si>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</si>
  <si>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</si>
  <si>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</si>
  <si>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</si>
  <si>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</si>
  <si>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</si>
  <si>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</si>
  <si>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</si>
  <si>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</si>
  <si>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</si>
  <si>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</si>
  <si>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</si>
  <si>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</si>
  <si>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</si>
  <si>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</si>
  <si>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</si>
  <si>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</si>
  <si>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</si>
  <si>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</si>
  <si>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</si>
  <si>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</si>
  <si>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</si>
  <si>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</si>
  <si>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</si>
  <si>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</si>
  <si>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</si>
  <si>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</si>
  <si>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</si>
  <si>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</si>
  <si>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</si>
  <si>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</si>
  <si>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</si>
  <si>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</si>
  <si>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</si>
  <si>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</si>
  <si>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</si>
  <si>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</si>
  <si>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</si>
  <si>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</si>
  <si>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</si>
  <si>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</si>
  <si>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</si>
  <si>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</si>
  <si>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</si>
  <si>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</si>
  <si>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</si>
  <si>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</si>
  <si>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</si>
  <si>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</si>
  <si>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</si>
  <si>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</si>
  <si>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</si>
  <si>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</si>
  <si>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</si>
  <si>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</si>
  <si>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</si>
  <si>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</si>
  <si>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</si>
  <si>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</si>
  <si>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</si>
  <si>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</si>
  <si>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</si>
  <si>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</si>
  <si>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</si>
  <si>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</si>
  <si>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</si>
  <si>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</si>
  <si>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</si>
  <si>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</si>
  <si>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</si>
  <si>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</si>
  <si>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</si>
  <si>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</si>
  <si>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</si>
  <si>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</si>
  <si>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</si>
  <si>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</si>
  <si>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</si>
  <si>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</si>
  <si>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</si>
  <si>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</si>
  <si>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</si>
  <si>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</si>
  <si>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</si>
  <si>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</si>
  <si>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</si>
  <si>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</si>
  <si>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</si>
  <si>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</si>
  <si>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</si>
  <si>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</si>
  <si>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</si>
  <si>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</si>
  <si>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</si>
  <si>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</si>
  <si>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</si>
  <si>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</si>
  <si>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</si>
  <si>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</si>
  <si>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</si>
  <si>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</si>
  <si>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</si>
  <si>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</si>
  <si>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</si>
  <si>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</si>
  <si>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</si>
  <si>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</si>
  <si>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</si>
  <si>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</si>
  <si>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</si>
  <si>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</si>
  <si>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</si>
  <si>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</si>
  <si>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</si>
  <si>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</si>
  <si>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</si>
  <si>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</si>
  <si>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</si>
  <si>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</si>
  <si>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</si>
  <si>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</si>
  <si>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</si>
  <si>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</si>
  <si>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</si>
  <si>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</si>
  <si>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</si>
  <si>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</si>
  <si>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</si>
  <si>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</si>
  <si>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</si>
  <si>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Louisville: 403 - 98 :Creighton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</si>
  <si>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</si>
  <si>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</si>
  <si>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</si>
  <si>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</si>
  <si>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</si>
  <si>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</si>
  <si>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</si>
  <si>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UPSET! Normal winner is Gonzaga</t>
  </si>
  <si>
    <t>Clemson: 180 - 321 :McNeese State</t>
  </si>
  <si>
    <t>UPSET! Normal winner is Purdue</t>
  </si>
  <si>
    <t>Illinois: 438 - 63 :Xavier</t>
  </si>
  <si>
    <t>Kentucky: 325 - 176 :Troy</t>
  </si>
  <si>
    <t>UCLA: 317 - 184 :Utah State</t>
  </si>
  <si>
    <t>Tennessee: 363 - 138 :Wofford</t>
  </si>
  <si>
    <t>Duke: 426 - 75 :Baylor</t>
  </si>
  <si>
    <t>Liberty: 60 - 441 :Arizona</t>
  </si>
  <si>
    <t>UPSET! Normal winner is Brigham Young</t>
  </si>
  <si>
    <t>Saint Mary's (CA): 256 - 245 :Alabama</t>
  </si>
  <si>
    <t>Florida: 399 - 102 :Connecticut</t>
  </si>
  <si>
    <t>Colorado State: 114 - 387 :Grand Canyon</t>
  </si>
  <si>
    <t>Missouri: 57 - 444 :Texas Tech</t>
  </si>
  <si>
    <t>Kansas: 290 - 211 :St. John's (NY)</t>
  </si>
  <si>
    <t>UPSET! Normal winner is Auburn</t>
  </si>
  <si>
    <t>Michigan: 384 - 117 :Yale</t>
  </si>
  <si>
    <t>North Carolina: 223 - 278 :Iowa State</t>
  </si>
  <si>
    <t>New Mexico: 218 - 283 :Michigan State</t>
  </si>
  <si>
    <t>Houston: 380 - 121 :Georgia</t>
  </si>
  <si>
    <t>McNeese State: 190 - 311 :High Point</t>
  </si>
  <si>
    <t>Illinois: 372 - 129 :Kentucky</t>
  </si>
  <si>
    <t>UCLA: 214 - 287 :Tennessee</t>
  </si>
  <si>
    <t>Duke: 189 - 312 :Arizona</t>
  </si>
  <si>
    <t>Wisconsin: 152 - 349 :Saint Mary's (CA)</t>
  </si>
  <si>
    <t>Florida: 451 - 50 :Grand Canyon</t>
  </si>
  <si>
    <t>Texas Tech: 338 - 163 :Kansas</t>
  </si>
  <si>
    <t>Louisville: 105 - 396 :Michigan</t>
  </si>
  <si>
    <t>Iowa State: 333 - 168 :Michigan State</t>
  </si>
  <si>
    <t>Houston: 345 - 156 :High Point</t>
  </si>
  <si>
    <t>Illinois: 352 - 149 :Tennessee</t>
  </si>
  <si>
    <t>Arizona: 382 - 119 :Saint Mary's (CA)</t>
  </si>
  <si>
    <t>Florida: 270 - 231 :Texas Tech</t>
  </si>
  <si>
    <t>Michigan: 291 - 210 :Iowa State</t>
  </si>
  <si>
    <t>Houston: 196 - 305 :Illinois</t>
  </si>
  <si>
    <t>Florida: 223 - 278 :Arizona</t>
  </si>
  <si>
    <t>Michigan: 259 - 242 :Illinois</t>
  </si>
  <si>
    <t>Michigan: 125 - 376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</si>
</sst>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Creighton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0.8</v>
      </c>
      <c r="M22" s="82" t="e" vm="100">
        <f>_xlfn.XLOOKUP(I22,Teams!$C:$C,Teams!$E:$E,,0,1)</f>
        <v>#VALUE!</v>
      </c>
      <c r="N22" s="82">
        <v>0.2</v>
      </c>
      <c r="O22" s="189" t="str">
        <f t="shared" si="3"/>
        <v>Louisville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Gonzaga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0.25</v>
      </c>
      <c r="M30" s="83" t="e" vm="116">
        <f>_xlfn.XLOOKUP(I30,Teams!$C:$C,Teams!$E:$E,,0,1)</f>
        <v>#VALUE!</v>
      </c>
      <c r="N30" s="83">
        <v>0.75</v>
      </c>
      <c r="O30" s="192" t="str">
        <f t="shared" si="3"/>
        <v>Georgia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Purdue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0.32</v>
      </c>
      <c r="M32" s="83" t="e" vm="120">
        <f>_xlfn.XLOOKUP(I32,Teams!$C:$C,Teams!$E:$E,,0,1)</f>
        <v>#VALUE!</v>
      </c>
      <c r="N32" s="83">
        <v>0.68</v>
      </c>
      <c r="O32" s="192" t="str">
        <f t="shared" si="3"/>
        <v>High Point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Brigham Young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0.42</v>
      </c>
      <c r="M40" s="82" t="e" vm="75">
        <f>_xlfn.XLOOKUP(I40,Teams!$C:$C,Teams!$E:$E,,0,1)</f>
        <v>#VALUE!</v>
      </c>
      <c r="N40" s="82">
        <v>0.57999999999999996</v>
      </c>
      <c r="O40" s="189" t="str">
        <f t="shared" si="9"/>
        <v>Wisconsin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Louisville</v>
      </c>
      <c r="C46" s="152" t="str">
        <f t="shared" si="7"/>
        <v>Auburn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122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0.5</v>
      </c>
      <c r="M46" s="84" t="e" vm="99">
        <f>_xlfn.XLOOKUP(I46,Teams!$C:$C,Teams!$E:$E,,0,1)</f>
        <v>#VALUE!</v>
      </c>
      <c r="N46" s="84">
        <v>0.5</v>
      </c>
      <c r="O46" s="194" t="str">
        <f t="shared" si="9"/>
        <v>Louisville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Georgia</v>
      </c>
      <c r="C50" s="91" t="str">
        <f t="shared" si="7"/>
        <v>Georgia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136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Houston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High Point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140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0.38</v>
      </c>
      <c r="M51" s="83" t="e" vm="120">
        <f>_xlfn.XLOOKUP(I51,Teams!$C:$C,Teams!$E:$E,,0,1)</f>
        <v>#VALUE!</v>
      </c>
      <c r="N51" s="83">
        <v>0.62</v>
      </c>
      <c r="O51" s="192" t="str">
        <f t="shared" si="9"/>
        <v>High Point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UCLA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0.43</v>
      </c>
      <c r="M53" s="151" t="e" vm="127">
        <f>_xlfn.XLOOKUP(I53,Teams!$C:$C,Teams!$E:$E,,0,1)</f>
        <v>#VALUE!</v>
      </c>
      <c r="N53" s="151">
        <v>0.56999999999999995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0.38</v>
      </c>
      <c r="M55" s="97" t="e" vm="71">
        <f>_xlfn.XLOOKUP(I55,Teams!$C:$C,Teams!$E:$E,,0,1)</f>
        <v>#VALUE!</v>
      </c>
      <c r="N55" s="97">
        <v>0.62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Wisconsin</v>
      </c>
      <c r="B56" s="91" t="str">
        <f t="shared" ref="B56:B62" si="16">I56</f>
        <v>Saint Mary's (CA)</v>
      </c>
      <c r="C56" s="91" t="str">
        <f t="shared" si="12"/>
        <v>Wisconsin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96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5">
        <f>_xlfn.XLOOKUP(G56,Teams!$C:$C,Teams!$E:$E,,0,1)</f>
        <v>#VALUE!</v>
      </c>
      <c r="L56" s="139">
        <v>0.3</v>
      </c>
      <c r="M56" s="139" t="e" vm="77">
        <f>_xlfn.XLOOKUP(I56,Teams!$C:$C,Teams!$E:$E,,0,1)</f>
        <v>#VALUE!</v>
      </c>
      <c r="N56" s="139">
        <v>0.7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Kansas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0.67</v>
      </c>
      <c r="M58" s="151" t="e" vm="93">
        <f>_xlfn.XLOOKUP(I58,Teams!$C:$C,Teams!$E:$E,,0,1)</f>
        <v>#VALUE!</v>
      </c>
      <c r="N58" s="151">
        <v>0.33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Louisville</v>
      </c>
      <c r="B59" s="152" t="str">
        <f t="shared" si="16"/>
        <v>Michigan</v>
      </c>
      <c r="C59" s="152" t="str">
        <f t="shared" si="12"/>
        <v>Louisville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122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9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Houston</v>
      </c>
      <c r="B61" s="91" t="str">
        <f t="shared" si="16"/>
        <v>High Point</v>
      </c>
      <c r="C61" s="91" t="str">
        <f t="shared" si="12"/>
        <v>High Point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129</v>
      </c>
      <c r="H61" s="183" t="s">
        <v>9</v>
      </c>
      <c r="I61" s="143" t="s">
        <v>140</v>
      </c>
      <c r="J61" s="144" cm="1">
        <f t="array" ref="J61">_xlfn.XLOOKUP(I61,Teams[[#All],[Team]],Teams[[#All],[Seed]],0,0,1)</f>
        <v>13</v>
      </c>
      <c r="K61" s="145" t="e" vm="113">
        <f>_xlfn.XLOOKUP(G61,Teams!$C:$C,Teams!$E:$E,,0,1)</f>
        <v>#VALUE!</v>
      </c>
      <c r="L61" s="145">
        <v>0.69</v>
      </c>
      <c r="M61" s="145" t="e" vm="120">
        <f>_xlfn.XLOOKUP(I61,Teams!$C:$C,Teams!$E:$E,,0,1)</f>
        <v>#VALUE!</v>
      </c>
      <c r="N61" s="145">
        <v>0.31</v>
      </c>
      <c r="O61" s="196" t="str">
        <f t="shared" si="14"/>
        <v>Houston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Tennessee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0.7</v>
      </c>
      <c r="M62" s="151" t="e" vm="127">
        <f>_xlfn.XLOOKUP(I62,Teams!$C:$C,Teams!$E:$E,,0,1)</f>
        <v>#VALUE!</v>
      </c>
      <c r="N62" s="151">
        <v>0.3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71">
        <f>_xlfn.XLOOKUP(G64,Teams!$C:$C,Teams!$E:$E,,0,1)</f>
        <v>#VALUE!</v>
      </c>
      <c r="L64" s="158">
        <v>0.76</v>
      </c>
      <c r="M64" s="158" t="e" vm="77">
        <f>_xlfn.XLOOKUP(I64,Teams!$C:$C,Teams!$E:$E,,0,1)</f>
        <v>#VALUE!</v>
      </c>
      <c r="N64" s="158">
        <v>0.24</v>
      </c>
      <c r="O64" s="198" t="str">
        <f>IF(L64&gt;N64,G64,I64)</f>
        <v>Arizona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Texas Tech</v>
      </c>
      <c r="C65" s="91" t="str">
        <f>IF(O65="","",IF(A65=O65,B65,A65))</f>
        <v>Texas Tech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0.54</v>
      </c>
      <c r="M65" s="164" t="e" vm="91">
        <f>_xlfn.XLOOKUP(I65,Teams!$C:$C,Teams!$E:$E,,0,1)</f>
        <v>#VALUE!</v>
      </c>
      <c r="N65" s="164">
        <v>0.46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Houston</v>
      </c>
      <c r="B67" s="91" t="str">
        <f>I67</f>
        <v>Illinois</v>
      </c>
      <c r="C67" s="91" t="str">
        <f>IF(O67="","",IF(A67=O67,B67,A67))</f>
        <v>Houston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129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0.39</v>
      </c>
      <c r="M67" s="164" t="e" vm="121">
        <f>_xlfn.XLOOKUP(I67,Teams!$C:$C,Teams!$E:$E,,0,1)</f>
        <v>#VALUE!</v>
      </c>
      <c r="N67" s="164">
        <v>0.61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Arizona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39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1">
        <f>_xlfn.XLOOKUP(G69,Teams!$C:$C,Teams!$E:$E,,0,1)</f>
        <v>#VALUE!</v>
      </c>
      <c r="L69" s="170">
        <v>0.55000000000000004</v>
      </c>
      <c r="M69" s="170" t="e" vm="81">
        <f>_xlfn.XLOOKUP(I69,Teams!$C:$C,Teams!$E:$E,,0,1)</f>
        <v>#VALUE!</v>
      </c>
      <c r="N69" s="170">
        <v>0.45</v>
      </c>
      <c r="O69" s="200" t="str">
        <f>IF(L69&gt;N69,G69,I69)</f>
        <v>Arizona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Illinois</v>
      </c>
      <c r="C70" s="91" t="str">
        <f>IF(O70="","",IF(A70=O70,B70,A70))</f>
        <v>Illinois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1">
        <f>_xlfn.XLOOKUP(G70,Teams!$C:$C,Teams!$E:$E,,0,1)</f>
        <v>#VALUE!</v>
      </c>
      <c r="L70" s="164">
        <v>0.52</v>
      </c>
      <c r="M70" s="164" t="e" vm="121">
        <f>_xlfn.XLOOKUP(I70,Teams!$C:$C,Teams!$E:$E,,0,1)</f>
        <v>#VALUE!</v>
      </c>
      <c r="N70" s="164">
        <v>0.48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Arizona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39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71">
        <f>_xlfn.XLOOKUP(G72,Teams!$C:$C,Teams!$E:$E,,0,1)</f>
        <v>#VALUE!</v>
      </c>
      <c r="L72" s="158">
        <v>0.75</v>
      </c>
      <c r="M72" s="158" t="e" vm="101">
        <f>_xlfn.XLOOKUP(I72,Teams!$C:$C,Teams!$E:$E,,0,1)</f>
        <v>#VALUE!</v>
      </c>
      <c r="N72" s="158">
        <v>0.25</v>
      </c>
      <c r="O72" s="198" t="str">
        <f>IF(L72&gt;N72,G72,I72)</f>
        <v>Arizona</v>
      </c>
      <c r="P72" s="205" t="e" vm="7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0.5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0.38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9">
        <f>_xlfn.XLOOKUP(AG7,Teams!$C:$C,Teams!$E:$E,,0,1)</f>
        <v>#VALUE!</v>
      </c>
      <c r="AG7" s="256" t="str">
        <f>Games!O46</f>
        <v>Louisville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0.5</v>
      </c>
      <c r="AI9" s="247" t="e" vm="99">
        <f>_xlfn.XLOOKUP(AJ9,Teams!$C:$C,Teams!$E:$E,,0,1)</f>
        <v>#VALUE!</v>
      </c>
      <c r="AJ9" s="256" t="str">
        <f>Games!O22</f>
        <v>Louisville</v>
      </c>
      <c r="AK9" s="58">
        <f>Games!L22</f>
        <v>0.8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7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0.2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0.62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Arizona</v>
      </c>
      <c r="P19" s="259" t="e" vm="71">
        <f>_xlfn.XLOOKUP(O19,Teams!$C:$C,Teams!$E:$E,,0,1)</f>
        <v>#VALUE!</v>
      </c>
      <c r="Q19" s="251">
        <f>Games!L69</f>
        <v>0.55000000000000004</v>
      </c>
      <c r="R19" s="25"/>
      <c r="S19" s="25"/>
      <c r="T19" s="288"/>
      <c r="U19" s="289"/>
      <c r="V19" s="290"/>
      <c r="W19" s="25"/>
      <c r="X19" s="25"/>
      <c r="Y19" s="251">
        <f>Games!L70</f>
        <v>0.52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0.42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Wisconsin</v>
      </c>
      <c r="J23" s="259" t="e" vm="75">
        <f>_xlfn.XLOOKUP(I23,Teams!$C:$C,Teams!$E:$E,,0,1)</f>
        <v>#VALUE!</v>
      </c>
      <c r="K23" s="251">
        <f>Games!L56</f>
        <v>0.3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0.57999999999999996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Arizona</v>
      </c>
      <c r="S27" s="256"/>
      <c r="T27" s="256"/>
      <c r="U27" s="271" t="e" vm="71">
        <f>_xlfn.XLOOKUP(R27,Teams!$C:$C,Teams!$E:$E,,0,1)</f>
        <v>#VALUE!</v>
      </c>
      <c r="V27" s="273">
        <f>Games!L72</f>
        <v>0.75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0.7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0.25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0.69</v>
      </c>
      <c r="AF39" s="249" t="e" vm="113">
        <f>_xlfn.XLOOKUP(AG39,Teams!$C:$C,Teams!$E:$E,,0,1)</f>
        <v>#VALUE!</v>
      </c>
      <c r="AG39" s="256" t="str">
        <f>Games!O50</f>
        <v>Houston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6">
        <f>_xlfn.XLOOKUP(AJ41,Teams!$C:$C,Teams!$E:$E,,0,1)</f>
        <v>#VALUE!</v>
      </c>
      <c r="AJ41" s="256" t="str">
        <f>Games!O30</f>
        <v>Georgia</v>
      </c>
      <c r="AK41" s="58">
        <f>Games!L30</f>
        <v>0.25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0.54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0.39</v>
      </c>
      <c r="AC43" s="249" t="e" vm="113">
        <f>_xlfn.XLOOKUP(AD43,Teams!$C:$C,Teams!$E:$E,,0,1)</f>
        <v>#VALUE!</v>
      </c>
      <c r="AD43" s="263" t="str">
        <f>Games!O61</f>
        <v>Houston</v>
      </c>
      <c r="AE43" s="56"/>
      <c r="AG43" s="255">
        <f>IF($AU$5=TRUE,AG27+1,"")</f>
        <v>55</v>
      </c>
      <c r="AJ43" s="24"/>
      <c r="AK43" s="59">
        <f>Games!N30</f>
        <v>0.75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0.31</v>
      </c>
      <c r="AF47" s="249" t="e" vm="120">
        <f>_xlfn.XLOOKUP(AG47,Teams!$C:$C,Teams!$E:$E,,0,1)</f>
        <v>#VALUE!</v>
      </c>
      <c r="AG47" s="256" t="str">
        <f>Games!O51</f>
        <v>High Point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0.62</v>
      </c>
      <c r="AI49" s="249" t="e" vm="120">
        <f>_xlfn.XLOOKUP(AJ49,Teams!$C:$C,Teams!$E:$E,,0,1)</f>
        <v>#VALUE!</v>
      </c>
      <c r="AJ49" s="256" t="str">
        <f>Games!O32</f>
        <v>High Point</v>
      </c>
      <c r="AK49" s="58">
        <f>Games!L32</f>
        <v>0.32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0.45</v>
      </c>
      <c r="R51" s="25"/>
      <c r="S51" s="25"/>
      <c r="T51" s="25"/>
      <c r="U51" s="75"/>
      <c r="V51" s="25"/>
      <c r="W51" s="25"/>
      <c r="X51" s="25"/>
      <c r="Y51" s="253">
        <f>Games!N70</f>
        <v>0.48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0.68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0.67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0.46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0.61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0.43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0.33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0.56999999999999995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2026-03-13T00:29:01Z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