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13_ncr:1_{D7B11850-F099-436B-9937-51B1BA5D72E3}" xr6:coauthVersionLast="47" xr6:coauthVersionMax="47" xr10:uidLastSave="{00000000-0000-0000-0000-000000000000}"/>
  <bookViews>
    <workbookView xWindow="-108" yWindow="-108" windowWidth="30936" windowHeight="16776" firstSheet="1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P11" i="2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<sst xmlns="http://schemas.openxmlformats.org/spreadsheetml/2006/main" count="1527" uniqueCount="1194">
  <si>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</si>
  <si>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</si>
  <si>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</si>
  <si>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</si>
  <si>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</si>
  <si>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</si>
  <si>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</si>
  <si>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</si>
  <si>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</si>
  <si>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</si>
  <si>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</si>
  <si>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</si>
  <si>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</si>
  <si>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</si>
  <si>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</si>
  <si>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</si>
  <si>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</si>
  <si>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</si>
  <si>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</si>
  <si>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</si>
  <si>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</si>
  <si>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</si>
  <si>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</si>
  <si>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</si>
  <si>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</si>
  <si>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</si>
  <si>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</si>
  <si>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</si>
  <si>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</si>
  <si>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</si>
  <si>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</si>
  <si>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</si>
  <si>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</si>
  <si>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</si>
  <si>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</si>
  <si>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</si>
  <si>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</si>
  <si>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</si>
  <si>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</si>
  <si>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</si>
  <si>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</si>
  <si>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</si>
  <si>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</si>
  <si>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</si>
  <si>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</si>
  <si>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</si>
  <si>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</si>
  <si>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</si>
  <si>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</si>
  <si>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</si>
  <si>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</si>
  <si>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</si>
  <si>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</si>
  <si>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</si>
  <si>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</si>
  <si>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</si>
  <si>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</si>
  <si>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</si>
  <si>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</si>
  <si>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</si>
  <si>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</si>
  <si>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</si>
  <si>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</si>
  <si>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</si>
  <si>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</si>
  <si>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</si>
  <si>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</si>
  <si>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</si>
  <si>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</si>
  <si>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</si>
  <si>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</si>
  <si>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</si>
  <si>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</si>
  <si>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</si>
  <si>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</si>
  <si>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</si>
  <si>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</si>
  <si>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</si>
  <si>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</si>
  <si>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</si>
  <si>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</si>
  <si>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</si>
  <si>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</si>
  <si>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</si>
  <si>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</si>
  <si>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</si>
  <si>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</si>
  <si>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</si>
  <si>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</si>
  <si>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</si>
  <si>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</si>
  <si>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</si>
  <si>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</si>
  <si>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</si>
  <si>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</si>
  <si>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</si>
  <si>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</si>
  <si>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</si>
  <si>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</si>
  <si>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</si>
  <si>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</si>
  <si>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</si>
  <si>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</si>
  <si>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</si>
  <si>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</si>
  <si>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</si>
  <si>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</si>
  <si>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</si>
  <si>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</si>
  <si>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</si>
  <si>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</si>
  <si>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</si>
  <si>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</si>
  <si>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</si>
  <si>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</si>
  <si>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</si>
  <si>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</si>
  <si>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</si>
  <si>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</si>
  <si>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</si>
  <si>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</si>
  <si>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</si>
  <si>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</si>
  <si>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</si>
  <si>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</si>
  <si>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</si>
  <si>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</si>
  <si>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</si>
  <si>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</si>
  <si>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</si>
  <si>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</si>
  <si>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</si>
  <si>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</si>
  <si>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</si>
  <si>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</si>
  <si>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</si>
  <si>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</si>
  <si>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</si>
  <si>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</si>
  <si>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</si>
  <si>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</si>
  <si>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</si>
  <si>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</si>
  <si>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</si>
  <si>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</si>
  <si>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</si>
  <si>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</si>
  <si>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</si>
  <si>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</si>
  <si>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</si>
  <si>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</si>
  <si>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</si>
  <si>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</si>
  <si>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</si>
  <si>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</si>
  <si>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</si>
  <si>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</si>
  <si>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</si>
  <si>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</si>
  <si>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</si>
  <si>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</si>
  <si>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</si>
  <si>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</si>
  <si>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</si>
  <si>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</si>
  <si>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</si>
  <si>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</si>
  <si>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</si>
  <si>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</si>
  <si>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</si>
  <si>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</si>
  <si>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</si>
  <si>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</si>
  <si>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</si>
  <si>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</si>
  <si>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</si>
  <si>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</si>
  <si>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</si>
  <si>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</si>
  <si>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</si>
  <si>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</si>
  <si>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</si>
  <si>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</si>
  <si>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</si>
  <si>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</si>
  <si>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</si>
  <si>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</si>
  <si>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</si>
  <si>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</si>
  <si>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</si>
  <si>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</si>
  <si>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</si>
  <si>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</si>
  <si>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</si>
  <si>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</si>
  <si>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</si>
  <si>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</si>
  <si>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</si>
  <si>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</si>
  <si>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</si>
  <si>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</si>
  <si>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</si>
  <si>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</si>
  <si>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</si>
  <si>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</si>
  <si>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</si>
  <si>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</si>
  <si>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</si>
  <si>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</si>
  <si>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</si>
  <si>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</si>
  <si>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</si>
  <si>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</si>
  <si>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</si>
  <si>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</si>
  <si>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</si>
  <si>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</si>
  <si>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</si>
  <si>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</si>
  <si>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</si>
  <si>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</si>
  <si>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</si>
  <si>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</si>
  <si>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</si>
  <si>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</si>
  <si>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</si>
  <si>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</si>
  <si>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</si>
  <si>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</si>
  <si>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</si>
  <si>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</si>
  <si>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</si>
  <si>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</si>
  <si>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</si>
  <si>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</si>
  <si>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</si>
  <si>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</si>
  <si>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</si>
  <si>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</si>
  <si>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</si>
  <si>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</si>
  <si>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</si>
  <si>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</si>
  <si>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</si>
  <si>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</si>
  <si>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</si>
  <si>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</si>
  <si>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</si>
  <si>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</si>
  <si>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</si>
  <si>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</si>
  <si>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</si>
  <si>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</si>
  <si>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</si>
  <si>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</si>
  <si>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</si>
  <si>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</si>
  <si>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</si>
  <si>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</si>
  <si>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</si>
  <si>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</si>
  <si>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</si>
  <si>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</si>
  <si>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</si>
  <si>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</si>
  <si>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</si>
  <si>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</si>
  <si>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</si>
  <si>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</si>
  <si>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</si>
  <si>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</si>
  <si>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</si>
  <si>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</si>
  <si>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</si>
  <si>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</si>
  <si>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</si>
  <si>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</si>
  <si>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</si>
  <si>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</si>
  <si>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</si>
  <si>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</si>
  <si>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</si>
  <si>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</si>
  <si>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</si>
  <si>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</si>
  <si>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</si>
  <si>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</si>
  <si>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</si>
  <si>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</si>
  <si>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</si>
  <si>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</si>
  <si>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</si>
  <si>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</si>
  <si>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</si>
  <si>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</si>
  <si>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</si>
  <si>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</si>
  <si>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</si>
  <si>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</si>
  <si>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</si>
  <si>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</si>
  <si>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</si>
  <si>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</si>
  <si>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</si>
  <si>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</si>
  <si>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</si>
  <si>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</si>
  <si>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</si>
  <si>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</si>
  <si>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</si>
  <si>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</si>
  <si>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</si>
  <si>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</si>
  <si>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</si>
  <si>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</si>
  <si>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</si>
  <si>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</si>
  <si>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</si>
  <si>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</si>
  <si>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</si>
  <si>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</si>
  <si>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</si>
  <si>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</si>
  <si>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</si>
  <si>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</si>
  <si>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</si>
  <si>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</si>
  <si>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</si>
  <si>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</si>
  <si>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</si>
  <si>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</si>
  <si>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</si>
  <si>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</si>
  <si>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</si>
  <si>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</si>
  <si>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</si>
  <si>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</si>
  <si>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</si>
  <si>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</si>
  <si>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</si>
  <si>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</si>
  <si>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</si>
  <si>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</si>
  <si>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</si>
  <si>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</si>
  <si>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</si>
  <si>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</si>
  <si>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</si>
  <si>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</si>
  <si>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</si>
  <si>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</si>
  <si>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</si>
  <si>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</si>
  <si>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</si>
  <si>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</si>
  <si>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</si>
  <si>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</si>
  <si>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</si>
  <si>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</si>
  <si>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</si>
  <si>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</si>
  <si>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</si>
  <si>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</si>
  <si>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</si>
  <si>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</si>
  <si>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</si>
  <si>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</si>
  <si>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</si>
  <si>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</si>
  <si>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</si>
  <si>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</si>
  <si>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</si>
  <si>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</si>
  <si>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</si>
  <si>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</si>
  <si>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</si>
  <si>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</si>
  <si>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</si>
  <si>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</si>
  <si>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</si>
  <si>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</si>
  <si>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</si>
  <si>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</si>
  <si>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</si>
  <si>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</si>
  <si>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</si>
  <si>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</si>
  <si>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</si>
  <si>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</si>
  <si>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</si>
  <si>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</si>
  <si>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</si>
  <si>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</si>
  <si>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</si>
  <si>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</si>
  <si>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</si>
  <si>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</si>
  <si>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</si>
  <si>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</si>
  <si>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</si>
  <si>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</si>
  <si>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</si>
  <si>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</si>
  <si>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</si>
  <si>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</si>
  <si>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</si>
  <si>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</si>
  <si>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</si>
  <si>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</si>
  <si>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</si>
  <si>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</si>
  <si>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</si>
  <si>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</si>
  <si>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</si>
  <si>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</si>
  <si>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</si>
  <si>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</si>
  <si>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</si>
  <si>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</si>
  <si>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</si>
  <si>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</si>
  <si>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</si>
  <si>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</si>
  <si>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</si>
  <si>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</si>
  <si>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</si>
  <si>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</si>
  <si>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</si>
  <si>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</si>
  <si>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</si>
  <si>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</si>
  <si>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</si>
  <si>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</si>
  <si>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</si>
  <si>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</si>
  <si>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</si>
  <si>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</si>
  <si>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</si>
  <si>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</si>
  <si>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</si>
  <si>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</si>
  <si>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</si>
  <si>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</si>
  <si>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</si>
  <si>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</si>
  <si>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</si>
  <si>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</si>
  <si>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</si>
  <si>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</si>
  <si>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</si>
  <si>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</si>
  <si>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</si>
  <si>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</si>
  <si>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</si>
  <si>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</si>
  <si>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</si>
  <si>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</si>
  <si>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</si>
  <si>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</si>
  <si>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</si>
  <si>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</si>
  <si>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</si>
  <si>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</si>
  <si>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</si>
  <si>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</si>
  <si>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</si>
  <si>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</si>
  <si>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</si>
  <si>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</si>
  <si>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</si>
  <si>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</si>
  <si>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</si>
  <si>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</si>
  <si>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</si>
  <si>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</si>
  <si>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</si>
  <si>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</si>
  <si>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</si>
  <si>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</si>
  <si>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</si>
  <si>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</si>
  <si>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</si>
  <si>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</si>
  <si>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</si>
  <si>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</si>
  <si>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</si>
  <si>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</si>
  <si>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</si>
  <si>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</si>
  <si>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</si>
  <si>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</si>
  <si>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</si>
  <si>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</si>
  <si>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</si>
  <si>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</si>
  <si>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</si>
  <si>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</si>
  <si>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</si>
  <si>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</si>
  <si>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</si>
  <si>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</si>
  <si>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</si>
  <si>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</si>
  <si>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</si>
  <si>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</si>
  <si>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</si>
  <si>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</si>
  <si>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</si>
  <si>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</si>
  <si>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</si>
  <si>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</si>
  <si>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</si>
  <si>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</si>
  <si>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</si>
  <si>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</si>
  <si>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</si>
  <si>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</si>
  <si>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</si>
  <si>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</si>
  <si>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</si>
  <si>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</si>
  <si>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</si>
  <si>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</si>
  <si>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</si>
  <si>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</si>
  <si>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</si>
  <si>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</si>
  <si>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</si>
  <si>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</si>
  <si>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</si>
  <si>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</si>
  <si>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</si>
  <si>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</si>
  <si>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</si>
  <si>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</si>
  <si>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</si>
  <si>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</si>
  <si>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</si>
  <si>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</si>
  <si>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</si>
  <si>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</si>
  <si>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</si>
  <si>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</si>
  <si>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</si>
  <si>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</si>
  <si>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</si>
  <si>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</si>
  <si>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</si>
  <si>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</si>
  <si>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</si>
  <si>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</si>
  <si>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</si>
  <si>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</si>
  <si>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</si>
  <si>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</si>
  <si>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</si>
  <si>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</si>
  <si>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</si>
  <si>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</si>
  <si>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</si>
  <si>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</si>
  <si>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</si>
  <si>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</si>
  <si>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</si>
  <si>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</si>
  <si>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</si>
  <si>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</si>
  <si>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</si>
  <si>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</si>
  <si>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</si>
  <si>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</si>
  <si>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</si>
  <si>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</si>
  <si>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</si>
  <si>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</si>
  <si>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</si>
  <si>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</si>
  <si>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</si>
  <si>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</si>
  <si>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</si>
  <si>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</si>
  <si>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</si>
  <si>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</si>
  <si>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</si>
  <si>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</si>
  <si>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</si>
  <si>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</si>
  <si>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</si>
  <si>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</si>
  <si>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</si>
  <si>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</si>
  <si>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</si>
  <si>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</si>
  <si>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</si>
  <si>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</si>
  <si>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</si>
  <si>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</si>
  <si>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</si>
  <si>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</si>
  <si>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</si>
  <si>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</si>
  <si>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</si>
  <si>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</si>
  <si>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</si>
  <si>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</si>
  <si>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</si>
  <si>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</si>
  <si>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</si>
  <si>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</si>
  <si>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</si>
  <si>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</si>
  <si>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</si>
  <si>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</si>
  <si>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</si>
  <si>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</si>
  <si>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</si>
  <si>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</si>
  <si>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</si>
  <si>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</si>
  <si>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</si>
  <si>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</si>
  <si>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</si>
  <si>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</si>
  <si>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</si>
  <si>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</si>
  <si>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</si>
  <si>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</si>
  <si>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</si>
  <si>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</si>
  <si>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</si>
  <si>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</si>
  <si>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</si>
  <si>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</si>
  <si>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</si>
  <si>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</si>
  <si>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</si>
  <si>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</si>
  <si>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</si>
  <si>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</si>
  <si>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</si>
  <si>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</si>
  <si>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</si>
  <si>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</si>
  <si>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</si>
  <si>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</si>
  <si>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</si>
  <si>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</si>
  <si>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</si>
  <si>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</si>
  <si>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</si>
  <si>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</si>
  <si>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</si>
  <si>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</si>
  <si>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</si>
  <si>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</si>
  <si>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</si>
  <si>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</si>
  <si>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</si>
  <si>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</si>
  <si>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</si>
  <si>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</si>
  <si>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</si>
  <si>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</si>
  <si>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</si>
  <si>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</si>
  <si>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</si>
  <si>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</si>
  <si>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</si>
  <si>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</si>
  <si>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</si>
  <si>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</si>
  <si>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</si>
  <si>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</si>
  <si>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</si>
  <si>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</si>
  <si>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</si>
  <si>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</si>
  <si>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</si>
  <si>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</si>
  <si>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</si>
  <si>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</si>
  <si>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</si>
  <si>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</si>
  <si>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</si>
  <si>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</si>
  <si>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</si>
  <si>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</si>
  <si>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</si>
  <si>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</si>
  <si>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</si>
  <si>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</si>
  <si>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</si>
  <si>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</si>
  <si>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</si>
  <si>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</si>
  <si>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</si>
  <si>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</si>
  <si>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</si>
  <si>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</si>
  <si>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</si>
  <si>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</si>
  <si>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</si>
  <si>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</si>
  <si>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</si>
  <si>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</si>
  <si>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</si>
  <si>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</si>
  <si>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</si>
  <si>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</si>
  <si>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</si>
  <si>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</si>
  <si>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</si>
  <si>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</si>
  <si>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</si>
  <si>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</si>
  <si>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</si>
  <si>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</si>
  <si>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</si>
  <si>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</si>
  <si>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</si>
  <si>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</si>
  <si>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</si>
  <si>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</si>
  <si>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</si>
  <si>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</si>
  <si>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</si>
  <si>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</si>
  <si>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</si>
  <si>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</si>
  <si>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</si>
  <si>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</si>
  <si>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</si>
  <si>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</si>
  <si>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</si>
  <si>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</si>
  <si>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</si>
  <si>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</si>
  <si>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</si>
  <si>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</si>
  <si>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</si>
  <si>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</si>
  <si>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</si>
  <si>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</si>
  <si>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</si>
  <si>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</si>
  <si>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</si>
  <si>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</si>
  <si>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</si>
  <si>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</si>
  <si>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</si>
  <si>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</si>
  <si>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</si>
  <si>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</si>
  <si>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</si>
  <si>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</si>
  <si>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</si>
  <si>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</si>
  <si>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</si>
  <si>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</si>
  <si>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</si>
  <si>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</si>
  <si>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</si>
  <si>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</si>
  <si>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</si>
  <si>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</si>
  <si>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</si>
  <si>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</si>
  <si>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</si>
  <si>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</si>
  <si>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</si>
  <si>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</si>
  <si>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</si>
  <si>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</si>
  <si>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</si>
  <si>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</si>
  <si>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</si>
  <si>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</si>
  <si>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</si>
  <si>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</si>
  <si>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</si>
  <si>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</si>
  <si>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</si>
  <si>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</si>
  <si>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</si>
  <si>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</si>
  <si>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</si>
  <si>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</si>
  <si>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</si>
  <si>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</si>
  <si>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</si>
  <si>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</si>
  <si>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</si>
  <si>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</si>
  <si>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</si>
  <si>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</si>
  <si>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</si>
  <si>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</si>
  <si>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</si>
  <si>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</si>
  <si>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</si>
  <si>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</si>
  <si>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</si>
  <si>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</si>
  <si>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</si>
  <si>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</si>
  <si>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</si>
  <si>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</si>
  <si>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</si>
  <si>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</si>
  <si>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</si>
  <si>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</si>
  <si>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</si>
  <si>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</si>
  <si>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</si>
  <si>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</si>
  <si>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</si>
  <si>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</si>
  <si>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</si>
  <si>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</si>
  <si>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</si>
  <si>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</si>
  <si>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</si>
  <si>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</si>
  <si>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</si>
  <si>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</si>
  <si>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</si>
  <si>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</si>
  <si>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</si>
  <si>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</si>
  <si>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</si>
  <si>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</si>
  <si>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</si>
  <si>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</si>
  <si>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</si>
  <si>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</si>
  <si>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</si>
  <si>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</si>
  <si>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</si>
  <si>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</si>
  <si>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</si>
  <si>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</si>
  <si>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</si>
  <si>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</si>
  <si>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</si>
  <si>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</si>
  <si>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</si>
  <si>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</si>
  <si>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</si>
  <si>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</si>
  <si>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</si>
  <si>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</si>
  <si>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</si>
  <si>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</si>
  <si>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</si>
  <si>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</si>
  <si>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</si>
  <si>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</si>
  <si>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</si>
  <si>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</si>
  <si>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</si>
  <si>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</si>
  <si>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</si>
  <si>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</si>
  <si>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</si>
  <si>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</si>
  <si>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</si>
  <si>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</si>
  <si>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</si>
  <si>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</si>
  <si>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</si>
  <si>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</si>
  <si>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</si>
  <si>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</si>
  <si>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</si>
  <si>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</si>
  <si>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</si>
  <si>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</si>
  <si>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</si>
  <si>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</si>
  <si>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</si>
  <si>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</si>
  <si>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</si>
  <si>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</si>
  <si>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</si>
  <si>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</si>
  <si>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</si>
  <si>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</si>
  <si>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</si>
  <si>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</si>
  <si>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</si>
  <si>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</si>
  <si>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</si>
  <si>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</si>
  <si>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</si>
  <si>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</si>
  <si>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</si>
  <si>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</si>
  <si>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</si>
  <si>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</si>
  <si>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</si>
  <si>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</si>
  <si>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</si>
  <si>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</si>
  <si>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</si>
  <si>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</si>
  <si>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</si>
  <si>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</si>
  <si>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</si>
  <si>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</si>
  <si>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</si>
  <si>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</si>
  <si>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</si>
  <si>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</si>
  <si>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</si>
  <si>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</si>
  <si>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</si>
  <si>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</si>
  <si>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</si>
  <si>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</si>
  <si>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</si>
  <si>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</si>
  <si>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</si>
  <si>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</si>
  <si>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</si>
  <si>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</si>
  <si>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</si>
  <si>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</si>
  <si>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</si>
  <si>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</si>
  <si>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</si>
  <si>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</si>
  <si>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</si>
  <si>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</si>
  <si>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</si>
  <si>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</si>
  <si>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</si>
  <si>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</si>
  <si>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</si>
  <si>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</si>
  <si>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</si>
  <si>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</si>
  <si>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</si>
  <si>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</si>
  <si>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</si>
  <si>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</si>
  <si>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</si>
  <si>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</si>
  <si>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</si>
  <si>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</si>
  <si>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</si>
  <si>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</si>
  <si>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</si>
  <si>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</si>
  <si>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</si>
  <si>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</si>
  <si>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</si>
  <si>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</si>
  <si>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</si>
  <si>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</si>
  <si>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</si>
  <si>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</si>
  <si>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</si>
  <si>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</si>
  <si>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</si>
  <si>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</si>
  <si>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</si>
  <si>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</si>
  <si>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</si>
  <si>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</si>
  <si>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</si>
  <si>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</si>
  <si>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</si>
  <si>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</si>
  <si>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</si>
  <si>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</si>
  <si>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</si>
  <si>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</si>
  <si>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</si>
  <si>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</si>
  <si>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</si>
  <si>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</si>
  <si>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</si>
  <si>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</si>
  <si>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</si>
  <si>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</si>
  <si>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</si>
  <si>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</si>
  <si>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</si>
  <si>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</si>
  <si>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</si>
  <si>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</si>
  <si>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</si>
  <si>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</si>
  <si>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</si>
  <si>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</si>
  <si>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</si>
  <si>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</si>
  <si>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</si>
  <si>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</si>
  <si>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</si>
  <si>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</si>
  <si>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</si>
  <si>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</si>
  <si>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</si>
  <si>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</si>
  <si>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</si>
  <si>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</si>
  <si>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</si>
  <si>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</si>
  <si>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</si>
  <si>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</si>
  <si>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</si>
  <si>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</si>
  <si>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</si>
  <si>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</si>
  <si>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</si>
  <si>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</si>
  <si>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</si>
  <si>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</si>
  <si>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</si>
  <si>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</si>
  <si>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</si>
  <si>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</si>
  <si>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</si>
  <si>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</si>
  <si>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</si>
  <si>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</si>
  <si>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</si>
  <si>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</si>
  <si>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</si>
  <si>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</si>
  <si>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</si>
  <si>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</si>
  <si>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</si>
  <si>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</si>
  <si>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</si>
  <si>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</si>
  <si>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</si>
  <si>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</si>
  <si>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</si>
  <si>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</si>
  <si>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</si>
  <si>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</si>
  <si>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</si>
  <si>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</si>
  <si>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</si>
  <si>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</si>
  <si>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</si>
  <si>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</si>
  <si>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</si>
  <si>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</si>
  <si>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</si>
  <si>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</si>
  <si>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</si>
  <si>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</si>
  <si>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</si>
  <si>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</si>
  <si>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</si>
  <si>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</si>
  <si>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</si>
  <si>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</si>
  <si>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</si>
  <si>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</si>
  <si>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</si>
  <si>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</si>
  <si>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</si>
  <si>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</si>
  <si>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</si>
  <si>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</si>
  <si>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</si>
  <si>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</si>
  <si>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</si>
  <si>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</si>
  <si>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</si>
  <si>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</si>
  <si>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</si>
  <si>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</si>
  <si>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</si>
  <si>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</si>
  <si>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</si>
  <si>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</si>
  <si>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</si>
  <si>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</si>
  <si>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</si>
  <si>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</si>
  <si>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</si>
  <si>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</si>
  <si>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</si>
  <si>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</si>
  <si>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</si>
  <si>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</si>
  <si>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</si>
  <si>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</si>
  <si>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</si>
  <si>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</si>
  <si>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</si>
  <si>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</si>
  <si>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</si>
  <si>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</si>
  <si>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</si>
  <si>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</si>
  <si>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</si>
  <si>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</si>
  <si>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</si>
  <si>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</si>
  <si>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</si>
  <si>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</si>
  <si>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</si>
  <si>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</si>
  <si>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</si>
  <si>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</si>
  <si>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</si>
  <si>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</si>
  <si>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</si>
  <si>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</si>
  <si>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</si>
  <si>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</si>
  <si>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</si>
  <si>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</si>
  <si>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</si>
  <si>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</si>
  <si>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</si>
  <si>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</si>
  <si>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</si>
  <si>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</si>
  <si>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</si>
  <si>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</si>
  <si>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</si>
  <si>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</si>
  <si>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</si>
  <si>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</si>
  <si>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</si>
  <si>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UPSET! Normal winner is 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</si>
  <si>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</si>
  <si>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</si>
  <si>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</si>
  <si>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</si>
  <si>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UPSET! Normal winner is 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</si>
  <si>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</si>
  <si>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</si>
  <si>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</si>
  <si>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</si>
  <si>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</si>
  <si>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</si>
  <si>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</si>
  <si>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</si>
  <si>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</si>
  <si>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</si>
  <si>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UPSET! Normal winner is Villanova</t>
  </si>
  <si>
    <t>Wisconsin: 257 - 244 :High Point</t>
  </si>
  <si>
    <t>Arkansas: 454 - 47 :Hawaii</t>
  </si>
  <si>
    <t>UPSET! Normal winner is Brigham Young</t>
  </si>
  <si>
    <t>Gonzaga: 413 - 88 :Kennesaw State</t>
  </si>
  <si>
    <t>UPSET! Normal winner is Miami (FL)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</si>
  <si>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</si>
  <si>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</si>
  <si>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</si>
  <si>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</si>
  <si>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</si>
  <si>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</si>
  <si>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</si>
  <si>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Kentucky: 278 - 223 :Santa Clara</t>
  </si>
  <si>
    <t>Iowa State: 463 - 38 :Tennessee State</t>
  </si>
  <si>
    <t>Duke: 446 - 55 :Ohio State</t>
  </si>
  <si>
    <t>St. John's (NY): 205 - 296 :Kansas</t>
  </si>
  <si>
    <t>South Florida: 215 - 286 :Michigan State</t>
  </si>
  <si>
    <t>UCLA: 194 - 307 :Connecticut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</si>
  <si>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</si>
  <si>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</si>
  <si>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</si>
  <si>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</si>
  <si>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485 - 16 :Utah State</t>
  </si>
  <si>
    <t>Wisconsin: 184 - 317 :Arkansas</t>
  </si>
  <si>
    <t>Texas: 177 - 324 :Gonzaga</t>
  </si>
  <si>
    <t>Missouri: 180 - 321 :Purdue</t>
  </si>
  <si>
    <t>Michigan: 381 - 120 :Saint Louis</t>
  </si>
  <si>
    <t>Texas Tech: 345 - 156 :Alabama</t>
  </si>
  <si>
    <t>UPSET! Normal winner is Miami (OH)</t>
  </si>
  <si>
    <t>Kentucky: 126 - 375 :Iowa State</t>
  </si>
  <si>
    <t>Duke: 303 - 198 :Kansas</t>
  </si>
  <si>
    <t>UPSET! Normal winner is Connecticut</t>
  </si>
  <si>
    <t>UPSET! Normal winner is Florida</t>
  </si>
  <si>
    <t>Illinois: 238 - 263 :Saint Mary's (CA)</t>
  </si>
  <si>
    <t>Arizona: 405 - 96 :Arkansas</t>
  </si>
  <si>
    <t>UPSET! Normal winner is Gonzaga</t>
  </si>
  <si>
    <t>UPSET! Normal winner is Texas Tech</t>
  </si>
  <si>
    <t>Virginia: 158 - 343 :Iowa State</t>
  </si>
  <si>
    <t>Duke: 395 - 106 :Michigan State</t>
  </si>
  <si>
    <t>Nebraska: 194 - 307 :Saint Mary's (CA)</t>
  </si>
  <si>
    <t>Arizona: 398 - 103 :Purdue</t>
  </si>
  <si>
    <t>Michigan: 292 - 209 :Iowa State</t>
  </si>
  <si>
    <t>Duke: 298 - 203 :Saint Mary's (CA)</t>
  </si>
  <si>
    <t>Arizona: 389 - 112 :Michigan</t>
  </si>
  <si>
    <t>Duke: 185 - 316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</si>
</sst>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" activePane="bottomLeft" state="frozen"/>
      <selection activeCell="E1" sqref="E1"/>
      <selection pane="bottomLeft" activeCell="O12" sqref="O12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TCU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</v>
      </c>
      <c r="M6" s="82" t="e" vm="68">
        <f>_xlfn.XLOOKUP(I6,Teams!$C:$C,Teams!$E:$E,,0,1)</f>
        <v>#VALUE!</v>
      </c>
      <c r="N6" s="82">
        <v>0.4</v>
      </c>
      <c r="O6" s="189" t="str">
        <f t="shared" si="3"/>
        <v>Ohio State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UCF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">
        <v>134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Villanova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0.27</v>
      </c>
      <c r="M22" s="82" t="e" vm="100">
        <f>_xlfn.XLOOKUP(I22,Teams!$C:$C,Teams!$E:$E,,0,1)</f>
        <v>#VALUE!</v>
      </c>
      <c r="N22" s="82">
        <v>0.73</v>
      </c>
      <c r="O22" s="189" t="str">
        <f t="shared" si="3"/>
        <v>Utah State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Brigham Young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0.46</v>
      </c>
      <c r="M25" s="82" t="e" vm="106">
        <f>_xlfn.XLOOKUP(I25,Teams!$C:$C,Teams!$E:$E,,0,1)</f>
        <v>#VALUE!</v>
      </c>
      <c r="N25" s="82">
        <v>0.54</v>
      </c>
      <c r="O25" s="189" t="str">
        <f t="shared" si="3"/>
        <v>Texas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Miami (FL)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0.32</v>
      </c>
      <c r="M27" s="82" t="e" vm="110">
        <f>_xlfn.XLOOKUP(I27,Teams!$C:$C,Teams!$E:$E,,0,1)</f>
        <v>#VALUE!</v>
      </c>
      <c r="N27" s="82">
        <v>0.68</v>
      </c>
      <c r="O27" s="189" t="str">
        <f t="shared" si="3"/>
        <v>Missouri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Ohio State</v>
      </c>
      <c r="C38" s="91" t="str">
        <f t="shared" ref="C38:C53" si="7">IF(O38="","",IF(A38=O38,B38,A38))</f>
        <v>Ohio State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732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0.89</v>
      </c>
      <c r="M38" s="84" t="e" vm="67">
        <f>_xlfn.XLOOKUP(I38,Teams!$C:$C,Teams!$E:$E,,0,1)</f>
        <v>#VALUE!</v>
      </c>
      <c r="N38" s="84">
        <v>0.11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UCLA</v>
      </c>
      <c r="B41" s="91" t="str">
        <f t="shared" si="11"/>
        <v>Connecticut</v>
      </c>
      <c r="C41" s="91" t="str">
        <f t="shared" si="7"/>
        <v>UCLA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134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Utah State</v>
      </c>
      <c r="C46" s="152" t="str">
        <f t="shared" si="7"/>
        <v>Utah State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137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0.97</v>
      </c>
      <c r="M46" s="84" t="e" vm="100">
        <f>_xlfn.XLOOKUP(I46,Teams!$C:$C,Teams!$E:$E,,0,1)</f>
        <v>#VALUE!</v>
      </c>
      <c r="N46" s="84">
        <v>0.03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Wisconsin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0.37</v>
      </c>
      <c r="M47" s="82" t="e" vm="103">
        <f>_xlfn.XLOOKUP(I47,Teams!$C:$C,Teams!$E:$E,,0,1)</f>
        <v>#VALUE!</v>
      </c>
      <c r="N47" s="82">
        <v>0.63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Texas</v>
      </c>
      <c r="B48" s="152" t="str">
        <f t="shared" si="11"/>
        <v>Gonzaga</v>
      </c>
      <c r="C48" s="152" t="str">
        <f t="shared" si="7"/>
        <v>Texas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138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0.35</v>
      </c>
      <c r="M48" s="82" t="e" vm="107">
        <f>_xlfn.XLOOKUP(I48,Teams!$C:$C,Teams!$E:$E,,0,1)</f>
        <v>#VALUE!</v>
      </c>
      <c r="N48" s="82">
        <v>0.65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Missouri</v>
      </c>
      <c r="B49" s="152" t="str">
        <f t="shared" si="11"/>
        <v>Purdue</v>
      </c>
      <c r="C49" s="152" t="str">
        <f t="shared" si="7"/>
        <v>Missouri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109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0.36</v>
      </c>
      <c r="M49" s="139" t="e" vm="111">
        <f>_xlfn.XLOOKUP(I49,Teams!$C:$C,Teams!$E:$E,,0,1)</f>
        <v>#VALUE!</v>
      </c>
      <c r="N49" s="139">
        <v>0.64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Miami (OH)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0.35</v>
      </c>
      <c r="M52" s="83" t="e" vm="123">
        <f>_xlfn.XLOOKUP(I52,Teams!$C:$C,Teams!$E:$E,,0,1)</f>
        <v>#VALUE!</v>
      </c>
      <c r="N52" s="83">
        <v>0.65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Kansas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0.6</v>
      </c>
      <c r="M55" s="97" t="e" vm="71">
        <f>_xlfn.XLOOKUP(I55,Teams!$C:$C,Teams!$E:$E,,0,1)</f>
        <v>#VALUE!</v>
      </c>
      <c r="N55" s="97">
        <v>0.4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Connecticut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0.56999999999999995</v>
      </c>
      <c r="M56" s="139" t="e" vm="79">
        <f>_xlfn.XLOOKUP(I56,Teams!$C:$C,Teams!$E:$E,,0,1)</f>
        <v>#VALUE!</v>
      </c>
      <c r="N56" s="139">
        <v>0.43</v>
      </c>
      <c r="O56" s="195" t="str">
        <f t="shared" si="14"/>
        <v>Michigan State</v>
      </c>
      <c r="P56" s="210" t="e" vm="75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Florida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0.21</v>
      </c>
      <c r="M57" s="145" t="e" vm="87">
        <f>_xlfn.XLOOKUP(I57,Teams!$C:$C,Teams!$E:$E,,0,1)</f>
        <v>#VALUE!</v>
      </c>
      <c r="N57" s="145">
        <v>0.79</v>
      </c>
      <c r="O57" s="196" t="str">
        <f t="shared" si="14"/>
        <v>Nebraska</v>
      </c>
      <c r="P57" s="211" t="e" vm="87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Gonzaga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0.46</v>
      </c>
      <c r="M60" s="139" t="e" vm="111">
        <f>_xlfn.XLOOKUP(I60,Teams!$C:$C,Teams!$E:$E,,0,1)</f>
        <v>#VALUE!</v>
      </c>
      <c r="N60" s="139">
        <v>0.54</v>
      </c>
      <c r="O60" s="195" t="str">
        <f t="shared" si="14"/>
        <v>Purdue</v>
      </c>
      <c r="P60" s="210" t="e" vm="111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Texas Tech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0.65</v>
      </c>
      <c r="M61" s="145" t="e" vm="117">
        <f>_xlfn.XLOOKUP(I61,Teams!$C:$C,Teams!$E:$E,,0,1)</f>
        <v>#VALUE!</v>
      </c>
      <c r="N61" s="145">
        <v>0.35</v>
      </c>
      <c r="O61" s="196" t="str">
        <f t="shared" si="14"/>
        <v>Michigan</v>
      </c>
      <c r="P61" s="211" t="e" vm="113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Virginia</v>
      </c>
      <c r="B62" s="91" t="str">
        <f t="shared" si="16"/>
        <v>Iowa State</v>
      </c>
      <c r="C62" s="91" t="str">
        <f t="shared" si="12"/>
        <v>Virginia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1059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0.32</v>
      </c>
      <c r="M62" s="151" t="e" vm="127">
        <f>_xlfn.XLOOKUP(I62,Teams!$C:$C,Teams!$E:$E,,0,1)</f>
        <v>#VALUE!</v>
      </c>
      <c r="N62" s="151">
        <v>0.68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Michigan State</v>
      </c>
      <c r="C64" s="91" t="str">
        <f>IF(O64="","",IF(A64=O64,B64,A64))</f>
        <v>Michigan State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117</v>
      </c>
      <c r="J64" s="157" cm="1">
        <f t="array" ref="J64">_xlfn.XLOOKUP(I64,Teams[[#All],[Team]],Teams[[#All],[Seed]],0,0,1)</f>
        <v>3</v>
      </c>
      <c r="K64" s="158" t="e" vm="65">
        <f>_xlfn.XLOOKUP(G64,Teams!$C:$C,Teams!$E:$E,,0,1)</f>
        <v>#VALUE!</v>
      </c>
      <c r="L64" s="158">
        <v>0.79</v>
      </c>
      <c r="M64" s="158" t="e" vm="75">
        <f>_xlfn.XLOOKUP(I64,Teams!$C:$C,Teams!$E:$E,,0,1)</f>
        <v>#VALUE!</v>
      </c>
      <c r="N64" s="158">
        <v>0.21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Nebraska</v>
      </c>
      <c r="B65" s="91" t="str">
        <f>I65</f>
        <v>Saint Mary's (CA)</v>
      </c>
      <c r="C65" s="91" t="str">
        <f>IF(O65="","",IF(A65=O65,B65,A65))</f>
        <v>Nebraska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4</v>
      </c>
      <c r="G65" s="161" t="s">
        <v>642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7">
        <f>_xlfn.XLOOKUP(G65,Teams!$C:$C,Teams!$E:$E,,0,1)</f>
        <v>#VALUE!</v>
      </c>
      <c r="L65" s="164">
        <v>0.39</v>
      </c>
      <c r="M65" s="164" t="e" vm="93">
        <f>_xlfn.XLOOKUP(I65,Teams!$C:$C,Teams!$E:$E,,0,1)</f>
        <v>#VALUE!</v>
      </c>
      <c r="N65" s="164">
        <v>0.61</v>
      </c>
      <c r="O65" s="199" t="str">
        <f>IF(L65&gt;N65,G65,I65)</f>
        <v>Saint Mary's (CA)</v>
      </c>
      <c r="P65" s="207" t="e" vm="93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Purdue</v>
      </c>
      <c r="C66" s="91" t="str">
        <f>IF(O66="","",IF(A66=O66,B66,A66))</f>
        <v>Purdue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132</v>
      </c>
      <c r="J66" s="157" cm="1">
        <f t="array" ref="J66">_xlfn.XLOOKUP(I66,Teams[[#All],[Team]],Teams[[#All],[Seed]],0,0,1)</f>
        <v>2</v>
      </c>
      <c r="K66" s="158" t="e" vm="97">
        <f>_xlfn.XLOOKUP(G66,Teams!$C:$C,Teams!$E:$E,,0,1)</f>
        <v>#VALUE!</v>
      </c>
      <c r="L66" s="158">
        <v>0.79</v>
      </c>
      <c r="M66" s="158" t="e" vm="111">
        <f>_xlfn.XLOOKUP(I66,Teams!$C:$C,Teams!$E:$E,,0,1)</f>
        <v>#VALUE!</v>
      </c>
      <c r="N66" s="158">
        <v>0.21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Michigan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120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3">
        <f>_xlfn.XLOOKUP(G67,Teams!$C:$C,Teams!$E:$E,,0,1)</f>
        <v>#VALUE!</v>
      </c>
      <c r="L67" s="164">
        <v>0.57999999999999996</v>
      </c>
      <c r="M67" s="164" t="e" vm="127">
        <f>_xlfn.XLOOKUP(I67,Teams!$C:$C,Teams!$E:$E,,0,1)</f>
        <v>#VALUE!</v>
      </c>
      <c r="N67" s="164">
        <v>0.42</v>
      </c>
      <c r="O67" s="199" t="str">
        <f>IF(L67&gt;N67,G67,I67)</f>
        <v>Michigan</v>
      </c>
      <c r="P67" s="207" t="e" vm="113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Saint Mary's (CA)</v>
      </c>
      <c r="C69" s="91" t="str">
        <f>IF(O69="","",IF(A69=O69,B69,A69))</f>
        <v>Saint Mary's (CA)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832</v>
      </c>
      <c r="J69" s="169" cm="1">
        <f t="array" ref="J69">_xlfn.XLOOKUP(I69,Teams[[#All],[Team]],Teams[[#All],[Seed]],0,0,1)</f>
        <v>7</v>
      </c>
      <c r="K69" s="170" t="e" vm="65">
        <f>_xlfn.XLOOKUP(G69,Teams!$C:$C,Teams!$E:$E,,0,1)</f>
        <v>#VALUE!</v>
      </c>
      <c r="L69" s="170">
        <v>0.59</v>
      </c>
      <c r="M69" s="170" t="e" vm="93">
        <f>_xlfn.XLOOKUP(I69,Teams!$C:$C,Teams!$E:$E,,0,1)</f>
        <v>#VALUE!</v>
      </c>
      <c r="N69" s="170">
        <v>0.41</v>
      </c>
      <c r="O69" s="200" t="str">
        <f>IF(L69&gt;N69,G69,I69)</f>
        <v>Duke</v>
      </c>
      <c r="P69" s="210" t="e" vm="65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Michigan</v>
      </c>
      <c r="C70" s="91" t="str">
        <f>IF(O70="","",IF(A70=O70,B70,A70))</f>
        <v>Michigan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120</v>
      </c>
      <c r="J70" s="163" cm="1">
        <f t="array" ref="J70">_xlfn.XLOOKUP(I70,Teams[[#All],[Team]],Teams[[#All],[Seed]],0,0,1)</f>
        <v>1</v>
      </c>
      <c r="K70" s="164" t="e" vm="97">
        <f>_xlfn.XLOOKUP(G70,Teams!$C:$C,Teams!$E:$E,,0,1)</f>
        <v>#VALUE!</v>
      </c>
      <c r="L70" s="164">
        <v>0.78</v>
      </c>
      <c r="M70" s="164" t="e" vm="113">
        <f>_xlfn.XLOOKUP(I70,Teams!$C:$C,Teams!$E:$E,,0,1)</f>
        <v>#VALUE!</v>
      </c>
      <c r="N70" s="164">
        <v>0.22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Duke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65">
        <f>_xlfn.XLOOKUP(G72,Teams!$C:$C,Teams!$E:$E,,0,1)</f>
        <v>#VALUE!</v>
      </c>
      <c r="L72" s="158">
        <v>0.37</v>
      </c>
      <c r="M72" s="158" t="e" vm="97">
        <f>_xlfn.XLOOKUP(I72,Teams!$C:$C,Teams!$E:$E,,0,1)</f>
        <v>#VALUE!</v>
      </c>
      <c r="N72" s="158">
        <v>0.63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0.97</v>
      </c>
      <c r="AI5" s="247" t="e" vm="97">
        <f>_xlfn.XLOOKUP(AJ5,Teams!$C:$C,Teams!$E:$E,,0,1)</f>
        <v>#VALUE!</v>
      </c>
      <c r="AJ5" s="256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0.6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0.81</v>
      </c>
      <c r="AF7" s="247" t="e" vm="97">
        <f>_xlfn.XLOOKUP(AG7,Teams!$C:$C,Teams!$E:$E,,0,1)</f>
        <v>#VALUE!</v>
      </c>
      <c r="AG7" s="256" t="str">
        <f>Games!O46</f>
        <v>Arizona</v>
      </c>
      <c r="AH7" s="55"/>
      <c r="AI7" s="51"/>
      <c r="AJ7" s="276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0.6</v>
      </c>
      <c r="F9" s="256" t="str">
        <f>Games!O6</f>
        <v>Ohio State</v>
      </c>
      <c r="G9" s="259" t="e" vm="67">
        <f>_xlfn.XLOOKUP(F9,Teams!$C:$C,Teams!$E:$E,,0,1)</f>
        <v>#VALUE!</v>
      </c>
      <c r="H9" s="261">
        <f>Games!N38</f>
        <v>0.11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0.03</v>
      </c>
      <c r="AI9" s="247" t="e" vm="100">
        <f>_xlfn.XLOOKUP(AJ9,Teams!$C:$C,Teams!$E:$E,,0,1)</f>
        <v>#VALUE!</v>
      </c>
      <c r="AJ9" s="256" t="str">
        <f>Games!O22</f>
        <v>Utah State</v>
      </c>
      <c r="AK9" s="58">
        <f>Games!L22</f>
        <v>0.27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0.4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0.79</v>
      </c>
      <c r="O11" s="25"/>
      <c r="P11" s="25"/>
      <c r="R11" s="25"/>
      <c r="S11" s="25"/>
      <c r="T11" s="282" t="e" vm="97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0.79</v>
      </c>
      <c r="AC11" s="249" t="e" vm="97">
        <f>_xlfn.XLOOKUP(AD11,Teams!$C:$C,Teams!$E:$E,,0,1)</f>
        <v>#VALUE!</v>
      </c>
      <c r="AD11" s="256" t="str">
        <f>Games!O59</f>
        <v>Arizona</v>
      </c>
      <c r="AE11" s="56"/>
      <c r="AG11" s="255">
        <f>IF($AU$5=TRUE,I59+1,"")</f>
        <v>53</v>
      </c>
      <c r="AJ11" s="24"/>
      <c r="AK11" s="59">
        <f>Games!N22</f>
        <v>0.73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56" t="str">
        <f>Games!O7</f>
        <v>St. John's (NY)</v>
      </c>
      <c r="G13" s="259" t="e" vm="69">
        <f>_xlfn.XLOOKUP(F13,Teams!$C:$C,Teams!$E:$E,,0,1)</f>
        <v>#VALUE!</v>
      </c>
      <c r="H13" s="251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0.37</v>
      </c>
      <c r="AI13" s="249" t="e" vm="101">
        <f>_xlfn.XLOOKUP(AJ13,Teams!$C:$C,Teams!$E:$E,,0,1)</f>
        <v>#VALUE!</v>
      </c>
      <c r="AJ13" s="256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76">
        <f>IF($AU$5=TRUE,F7+1,"")</f>
        <v>34</v>
      </c>
      <c r="G15" s="14"/>
      <c r="H15" s="49"/>
      <c r="I15" s="265" t="str">
        <f>Games!O39</f>
        <v>Kansas</v>
      </c>
      <c r="J15" s="259" t="e" vm="71">
        <f>_xlfn.XLOOKUP(I15,Teams!$C:$C,Teams!$E:$E,,0,1)</f>
        <v>#VALUE!</v>
      </c>
      <c r="K15" s="261">
        <f>Games!N55</f>
        <v>0.4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0.19</v>
      </c>
      <c r="AF15" s="249" t="e" vm="103">
        <f>_xlfn.XLOOKUP(AG15,Teams!$C:$C,Teams!$E:$E,,0,1)</f>
        <v>#VALUE!</v>
      </c>
      <c r="AG15" s="256" t="str">
        <f>Games!O47</f>
        <v>Arkansas</v>
      </c>
      <c r="AH15" s="55"/>
      <c r="AI15" s="51"/>
      <c r="AJ15" s="276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56" t="str">
        <f>Games!O8</f>
        <v>Kansas</v>
      </c>
      <c r="G17" s="259" t="e" vm="71">
        <f>_xlfn.XLOOKUP(F17,Teams!$C:$C,Teams!$E:$E,,0,1)</f>
        <v>#VALUE!</v>
      </c>
      <c r="H17" s="261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0.63</v>
      </c>
      <c r="AI17" s="249" t="e" vm="103">
        <f>_xlfn.XLOOKUP(AJ17,Teams!$C:$C,Teams!$E:$E,,0,1)</f>
        <v>#VALUE!</v>
      </c>
      <c r="AJ17" s="256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58" t="s">
        <v>3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0.59</v>
      </c>
      <c r="R19" s="25"/>
      <c r="S19" s="25"/>
      <c r="T19" s="288"/>
      <c r="U19" s="289"/>
      <c r="V19" s="290"/>
      <c r="W19" s="25"/>
      <c r="X19" s="25"/>
      <c r="Y19" s="251">
        <f>Games!L70</f>
        <v>0.78</v>
      </c>
      <c r="Z19" s="249" t="e" vm="97">
        <f>_xlfn.XLOOKUP(AA19,Teams!$C:$C,Teams!$E:$E,,0,1)</f>
        <v>#VALUE!</v>
      </c>
      <c r="AA19" s="256" t="str">
        <f>Games!O66</f>
        <v>Arizona</v>
      </c>
      <c r="AB19" s="56"/>
      <c r="AD19" s="258" t="s">
        <v>4</v>
      </c>
      <c r="AE19" s="258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56" t="str">
        <f>Games!O9</f>
        <v>South Florida</v>
      </c>
      <c r="G21" s="259" t="e" vm="74">
        <f>_xlfn.XLOOKUP(F21,Teams!$C:$C,Teams!$E:$E,,0,1)</f>
        <v>#VALUE!</v>
      </c>
      <c r="H21" s="251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0.35</v>
      </c>
      <c r="AI21" s="249" t="e" vm="106">
        <f>_xlfn.XLOOKUP(AJ21,Teams!$C:$C,Teams!$E:$E,,0,1)</f>
        <v>#VALUE!</v>
      </c>
      <c r="AJ21" s="256" t="str">
        <f>Games!O25</f>
        <v>Texas</v>
      </c>
      <c r="AK21" s="58">
        <f>Games!L25</f>
        <v>0.46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76">
        <f>IF($AU$5=TRUE,F15+1,"")</f>
        <v>35</v>
      </c>
      <c r="G23" s="14"/>
      <c r="H23" s="49"/>
      <c r="I23" s="265" t="str">
        <f>Games!O40</f>
        <v>Michigan State</v>
      </c>
      <c r="J23" s="259" t="e" vm="75">
        <f>_xlfn.XLOOKUP(I23,Teams!$C:$C,Teams!$E:$E,,0,1)</f>
        <v>#VALUE!</v>
      </c>
      <c r="K23" s="251">
        <f>Games!L56</f>
        <v>0.56999999999999995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0.46</v>
      </c>
      <c r="AF23" s="249" t="e" vm="107">
        <f>_xlfn.XLOOKUP(AG23,Teams!$C:$C,Teams!$E:$E,,0,1)</f>
        <v>#VALUE!</v>
      </c>
      <c r="AG23" s="256" t="str">
        <f>Games!O48</f>
        <v>Gonzaga</v>
      </c>
      <c r="AH23" s="55"/>
      <c r="AI23" s="51"/>
      <c r="AJ23" s="276">
        <f>IF($AU$5=TRUE,AJ15+1,"")</f>
        <v>43</v>
      </c>
      <c r="AK23" s="59">
        <f>Games!N25</f>
        <v>0.54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56" t="str">
        <f>Games!O10</f>
        <v>Michigan State</v>
      </c>
      <c r="G25" s="259" t="e" vm="75">
        <f>_xlfn.XLOOKUP(F25,Teams!$C:$C,Teams!$E:$E,,0,1)</f>
        <v>#VALUE!</v>
      </c>
      <c r="H25" s="261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0.65</v>
      </c>
      <c r="AI25" s="249" t="e" vm="107">
        <f>_xlfn.XLOOKUP(AJ25,Teams!$C:$C,Teams!$E:$E,,0,1)</f>
        <v>#VALUE!</v>
      </c>
      <c r="AJ25" s="256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Michigan State</v>
      </c>
      <c r="M27" s="259" t="e" vm="75">
        <f>_xlfn.XLOOKUP(L27,Teams!$C:$C,Teams!$E:$E,,0,1)</f>
        <v>#VALUE!</v>
      </c>
      <c r="N27" s="261">
        <f>Games!N64</f>
        <v>0.21</v>
      </c>
      <c r="O27" s="25"/>
      <c r="P27" s="25"/>
      <c r="Q27" s="50"/>
      <c r="R27" s="265" t="str">
        <f>Games!O69</f>
        <v>Duke</v>
      </c>
      <c r="S27" s="256"/>
      <c r="T27" s="256"/>
      <c r="U27" s="271" t="e" vm="65">
        <f>_xlfn.XLOOKUP(R27,Teams!$C:$C,Teams!$E:$E,,0,1)</f>
        <v>#VALUE!</v>
      </c>
      <c r="V27" s="273">
        <f>Games!L72</f>
        <v>0.37</v>
      </c>
      <c r="W27" s="24"/>
      <c r="X27" s="25"/>
      <c r="Y27" s="56"/>
      <c r="AA27" s="25"/>
      <c r="AB27" s="253">
        <f>Games!N66</f>
        <v>0.21</v>
      </c>
      <c r="AC27" s="249" t="e" vm="111">
        <f>_xlfn.XLOOKUP(AD27,Teams!$C:$C,Teams!$E:$E,,0,1)</f>
        <v>#VALUE!</v>
      </c>
      <c r="AD27" s="256" t="str">
        <f>Games!O60</f>
        <v>Purdue</v>
      </c>
      <c r="AE27" s="56"/>
      <c r="AG27" s="255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56" t="str">
        <f>Games!O11</f>
        <v>UCLA</v>
      </c>
      <c r="G29" s="259" t="e" vm="77">
        <f>_xlfn.XLOOKUP(F29,Teams!$C:$C,Teams!$E:$E,,0,1)</f>
        <v>#VALUE!</v>
      </c>
      <c r="H29" s="251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0.36</v>
      </c>
      <c r="AI29" s="249" t="e" vm="110">
        <f>_xlfn.XLOOKUP(AJ29,Teams!$C:$C,Teams!$E:$E,,0,1)</f>
        <v>#VALUE!</v>
      </c>
      <c r="AJ29" s="256" t="str">
        <f>Games!O27</f>
        <v>Missouri</v>
      </c>
      <c r="AK29" s="58">
        <f>Games!L27</f>
        <v>0.32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76">
        <f>IF($AU$5=TRUE,F23+1,"")</f>
        <v>36</v>
      </c>
      <c r="G31" s="14"/>
      <c r="H31" s="49"/>
      <c r="I31" s="265" t="str">
        <f>Games!O41</f>
        <v>Connecticut</v>
      </c>
      <c r="J31" s="259" t="e" vm="79">
        <f>_xlfn.XLOOKUP(I31,Teams!$C:$C,Teams!$E:$E,,0,1)</f>
        <v>#VALUE!</v>
      </c>
      <c r="K31" s="261">
        <f>Games!N56</f>
        <v>0.43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0.54</v>
      </c>
      <c r="AF31" s="249" t="e" vm="111">
        <f>_xlfn.XLOOKUP(AG31,Teams!$C:$C,Teams!$E:$E,,0,1)</f>
        <v>#VALUE!</v>
      </c>
      <c r="AG31" s="256" t="str">
        <f>Games!O49</f>
        <v>Purdue</v>
      </c>
      <c r="AH31" s="55"/>
      <c r="AI31" s="51"/>
      <c r="AJ31" s="276">
        <f>IF($AU$5=TRUE,AJ23+1,"")</f>
        <v>44</v>
      </c>
      <c r="AK31" s="59">
        <f>Games!N27</f>
        <v>0.68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56" t="str">
        <f>Games!O12</f>
        <v>Connecticut</v>
      </c>
      <c r="G33" s="259" t="e" vm="79">
        <f>_xlfn.XLOOKUP(F33,Teams!$C:$C,Teams!$E:$E,,0,1)</f>
        <v>#VALUE!</v>
      </c>
      <c r="H33" s="261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0.64</v>
      </c>
      <c r="AI33" s="249" t="e" vm="111">
        <f>_xlfn.XLOOKUP(AJ33,Teams!$C:$C,Teams!$E:$E,,0,1)</f>
        <v>#VALUE!</v>
      </c>
      <c r="AJ33" s="256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0.21</v>
      </c>
      <c r="L39" s="25"/>
      <c r="M39" s="25"/>
      <c r="O39" s="25"/>
      <c r="P39" s="25"/>
      <c r="Q39" s="50"/>
      <c r="R39" s="25"/>
      <c r="S39" s="25"/>
      <c r="T39" s="273">
        <f>Games!N72</f>
        <v>0.63</v>
      </c>
      <c r="U39" s="267" t="e" vm="97">
        <f>_xlfn.XLOOKUP(V39,Teams!$C:$C,Teams!$E:$E,,0,1)</f>
        <v>#VALUE!</v>
      </c>
      <c r="V39" s="256" t="str">
        <f>Games!O70</f>
        <v>Arizona</v>
      </c>
      <c r="W39" s="256"/>
      <c r="X39" s="269"/>
      <c r="Y39" s="56"/>
      <c r="AA39" s="25"/>
      <c r="AD39" s="25"/>
      <c r="AE39" s="253">
        <f>Games!L61</f>
        <v>0.65</v>
      </c>
      <c r="AF39" s="249" t="e" vm="113">
        <f>_xlfn.XLOOKUP(AG39,Teams!$C:$C,Teams!$E:$E,,0,1)</f>
        <v>#VALUE!</v>
      </c>
      <c r="AG39" s="256" t="str">
        <f>Games!O50</f>
        <v>Michigan</v>
      </c>
      <c r="AH39" s="55"/>
      <c r="AI39" s="51"/>
      <c r="AJ39" s="276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56" t="str">
        <f>Games!O14</f>
        <v>Iowa</v>
      </c>
      <c r="G41" s="259" t="e" vm="84">
        <f>_xlfn.XLOOKUP(F41,Teams!$C:$C,Teams!$E:$E,,0,1)</f>
        <v>#VALUE!</v>
      </c>
      <c r="H41" s="261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6">
        <f>_xlfn.XLOOKUP(AJ41,Teams!$C:$C,Teams!$E:$E,,0,1)</f>
        <v>#VALUE!</v>
      </c>
      <c r="AJ41" s="256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Nebraska</v>
      </c>
      <c r="M43" s="259" t="e" vm="87">
        <f>_xlfn.XLOOKUP(L43,Teams!$C:$C,Teams!$E:$E,,0,1)</f>
        <v>#VALUE!</v>
      </c>
      <c r="N43" s="251">
        <f>Games!L65</f>
        <v>0.39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0.57999999999999996</v>
      </c>
      <c r="AC43" s="249" t="e" vm="113">
        <f>_xlfn.XLOOKUP(AD43,Teams!$C:$C,Teams!$E:$E,,0,1)</f>
        <v>#VALUE!</v>
      </c>
      <c r="AD43" s="263" t="str">
        <f>Games!O61</f>
        <v>Michigan</v>
      </c>
      <c r="AE43" s="56"/>
      <c r="AG43" s="255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56" t="str">
        <f>Games!O15</f>
        <v>Vanderbilt</v>
      </c>
      <c r="G45" s="259" t="e" vm="85">
        <f>_xlfn.XLOOKUP(F45,Teams!$C:$C,Teams!$E:$E,,0,1)</f>
        <v>#VALUE!</v>
      </c>
      <c r="H45" s="251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0.69</v>
      </c>
      <c r="AI45" s="249" t="e" vm="117">
        <f>_xlfn.XLOOKUP(AJ45,Teams!$C:$C,Teams!$E:$E,,0,1)</f>
        <v>#VALUE!</v>
      </c>
      <c r="AJ45" s="256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76">
        <f>IF($AU$5=TRUE,F39+1,"")</f>
        <v>38</v>
      </c>
      <c r="G47" s="14"/>
      <c r="H47" s="49"/>
      <c r="I47" s="265" t="str">
        <f>Games!O43</f>
        <v>Nebraska</v>
      </c>
      <c r="J47" s="259" t="e" vm="87">
        <f>_xlfn.XLOOKUP(I47,Teams!$C:$C,Teams!$E:$E,,0,1)</f>
        <v>#VALUE!</v>
      </c>
      <c r="K47" s="261">
        <f>Games!N57</f>
        <v>0.79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0.35</v>
      </c>
      <c r="AF47" s="249" t="e" vm="117">
        <f>_xlfn.XLOOKUP(AG47,Teams!$C:$C,Teams!$E:$E,,0,1)</f>
        <v>#VALUE!</v>
      </c>
      <c r="AG47" s="256" t="str">
        <f>Games!O51</f>
        <v>Texas Tech</v>
      </c>
      <c r="AH47" s="55"/>
      <c r="AI47" s="51"/>
      <c r="AJ47" s="276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56" t="str">
        <f>Games!O16</f>
        <v>Nebraska</v>
      </c>
      <c r="G49" s="259" t="e" vm="87">
        <f>_xlfn.XLOOKUP(F49,Teams!$C:$C,Teams!$E:$E,,0,1)</f>
        <v>#VALUE!</v>
      </c>
      <c r="H49" s="261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0.31</v>
      </c>
      <c r="AI49" s="249" t="e" vm="119">
        <f>_xlfn.XLOOKUP(AJ49,Teams!$C:$C,Teams!$E:$E,,0,1)</f>
        <v>#VALUE!</v>
      </c>
      <c r="AJ49" s="256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58" t="s">
        <v>15</v>
      </c>
      <c r="L51" s="258"/>
      <c r="M51" s="20"/>
      <c r="N51" s="50"/>
      <c r="O51" s="265" t="str">
        <f>Games!O65</f>
        <v>Saint Mary's (CA)</v>
      </c>
      <c r="P51" s="259" t="e" vm="93">
        <f>_xlfn.XLOOKUP(O51,Teams!$C:$C,Teams!$E:$E,,0,1)</f>
        <v>#VALUE!</v>
      </c>
      <c r="Q51" s="261">
        <f>Games!N69</f>
        <v>0.41</v>
      </c>
      <c r="R51" s="25"/>
      <c r="S51" s="25"/>
      <c r="T51" s="25"/>
      <c r="U51" s="75"/>
      <c r="V51" s="25"/>
      <c r="W51" s="25"/>
      <c r="X51" s="25"/>
      <c r="Y51" s="253">
        <f>Games!N70</f>
        <v>0.22</v>
      </c>
      <c r="Z51" s="249" t="e" vm="113">
        <f>_xlfn.XLOOKUP(AA51,Teams!$C:$C,Teams!$E:$E,,0,1)</f>
        <v>#VALUE!</v>
      </c>
      <c r="AA51" s="256" t="str">
        <f>Games!O67</f>
        <v>Michigan</v>
      </c>
      <c r="AB51" s="56"/>
      <c r="AD51" s="258" t="s">
        <v>14</v>
      </c>
      <c r="AE51" s="258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56" t="str">
        <f>Games!O17</f>
        <v>North Carolina</v>
      </c>
      <c r="G53" s="259" t="e" vm="89">
        <f>_xlfn.XLOOKUP(F53,Teams!$C:$C,Teams!$E:$E,,0,1)</f>
        <v>#VALUE!</v>
      </c>
      <c r="H53" s="251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0.35</v>
      </c>
      <c r="AI53" s="249" t="e" vm="122">
        <f>_xlfn.XLOOKUP(AJ53,Teams!$C:$C,Teams!$E:$E,,0,1)</f>
        <v>#VALUE!</v>
      </c>
      <c r="AJ53" s="256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76">
        <f>IF($AU$5=TRUE,F47+1,"")</f>
        <v>39</v>
      </c>
      <c r="G55" s="14"/>
      <c r="H55" s="49"/>
      <c r="I55" s="265" t="str">
        <f>Games!O44</f>
        <v>Illinois</v>
      </c>
      <c r="J55" s="259" t="e" vm="91">
        <f>_xlfn.XLOOKUP(I55,Teams!$C:$C,Teams!$E:$E,,0,1)</f>
        <v>#VALUE!</v>
      </c>
      <c r="K55" s="251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0.32</v>
      </c>
      <c r="AF55" s="249" t="e" vm="123">
        <f>_xlfn.XLOOKUP(AG55,Teams!$C:$C,Teams!$E:$E,,0,1)</f>
        <v>#VALUE!</v>
      </c>
      <c r="AG55" s="256" t="str">
        <f>Games!O52</f>
        <v>Virginia</v>
      </c>
      <c r="AH55" s="55"/>
      <c r="AI55" s="51"/>
      <c r="AJ55" s="276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56" t="str">
        <f>Games!O18</f>
        <v>Illinois</v>
      </c>
      <c r="G57" s="259" t="e" vm="91">
        <f>_xlfn.XLOOKUP(F57,Teams!$C:$C,Teams!$E:$E,,0,1)</f>
        <v>#VALUE!</v>
      </c>
      <c r="H57" s="261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0.65</v>
      </c>
      <c r="AI57" s="249" t="e" vm="123">
        <f>_xlfn.XLOOKUP(AJ57,Teams!$C:$C,Teams!$E:$E,,0,1)</f>
        <v>#VALUE!</v>
      </c>
      <c r="AJ57" s="256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Saint Mary's (CA)</v>
      </c>
      <c r="M59" s="259" t="e" vm="93">
        <f>_xlfn.XLOOKUP(L59,Teams!$C:$C,Teams!$E:$E,,0,1)</f>
        <v>#VALUE!</v>
      </c>
      <c r="N59" s="261">
        <f>Games!N65</f>
        <v>0.61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0.42</v>
      </c>
      <c r="AC59" s="249" t="e" vm="127">
        <f>_xlfn.XLOOKUP(AD59,Teams!$C:$C,Teams!$E:$E,,0,1)</f>
        <v>#VALUE!</v>
      </c>
      <c r="AD59" s="256" t="str">
        <f>Games!O62</f>
        <v>Iowa State</v>
      </c>
      <c r="AE59" s="56"/>
      <c r="AG59" s="255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56" t="str">
        <f>Games!O19</f>
        <v>Saint Mary's (CA)</v>
      </c>
      <c r="G61" s="259" t="e" vm="93">
        <f>_xlfn.XLOOKUP(F61,Teams!$C:$C,Teams!$E:$E,,0,1)</f>
        <v>#VALUE!</v>
      </c>
      <c r="H61" s="251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0.25</v>
      </c>
      <c r="AI61" s="249" t="e" vm="125">
        <f>_xlfn.XLOOKUP(AJ61,Teams!$C:$C,Teams!$E:$E,,0,1)</f>
        <v>#VALUE!</v>
      </c>
      <c r="AJ61" s="256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76">
        <f>IF($AU$5=TRUE,F55+1,"")</f>
        <v>40</v>
      </c>
      <c r="G63" s="14"/>
      <c r="H63" s="49"/>
      <c r="I63" s="265" t="str">
        <f>Games!O45</f>
        <v>Saint Mary's (CA)</v>
      </c>
      <c r="J63" s="259" t="e" vm="93">
        <f>_xlfn.XLOOKUP(I63,Teams!$C:$C,Teams!$E:$E,,0,1)</f>
        <v>#VALUE!</v>
      </c>
      <c r="K63" s="261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0.68</v>
      </c>
      <c r="AF63" s="249" t="e" vm="127">
        <f>_xlfn.XLOOKUP(AG63,Teams!$C:$C,Teams!$E:$E,,0,1)</f>
        <v>#VALUE!</v>
      </c>
      <c r="AG63" s="256" t="str">
        <f>Games!O53</f>
        <v>Iowa State</v>
      </c>
      <c r="AH63" s="55"/>
      <c r="AI63" s="51"/>
      <c r="AJ63" s="276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56" t="str">
        <f>Games!O20</f>
        <v>Houston</v>
      </c>
      <c r="G65" s="259" t="e" vm="95">
        <f>_xlfn.XLOOKUP(F65,Teams!$C:$C,Teams!$E:$E,,0,1)</f>
        <v>#VALUE!</v>
      </c>
      <c r="H65" s="261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0.75</v>
      </c>
      <c r="AI65" s="249" t="e" vm="127">
        <f>_xlfn.XLOOKUP(AJ65,Teams!$C:$C,Teams!$E:$E,,0,1)</f>
        <v>#VALUE!</v>
      </c>
      <c r="AJ65" s="256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