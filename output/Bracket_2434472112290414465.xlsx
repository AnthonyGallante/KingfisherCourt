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BE6B877E-B1BC-4D89-8E10-707CD6BC73F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<sst xmlns="http://schemas.openxmlformats.org/spreadsheetml/2006/main" count="1526" uniqueCount="1194">
  <si>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</si>
  <si>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</si>
  <si>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</si>
  <si>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</si>
  <si>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</si>
  <si>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</si>
  <si>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</si>
  <si>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</si>
  <si>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</si>
  <si>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</si>
  <si>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</si>
  <si>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</si>
  <si>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</si>
  <si>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</si>
  <si>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</si>
  <si>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</si>
  <si>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</si>
  <si>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</si>
  <si>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</si>
  <si>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</si>
  <si>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</si>
  <si>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</si>
  <si>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</si>
  <si>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</si>
  <si>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</si>
  <si>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</si>
  <si>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</si>
  <si>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</si>
  <si>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</si>
  <si>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</si>
  <si>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</si>
  <si>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</si>
  <si>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</si>
  <si>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</si>
  <si>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</si>
  <si>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</si>
  <si>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</si>
  <si>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</si>
  <si>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</si>
  <si>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</si>
  <si>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</si>
  <si>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</si>
  <si>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</si>
  <si>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</si>
  <si>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</si>
  <si>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</si>
  <si>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</si>
  <si>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</si>
  <si>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</si>
  <si>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</si>
  <si>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</si>
  <si>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</si>
  <si>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</si>
  <si>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</si>
  <si>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</si>
  <si>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</si>
  <si>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</si>
  <si>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</si>
  <si>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</si>
  <si>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</si>
  <si>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</si>
  <si>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</si>
  <si>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</si>
  <si>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</si>
  <si>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</si>
  <si>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</si>
  <si>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</si>
  <si>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</si>
  <si>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</si>
  <si>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</si>
  <si>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</si>
  <si>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</si>
  <si>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</si>
  <si>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</si>
  <si>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</si>
  <si>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</si>
  <si>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</si>
  <si>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</si>
  <si>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</si>
  <si>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</si>
  <si>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</si>
  <si>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</si>
  <si>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</si>
  <si>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</si>
  <si>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</si>
  <si>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</si>
  <si>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</si>
  <si>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</si>
  <si>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</si>
  <si>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</si>
  <si>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</si>
  <si>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</si>
  <si>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</si>
  <si>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</si>
  <si>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</si>
  <si>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</si>
  <si>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</si>
  <si>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</si>
  <si>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</si>
  <si>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</si>
  <si>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</si>
  <si>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</si>
  <si>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</si>
  <si>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</si>
  <si>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</si>
  <si>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</si>
  <si>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</si>
  <si>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</si>
  <si>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</si>
  <si>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</si>
  <si>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</si>
  <si>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</si>
  <si>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</si>
  <si>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</si>
  <si>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</si>
  <si>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</si>
  <si>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</si>
  <si>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</si>
  <si>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</si>
  <si>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</si>
  <si>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</si>
  <si>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</si>
  <si>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</si>
  <si>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</si>
  <si>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</si>
  <si>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</si>
  <si>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</si>
  <si>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</si>
  <si>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</si>
  <si>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</si>
  <si>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</si>
  <si>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</si>
  <si>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</si>
  <si>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</si>
  <si>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</si>
  <si>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</si>
  <si>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</si>
  <si>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</si>
  <si>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</si>
  <si>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</si>
  <si>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</si>
  <si>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</si>
  <si>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</si>
  <si>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</si>
  <si>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</si>
  <si>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</si>
  <si>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</si>
  <si>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</si>
  <si>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</si>
  <si>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</si>
  <si>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</si>
  <si>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</si>
  <si>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</si>
  <si>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</si>
  <si>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</si>
  <si>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</si>
  <si>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</si>
  <si>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</si>
  <si>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</si>
  <si>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</si>
  <si>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</si>
  <si>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</si>
  <si>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</si>
  <si>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</si>
  <si>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</si>
  <si>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</si>
  <si>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</si>
  <si>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</si>
  <si>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</si>
  <si>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</si>
  <si>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</si>
  <si>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</si>
  <si>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</si>
  <si>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</si>
  <si>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</si>
  <si>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</si>
  <si>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</si>
  <si>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</si>
  <si>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</si>
  <si>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</si>
  <si>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</si>
  <si>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</si>
  <si>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</si>
  <si>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</si>
  <si>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</si>
  <si>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</si>
  <si>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</si>
  <si>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</si>
  <si>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</si>
  <si>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</si>
  <si>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</si>
  <si>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</si>
  <si>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</si>
  <si>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</si>
  <si>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</si>
  <si>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</si>
  <si>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</si>
  <si>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</si>
  <si>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</si>
  <si>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</si>
  <si>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</si>
  <si>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</si>
  <si>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</si>
  <si>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</si>
  <si>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</si>
  <si>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</si>
  <si>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</si>
  <si>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</si>
  <si>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</si>
  <si>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</si>
  <si>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</si>
  <si>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</si>
  <si>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</si>
  <si>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</si>
  <si>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</si>
  <si>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</si>
  <si>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</si>
  <si>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</si>
  <si>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</si>
  <si>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</si>
  <si>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</si>
  <si>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</si>
  <si>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</si>
  <si>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</si>
  <si>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</si>
  <si>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</si>
  <si>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</si>
  <si>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</si>
  <si>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</si>
  <si>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</si>
  <si>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</si>
  <si>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</si>
  <si>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</si>
  <si>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</si>
  <si>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</si>
  <si>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</si>
  <si>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</si>
  <si>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</si>
  <si>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</si>
  <si>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</si>
  <si>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</si>
  <si>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</si>
  <si>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</si>
  <si>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</si>
  <si>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</si>
  <si>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</si>
  <si>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</si>
  <si>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</si>
  <si>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</si>
  <si>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</si>
  <si>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</si>
  <si>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</si>
  <si>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</si>
  <si>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</si>
  <si>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</si>
  <si>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</si>
  <si>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</si>
  <si>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</si>
  <si>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</si>
  <si>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</si>
  <si>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</si>
  <si>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</si>
  <si>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</si>
  <si>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</si>
  <si>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</si>
  <si>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</si>
  <si>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</si>
  <si>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</si>
  <si>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</si>
  <si>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</si>
  <si>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</si>
  <si>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</si>
  <si>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</si>
  <si>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</si>
  <si>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</si>
  <si>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</si>
  <si>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</si>
  <si>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</si>
  <si>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</si>
  <si>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</si>
  <si>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</si>
  <si>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</si>
  <si>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</si>
  <si>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</si>
  <si>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</si>
  <si>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</si>
  <si>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</si>
  <si>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</si>
  <si>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</si>
  <si>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</si>
  <si>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</si>
  <si>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</si>
  <si>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</si>
  <si>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</si>
  <si>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</si>
  <si>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</si>
  <si>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</si>
  <si>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</si>
  <si>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</si>
  <si>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</si>
  <si>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</si>
  <si>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</si>
  <si>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</si>
  <si>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</si>
  <si>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</si>
  <si>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</si>
  <si>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</si>
  <si>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</si>
  <si>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</si>
  <si>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</si>
  <si>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</si>
  <si>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</si>
  <si>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</si>
  <si>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</si>
  <si>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</si>
  <si>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</si>
  <si>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</si>
  <si>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</si>
  <si>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</si>
  <si>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</si>
  <si>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</si>
  <si>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</si>
  <si>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</si>
  <si>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</si>
  <si>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</si>
  <si>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</si>
  <si>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</si>
  <si>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</si>
  <si>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</si>
  <si>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</si>
  <si>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</si>
  <si>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</si>
  <si>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</si>
  <si>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</si>
  <si>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</si>
  <si>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</si>
  <si>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</si>
  <si>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</si>
  <si>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</si>
  <si>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</si>
  <si>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</si>
  <si>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</si>
  <si>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</si>
  <si>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</si>
  <si>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</si>
  <si>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</si>
  <si>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</si>
  <si>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</si>
  <si>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</si>
  <si>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</si>
  <si>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</si>
  <si>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</si>
  <si>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</si>
  <si>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</si>
  <si>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</si>
  <si>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</si>
  <si>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</si>
  <si>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</si>
  <si>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</si>
  <si>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</si>
  <si>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</si>
  <si>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</si>
  <si>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</si>
  <si>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</si>
  <si>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</si>
  <si>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</si>
  <si>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</si>
  <si>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</si>
  <si>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</si>
  <si>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</si>
  <si>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</si>
  <si>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</si>
  <si>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</si>
  <si>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</si>
  <si>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</si>
  <si>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</si>
  <si>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</si>
  <si>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</si>
  <si>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</si>
  <si>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</si>
  <si>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</si>
  <si>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</si>
  <si>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</si>
  <si>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</si>
  <si>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</si>
  <si>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</si>
  <si>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</si>
  <si>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</si>
  <si>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</si>
  <si>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</si>
  <si>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</si>
  <si>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</si>
  <si>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</si>
  <si>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</si>
  <si>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</si>
  <si>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</si>
  <si>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</si>
  <si>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</si>
  <si>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</si>
  <si>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</si>
  <si>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</si>
  <si>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</si>
  <si>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</si>
  <si>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</si>
  <si>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</si>
  <si>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</si>
  <si>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</si>
  <si>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</si>
  <si>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</si>
  <si>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</si>
  <si>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</si>
  <si>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</si>
  <si>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</si>
  <si>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</si>
  <si>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</si>
  <si>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</si>
  <si>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</si>
  <si>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</si>
  <si>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</si>
  <si>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</si>
  <si>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</si>
  <si>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</si>
  <si>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</si>
  <si>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</si>
  <si>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</si>
  <si>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</si>
  <si>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</si>
  <si>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</si>
  <si>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</si>
  <si>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</si>
  <si>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</si>
  <si>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</si>
  <si>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</si>
  <si>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</si>
  <si>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</si>
  <si>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</si>
  <si>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</si>
  <si>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</si>
  <si>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</si>
  <si>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</si>
  <si>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</si>
  <si>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</si>
  <si>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</si>
  <si>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</si>
  <si>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</si>
  <si>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</si>
  <si>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</si>
  <si>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</si>
  <si>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</si>
  <si>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</si>
  <si>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</si>
  <si>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</si>
  <si>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</si>
  <si>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</si>
  <si>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</si>
  <si>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</si>
  <si>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</si>
  <si>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</si>
  <si>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</si>
  <si>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</si>
  <si>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</si>
  <si>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</si>
  <si>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</si>
  <si>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</si>
  <si>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</si>
  <si>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</si>
  <si>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</si>
  <si>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</si>
  <si>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</si>
  <si>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</si>
  <si>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</si>
  <si>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</si>
  <si>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</si>
  <si>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</si>
  <si>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</si>
  <si>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</si>
  <si>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</si>
  <si>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</si>
  <si>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</si>
  <si>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</si>
  <si>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</si>
  <si>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</si>
  <si>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</si>
  <si>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</si>
  <si>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</si>
  <si>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</si>
  <si>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</si>
  <si>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</si>
  <si>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</si>
  <si>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</si>
  <si>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</si>
  <si>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</si>
  <si>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</si>
  <si>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</si>
  <si>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</si>
  <si>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</si>
  <si>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</si>
  <si>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</si>
  <si>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</si>
  <si>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</si>
  <si>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</si>
  <si>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</si>
  <si>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</si>
  <si>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</si>
  <si>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</si>
  <si>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</si>
  <si>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</si>
  <si>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</si>
  <si>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</si>
  <si>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</si>
  <si>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</si>
  <si>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</si>
  <si>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</si>
  <si>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</si>
  <si>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</si>
  <si>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</si>
  <si>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</si>
  <si>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</si>
  <si>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</si>
  <si>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</si>
  <si>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</si>
  <si>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</si>
  <si>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</si>
  <si>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</si>
  <si>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</si>
  <si>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</si>
  <si>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</si>
  <si>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</si>
  <si>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</si>
  <si>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</si>
  <si>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</si>
  <si>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</si>
  <si>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</si>
  <si>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</si>
  <si>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</si>
  <si>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</si>
  <si>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</si>
  <si>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</si>
  <si>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</si>
  <si>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</si>
  <si>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</si>
  <si>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</si>
  <si>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</si>
  <si>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</si>
  <si>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</si>
  <si>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</si>
  <si>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</si>
  <si>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</si>
  <si>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</si>
  <si>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</si>
  <si>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</si>
  <si>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</si>
  <si>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</si>
  <si>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</si>
  <si>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</si>
  <si>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</si>
  <si>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</si>
  <si>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</si>
  <si>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</si>
  <si>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</si>
  <si>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</si>
  <si>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</si>
  <si>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</si>
  <si>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</si>
  <si>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</si>
  <si>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</si>
  <si>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</si>
  <si>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</si>
  <si>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</si>
  <si>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</si>
  <si>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</si>
  <si>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</si>
  <si>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</si>
  <si>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</si>
  <si>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</si>
  <si>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</si>
  <si>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</si>
  <si>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</si>
  <si>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</si>
  <si>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</si>
  <si>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</si>
  <si>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</si>
  <si>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</si>
  <si>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</si>
  <si>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</si>
  <si>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</si>
  <si>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</si>
  <si>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</si>
  <si>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</si>
  <si>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</si>
  <si>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</si>
  <si>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</si>
  <si>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</si>
  <si>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</si>
  <si>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</si>
  <si>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</si>
  <si>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</si>
  <si>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</si>
  <si>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</si>
  <si>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</si>
  <si>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</si>
  <si>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</si>
  <si>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</si>
  <si>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</si>
  <si>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</si>
  <si>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</si>
  <si>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</si>
  <si>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</si>
  <si>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</si>
  <si>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</si>
  <si>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</si>
  <si>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</si>
  <si>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</si>
  <si>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</si>
  <si>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</si>
  <si>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</si>
  <si>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</si>
  <si>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</si>
  <si>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</si>
  <si>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</si>
  <si>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</si>
  <si>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</si>
  <si>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</si>
  <si>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</si>
  <si>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</si>
  <si>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</si>
  <si>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</si>
  <si>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</si>
  <si>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</si>
  <si>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</si>
  <si>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</si>
  <si>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</si>
  <si>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</si>
  <si>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</si>
  <si>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</si>
  <si>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</si>
  <si>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</si>
  <si>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</si>
  <si>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</si>
  <si>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</si>
  <si>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</si>
  <si>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</si>
  <si>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</si>
  <si>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</si>
  <si>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</si>
  <si>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</si>
  <si>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</si>
  <si>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</si>
  <si>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</si>
  <si>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</si>
  <si>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</si>
  <si>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</si>
  <si>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</si>
  <si>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</si>
  <si>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</si>
  <si>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</si>
  <si>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</si>
  <si>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</si>
  <si>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</si>
  <si>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</si>
  <si>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</si>
  <si>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</si>
  <si>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</si>
  <si>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</si>
  <si>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</si>
  <si>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</si>
  <si>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</si>
  <si>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</si>
  <si>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</si>
  <si>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</si>
  <si>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</si>
  <si>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</si>
  <si>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</si>
  <si>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</si>
  <si>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</si>
  <si>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</si>
  <si>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</si>
  <si>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</si>
  <si>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</si>
  <si>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</si>
  <si>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</si>
  <si>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</si>
  <si>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</si>
  <si>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</si>
  <si>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</si>
  <si>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</si>
  <si>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</si>
  <si>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</si>
  <si>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</si>
  <si>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</si>
  <si>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</si>
  <si>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</si>
  <si>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</si>
  <si>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</si>
  <si>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</si>
  <si>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</si>
  <si>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</si>
  <si>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</si>
  <si>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</si>
  <si>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</si>
  <si>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</si>
  <si>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</si>
  <si>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</si>
  <si>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</si>
  <si>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</si>
  <si>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</si>
  <si>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</si>
  <si>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</si>
  <si>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</si>
  <si>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</si>
  <si>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</si>
  <si>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</si>
  <si>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</si>
  <si>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</si>
  <si>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</si>
  <si>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</si>
  <si>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</si>
  <si>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</si>
  <si>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</si>
  <si>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</si>
  <si>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</si>
  <si>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</si>
  <si>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</si>
  <si>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</si>
  <si>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</si>
  <si>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</si>
  <si>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</si>
  <si>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</si>
  <si>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</si>
  <si>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</si>
  <si>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</si>
  <si>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</si>
  <si>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</si>
  <si>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</si>
  <si>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</si>
  <si>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</si>
  <si>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</si>
  <si>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</si>
  <si>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</si>
  <si>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</si>
  <si>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</si>
  <si>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</si>
  <si>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</si>
  <si>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</si>
  <si>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</si>
  <si>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</si>
  <si>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</si>
  <si>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</si>
  <si>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</si>
  <si>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</si>
  <si>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</si>
  <si>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</si>
  <si>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</si>
  <si>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</si>
  <si>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</si>
  <si>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</si>
  <si>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</si>
  <si>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</si>
  <si>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</si>
  <si>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</si>
  <si>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</si>
  <si>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</si>
  <si>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</si>
  <si>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</si>
  <si>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</si>
  <si>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</si>
  <si>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</si>
  <si>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</si>
  <si>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</si>
  <si>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</si>
  <si>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</si>
  <si>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</si>
  <si>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</si>
  <si>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</si>
  <si>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</si>
  <si>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</si>
  <si>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</si>
  <si>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</si>
  <si>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</si>
  <si>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</si>
  <si>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</si>
  <si>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</si>
  <si>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</si>
  <si>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</si>
  <si>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</si>
  <si>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</si>
  <si>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</si>
  <si>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</si>
  <si>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</si>
  <si>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</si>
  <si>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</si>
  <si>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</si>
  <si>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</si>
  <si>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</si>
  <si>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</si>
  <si>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</si>
  <si>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</si>
  <si>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</si>
  <si>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</si>
  <si>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</si>
  <si>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</si>
  <si>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</si>
  <si>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</si>
  <si>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</si>
  <si>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</si>
  <si>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</si>
  <si>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</si>
  <si>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</si>
  <si>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</si>
  <si>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</si>
  <si>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</si>
  <si>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</si>
  <si>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</si>
  <si>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</si>
  <si>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</si>
  <si>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</si>
  <si>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</si>
  <si>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</si>
  <si>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</si>
  <si>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</si>
  <si>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</si>
  <si>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</si>
  <si>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</si>
  <si>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</si>
  <si>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</si>
  <si>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</si>
  <si>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</si>
  <si>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</si>
  <si>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</si>
  <si>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</si>
  <si>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</si>
  <si>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</si>
  <si>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</si>
  <si>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</si>
  <si>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</si>
  <si>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</si>
  <si>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</si>
  <si>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</si>
  <si>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</si>
  <si>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</si>
  <si>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</si>
  <si>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</si>
  <si>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</si>
  <si>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</si>
  <si>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</si>
  <si>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</si>
  <si>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</si>
  <si>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</si>
  <si>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</si>
  <si>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</si>
  <si>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</si>
  <si>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</si>
  <si>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</si>
  <si>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</si>
  <si>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</si>
  <si>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</si>
  <si>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</si>
  <si>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</si>
  <si>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</si>
  <si>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</si>
  <si>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</si>
  <si>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</si>
  <si>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</si>
  <si>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</si>
  <si>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</si>
  <si>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</si>
  <si>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</si>
  <si>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</si>
  <si>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</si>
  <si>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</si>
  <si>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</si>
  <si>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</si>
  <si>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</si>
  <si>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</si>
  <si>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</si>
  <si>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</si>
  <si>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</si>
  <si>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</si>
  <si>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</si>
  <si>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</si>
  <si>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</si>
  <si>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</si>
  <si>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</si>
  <si>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</si>
  <si>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</si>
  <si>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</si>
  <si>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</si>
  <si>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</si>
  <si>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</si>
  <si>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</si>
  <si>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</si>
  <si>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</si>
  <si>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</si>
  <si>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</si>
  <si>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</si>
  <si>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</si>
  <si>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</si>
  <si>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</si>
  <si>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</si>
  <si>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</si>
  <si>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</si>
  <si>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</si>
  <si>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</si>
  <si>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</si>
  <si>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</si>
  <si>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</si>
  <si>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</si>
  <si>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</si>
  <si>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</si>
  <si>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</si>
  <si>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</si>
  <si>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</si>
  <si>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</si>
  <si>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</si>
  <si>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</si>
  <si>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</si>
  <si>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</si>
  <si>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</si>
  <si>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</si>
  <si>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</si>
  <si>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</si>
  <si>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</si>
  <si>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</si>
  <si>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</si>
  <si>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</si>
  <si>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</si>
  <si>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</si>
  <si>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</si>
  <si>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</si>
  <si>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</si>
  <si>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</si>
  <si>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</si>
  <si>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</si>
  <si>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</si>
  <si>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</si>
  <si>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</si>
  <si>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</si>
  <si>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</si>
  <si>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</si>
  <si>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</si>
  <si>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</si>
  <si>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</si>
  <si>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</si>
  <si>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</si>
  <si>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</si>
  <si>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</si>
  <si>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</si>
  <si>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</si>
  <si>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</si>
  <si>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</si>
  <si>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</si>
  <si>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</si>
  <si>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</si>
  <si>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</si>
  <si>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</si>
  <si>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</si>
  <si>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</si>
  <si>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</si>
  <si>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</si>
  <si>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</si>
  <si>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</si>
  <si>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</si>
  <si>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</si>
  <si>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</si>
  <si>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</si>
  <si>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</si>
  <si>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</si>
  <si>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</si>
  <si>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</si>
  <si>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</si>
  <si>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</si>
  <si>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</si>
  <si>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</si>
  <si>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</si>
  <si>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</si>
  <si>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</si>
  <si>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</si>
  <si>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</si>
  <si>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</si>
  <si>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</si>
  <si>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</si>
  <si>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</si>
  <si>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</si>
  <si>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</si>
  <si>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</si>
  <si>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</si>
  <si>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</si>
  <si>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</si>
  <si>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</si>
  <si>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</si>
  <si>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</si>
  <si>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</si>
  <si>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</si>
  <si>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</si>
  <si>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</si>
  <si>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</si>
  <si>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</si>
  <si>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</si>
  <si>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</si>
  <si>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</si>
  <si>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</si>
  <si>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</si>
  <si>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</si>
  <si>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</si>
  <si>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</si>
  <si>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</si>
  <si>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</si>
  <si>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</si>
  <si>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</si>
  <si>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</si>
  <si>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</si>
  <si>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</si>
  <si>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</si>
  <si>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</si>
  <si>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</si>
  <si>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</si>
  <si>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</si>
  <si>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</si>
  <si>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</si>
  <si>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</si>
  <si>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</si>
  <si>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</si>
  <si>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</si>
  <si>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</si>
  <si>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</si>
  <si>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</si>
  <si>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</si>
  <si>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</si>
  <si>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</si>
  <si>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</si>
  <si>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</si>
  <si>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</si>
  <si>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</si>
  <si>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</si>
  <si>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</si>
  <si>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</si>
  <si>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</si>
  <si>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</si>
  <si>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</si>
  <si>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</si>
  <si>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</si>
  <si>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</si>
  <si>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</si>
  <si>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</si>
  <si>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</si>
  <si>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</si>
  <si>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</si>
  <si>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</si>
  <si>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</si>
  <si>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</si>
  <si>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</si>
  <si>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</si>
  <si>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</si>
  <si>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</si>
  <si>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</si>
  <si>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</si>
  <si>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</si>
  <si>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</si>
  <si>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</si>
  <si>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</si>
  <si>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</si>
  <si>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</si>
  <si>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</si>
  <si>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</si>
  <si>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</si>
  <si>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</si>
  <si>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</si>
  <si>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</si>
  <si>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</si>
  <si>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</si>
  <si>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</si>
  <si>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</si>
  <si>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</si>
  <si>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</si>
  <si>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</si>
  <si>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</si>
  <si>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</si>
  <si>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</si>
  <si>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</si>
  <si>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</si>
  <si>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</si>
  <si>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</si>
  <si>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</si>
  <si>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</si>
  <si>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</si>
  <si>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</si>
  <si>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</si>
  <si>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</si>
  <si>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</si>
  <si>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</si>
  <si>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</si>
  <si>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</si>
  <si>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</si>
  <si>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</si>
  <si>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</si>
  <si>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</si>
  <si>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</si>
  <si>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</si>
  <si>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</si>
  <si>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</si>
  <si>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</si>
  <si>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</si>
  <si>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</si>
  <si>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</si>
  <si>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</si>
  <si>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</si>
  <si>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</si>
  <si>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</si>
  <si>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</si>
  <si>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</si>
  <si>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</si>
  <si>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</si>
  <si>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</si>
  <si>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</si>
  <si>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</si>
  <si>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</si>
  <si>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</si>
  <si>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</si>
  <si>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</si>
  <si>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</si>
  <si>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</si>
  <si>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</si>
  <si>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</si>
  <si>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</si>
  <si>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</si>
  <si>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</si>
  <si>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</si>
  <si>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</si>
  <si>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</si>
  <si>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</si>
  <si>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</si>
  <si>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</si>
  <si>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</si>
  <si>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</si>
  <si>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UPSET! Normal winner is Cal State Northridge</t>
  </si>
  <si>
    <t>California Baptist: 178 - 323 :Campbell</t>
  </si>
  <si>
    <t>Canisius: 19 - 482 :Central Arkansas</t>
  </si>
  <si>
    <t>UPSET! Normal winner is Central Michigan</t>
  </si>
  <si>
    <t>Charleston Southern: 278 - 223 :Charlotte</t>
  </si>
  <si>
    <t>Auburn: 273 - 228 :Austin Peay</t>
  </si>
  <si>
    <t>Ball State: 69 - 432 :Baylor</t>
  </si>
  <si>
    <t>Bellarmine: 79 - 422 :Belmont</t>
  </si>
  <si>
    <t>Bethune-Cookman: 418 - 83 :Binghamton</t>
  </si>
  <si>
    <t>UPSET! Normal winner is Boise State</t>
  </si>
  <si>
    <t>Drake: 4 - 497 :Duke</t>
  </si>
  <si>
    <t>Bradley: 85 - 416 :Brigham Young</t>
  </si>
  <si>
    <t>Brown: 301 - 200 :Bryant</t>
  </si>
  <si>
    <t>Abilene Christian: 442 - 59 :Air Force</t>
  </si>
  <si>
    <t>UPSET! Normal winner is 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</si>
  <si>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</si>
  <si>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</si>
  <si>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</si>
  <si>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</si>
  <si>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</si>
  <si>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UPSET! Normal winner is Arkansas-Pine Bluff</t>
  </si>
  <si>
    <t>Chattanooga: 375 - 126 :Chicago State</t>
  </si>
  <si>
    <t>Cincinnati: 303 - 198 :Clemson</t>
  </si>
  <si>
    <t>UPSET! Normal winner is Coastal Carolina</t>
  </si>
  <si>
    <t>UPSET! Normal winner is 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</si>
  <si>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</si>
  <si>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</si>
  <si>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</si>
  <si>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</si>
  <si>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UPSET! Normal winner is Butler</t>
  </si>
  <si>
    <t>Cal State Fullerton: 111 - 390 :California</t>
  </si>
  <si>
    <t>UPSET! Normal winner is Central Arkansas</t>
  </si>
  <si>
    <t>UPSET! Normal winner is Charleston Southern</t>
  </si>
  <si>
    <t>Auburn: 279 - 222 :Baylor</t>
  </si>
  <si>
    <t>UPSET! Normal winner is Belmont</t>
  </si>
  <si>
    <t>Boston College: 4 - 497 :Duke</t>
  </si>
  <si>
    <t>Brigham Young: 490 - 11 :Brown</t>
  </si>
  <si>
    <t>Abilene Christian: 11 - 490 :Akron</t>
  </si>
  <si>
    <t>UPSET! Normal winner is Albany (NY)</t>
  </si>
  <si>
    <t>Appalachian State: 23 - 478 :Arizona</t>
  </si>
  <si>
    <t>Arkansas: 496 - 5 :Army</t>
  </si>
  <si>
    <t>Chattanooga: 58 - 443 :Cincinnati</t>
  </si>
  <si>
    <t>UPSET! Normal winner is Colgate</t>
  </si>
  <si>
    <t>Colorado: 91 - 410 :Connecticut</t>
  </si>
  <si>
    <t>Cornell: 181 - 320 :Creighton</t>
  </si>
  <si>
    <t>Buffalo: 217 - 284 :California</t>
  </si>
  <si>
    <t>Campbell: 421 - 80 :Central Connecticut State</t>
  </si>
  <si>
    <t>Auburn: 348 - 153 :Bethune-Cookman</t>
  </si>
  <si>
    <t>Duke: 356 - 145 :Brigham Young</t>
  </si>
  <si>
    <t>Akron: 472 - 29 :Alabama A&amp;M</t>
  </si>
  <si>
    <t>Arizona: 413 - 88 :Arkansas</t>
  </si>
  <si>
    <t>Cincinnati: 466 - 35 :Cleveland State</t>
  </si>
  <si>
    <t>Connecticut: 437 - 64 :Creighton</t>
  </si>
  <si>
    <t>UPSET! Normal winner is California</t>
  </si>
  <si>
    <t>Auburn: 82 - 419 :Duke</t>
  </si>
  <si>
    <t>Akron: 50 - 451 :Arizona</t>
  </si>
  <si>
    <t>Cincinnati: 167 - 334 :Connecticut</t>
  </si>
  <si>
    <t>Duke: 474 - 27 :Campbell</t>
  </si>
  <si>
    <t>UPSET! Normal winner is Arizona</t>
  </si>
  <si>
    <t>Duke: 386 - 115 :Connecticut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</si>
</sst>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 State Northridge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0.48</v>
      </c>
      <c r="M8" s="82" t="e" vm="72">
        <f>_xlfn.XLOOKUP(I8,Teams!$C:$C,Teams!$E:$E,,0,1)</f>
        <v>#VALUE!</v>
      </c>
      <c r="N8" s="82">
        <v>0.52</v>
      </c>
      <c r="O8" s="189" t="str">
        <f t="shared" si="3"/>
        <v>California</v>
      </c>
      <c r="P8" s="204" t="e" vm="72">
        <f>_xlfn.XLOOKUP(O8,Teams!$C:$C,Teams!$E:$E,,0,1)</f>
        <v>#VALUE!</v>
      </c>
      <c r="Q8" s="223" t="s">
        <v>1134</v>
      </c>
      <c r="R8" s="6" t="b">
        <f t="shared" si="5"/>
        <v>1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0.57999999999999996</v>
      </c>
      <c r="M11" s="82" t="e" vm="78">
        <f>_xlfn.XLOOKUP(I11,Teams!$C:$C,Teams!$E:$E,,0,1)</f>
        <v>#VALUE!</v>
      </c>
      <c r="N11" s="82">
        <v>0.42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0.18</v>
      </c>
      <c r="M17" s="83" t="e" vm="90">
        <f>_xlfn.XLOOKUP(I17,Teams!$C:$C,Teams!$E:$E,,0,1)</f>
        <v>#VALUE!</v>
      </c>
      <c r="N17" s="83">
        <v>0.82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0.69</v>
      </c>
      <c r="M22" s="82" t="e" vm="100">
        <f>_xlfn.XLOOKUP(I22,Teams!$C:$C,Teams!$E:$E,,0,1)</f>
        <v>#VALUE!</v>
      </c>
      <c r="N22" s="82">
        <v>0.31</v>
      </c>
      <c r="O22" s="189" t="str">
        <f t="shared" si="3"/>
        <v>Akron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Arkansas-Pine Bluff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0.26</v>
      </c>
      <c r="M28" s="109" t="e" vm="112">
        <f>_xlfn.XLOOKUP(I28,Teams!$C:$C,Teams!$E:$E,,0,1)</f>
        <v>#VALUE!</v>
      </c>
      <c r="N28" s="109">
        <v>0.74</v>
      </c>
      <c r="O28" s="190" t="str">
        <f t="shared" si="3"/>
        <v>Army</v>
      </c>
      <c r="P28" s="205" t="e" vm="112">
        <f>_xlfn.XLOOKUP(O28,Teams!$C:$C,Teams!$E:$E,,0,1)</f>
        <v>#VALUE!</v>
      </c>
      <c r="Q28" s="224" t="s">
        <v>1154</v>
      </c>
      <c r="R28" s="6" t="b">
        <f t="shared" si="5"/>
        <v>1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0.82</v>
      </c>
      <c r="M32" s="83" t="e" vm="120">
        <f>_xlfn.XLOOKUP(I32,Teams!$C:$C,Teams!$E:$E,,0,1)</f>
        <v>#VALUE!</v>
      </c>
      <c r="N32" s="83">
        <v>0.18</v>
      </c>
      <c r="O32" s="192" t="str">
        <f t="shared" si="3"/>
        <v>Colgate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0.51</v>
      </c>
      <c r="M38" s="84" t="e" vm="67">
        <f>_xlfn.XLOOKUP(I38,Teams!$C:$C,Teams!$E:$E,,0,1)</f>
        <v>#VALUE!</v>
      </c>
      <c r="N38" s="84">
        <v>0.49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California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68</v>
      </c>
      <c r="J39" s="103" cm="1">
        <f t="array" ref="J39">_xlfn.XLOOKUP(I39,Teams[[#All],[Team]],Teams[[#All],[Seed]],0,0,1)</f>
        <v>13</v>
      </c>
      <c r="K39" s="82" t="e" vm="70">
        <f>_xlfn.XLOOKUP(G39,Teams!$C:$C,Teams!$E:$E,,0,1)</f>
        <v>#VALUE!</v>
      </c>
      <c r="L39" s="82">
        <v>0.22</v>
      </c>
      <c r="M39" s="82" t="e" vm="72">
        <f>_xlfn.XLOOKUP(I39,Teams!$C:$C,Teams!$E:$E,,0,1)</f>
        <v>#VALUE!</v>
      </c>
      <c r="N39" s="82">
        <v>0.78</v>
      </c>
      <c r="O39" s="189" t="str">
        <f t="shared" si="9"/>
        <v>California</v>
      </c>
      <c r="P39" s="204" t="e" vm="72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0.7</v>
      </c>
      <c r="M41" s="139" t="e" vm="79">
        <f>_xlfn.XLOOKUP(I41,Teams!$C:$C,Teams!$E:$E,,0,1)</f>
        <v>#VALUE!</v>
      </c>
      <c r="N41" s="139">
        <v>0.3</v>
      </c>
      <c r="O41" s="195" t="str">
        <f t="shared" si="9"/>
        <v>Central Connecticut State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Belmont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0.38</v>
      </c>
      <c r="M43" s="83" t="e" vm="87">
        <f>_xlfn.XLOOKUP(I43,Teams!$C:$C,Teams!$E:$E,,0,1)</f>
        <v>#VALUE!</v>
      </c>
      <c r="N43" s="83">
        <v>0.62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Boston College</v>
      </c>
      <c r="B44" s="91" t="str">
        <f t="shared" si="11"/>
        <v>Duke</v>
      </c>
      <c r="C44" s="91" t="str">
        <f t="shared" si="7"/>
        <v>Boston College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54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90">
        <f>_xlfn.XLOOKUP(G44,Teams!$C:$C,Teams!$E:$E,,0,1)</f>
        <v>#VALUE!</v>
      </c>
      <c r="L44" s="83">
        <v>0.01</v>
      </c>
      <c r="M44" s="83" t="e" vm="92">
        <f>_xlfn.XLOOKUP(I44,Teams!$C:$C,Teams!$E:$E,,0,1)</f>
        <v>#VALUE!</v>
      </c>
      <c r="N44" s="83">
        <v>0.99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0.02</v>
      </c>
      <c r="M46" s="84" t="e" vm="99">
        <f>_xlfn.XLOOKUP(I46,Teams!$C:$C,Teams!$E:$E,,0,1)</f>
        <v>#VALUE!</v>
      </c>
      <c r="N46" s="84">
        <v>0.98</v>
      </c>
      <c r="O46" s="194" t="str">
        <f t="shared" si="9"/>
        <v>Akron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0.59</v>
      </c>
      <c r="M47" s="82" t="e" vm="103">
        <f>_xlfn.XLOOKUP(I47,Teams!$C:$C,Teams!$E:$E,,0,1)</f>
        <v>#VALUE!</v>
      </c>
      <c r="N47" s="82">
        <v>0.41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Army</v>
      </c>
      <c r="C49" s="152" t="str">
        <f t="shared" si="7"/>
        <v>Army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44</v>
      </c>
      <c r="J49" s="138" cm="1">
        <f t="array" ref="J49">_xlfn.XLOOKUP(I49,Teams[[#All],[Team]],Teams[[#All],[Seed]],0,0,1)</f>
        <v>15</v>
      </c>
      <c r="K49" s="139" t="e" vm="109">
        <f>_xlfn.XLOOKUP(G49,Teams!$C:$C,Teams!$E:$E,,0,1)</f>
        <v>#VALUE!</v>
      </c>
      <c r="L49" s="139">
        <v>0.99</v>
      </c>
      <c r="M49" s="139" t="e" vm="112">
        <f>_xlfn.XLOOKUP(I49,Teams!$C:$C,Teams!$E:$E,,0,1)</f>
        <v>#VALUE!</v>
      </c>
      <c r="N49" s="139">
        <v>0.01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0.12</v>
      </c>
      <c r="M50" s="145" t="e" vm="115">
        <f>_xlfn.XLOOKUP(I50,Teams!$C:$C,Teams!$E:$E,,0,1)</f>
        <v>#VALUE!</v>
      </c>
      <c r="N50" s="145">
        <v>0.88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0.73</v>
      </c>
      <c r="M51" s="83" t="e" vm="119">
        <f>_xlfn.XLOOKUP(I51,Teams!$C:$C,Teams!$E:$E,,0,1)</f>
        <v>#VALUE!</v>
      </c>
      <c r="N51" s="83">
        <v>0.27</v>
      </c>
      <c r="O51" s="192" t="str">
        <f t="shared" si="9"/>
        <v>Cleveland State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California</v>
      </c>
      <c r="C55" s="91" t="str">
        <f t="shared" ref="C55:C62" si="12">IF(O55="","",IF(A55=O55,B55,A55))</f>
        <v>Buffalo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68</v>
      </c>
      <c r="J55" s="96" cm="1">
        <f t="array" ref="J55">_xlfn.XLOOKUP(I55,Teams[[#All],[Team]],Teams[[#All],[Seed]],0,0,1)</f>
        <v>13</v>
      </c>
      <c r="K55" s="97" t="e" vm="66">
        <f>_xlfn.XLOOKUP(G55,Teams!$C:$C,Teams!$E:$E,,0,1)</f>
        <v>#VALUE!</v>
      </c>
      <c r="L55" s="97">
        <v>0.43</v>
      </c>
      <c r="M55" s="97" t="e" vm="72">
        <f>_xlfn.XLOOKUP(I55,Teams!$C:$C,Teams!$E:$E,,0,1)</f>
        <v>#VALUE!</v>
      </c>
      <c r="N55" s="97">
        <v>0.56999999999999995</v>
      </c>
      <c r="O55" s="188" t="str">
        <f t="shared" ref="O55:O62" si="14">IF(L55&gt;N55,G55,I55)</f>
        <v>California</v>
      </c>
      <c r="P55" s="204" t="e" vm="72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4">
        <f>_xlfn.XLOOKUP(G56,Teams!$C:$C,Teams!$E:$E,,0,1)</f>
        <v>#VALUE!</v>
      </c>
      <c r="L56" s="139">
        <v>0.84</v>
      </c>
      <c r="M56" s="139" t="e" vm="77">
        <f>_xlfn.XLOOKUP(I56,Teams!$C:$C,Teams!$E:$E,,0,1)</f>
        <v>#VALUE!</v>
      </c>
      <c r="N56" s="139">
        <v>0.16</v>
      </c>
      <c r="O56" s="195" t="str">
        <f t="shared" si="14"/>
        <v>Campbell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Bethune-Cookman</v>
      </c>
      <c r="C57" s="91" t="str">
        <f t="shared" si="12"/>
        <v>Bethune-Cookman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51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0.69</v>
      </c>
      <c r="M57" s="145" t="e" vm="87">
        <f>_xlfn.XLOOKUP(I57,Teams!$C:$C,Teams!$E:$E,,0,1)</f>
        <v>#VALUE!</v>
      </c>
      <c r="N57" s="145">
        <v>0.31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Akron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31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9">
        <f>_xlfn.XLOOKUP(G59,Teams!$C:$C,Teams!$E:$E,,0,1)</f>
        <v>#VALUE!</v>
      </c>
      <c r="L59" s="84">
        <v>0.94</v>
      </c>
      <c r="M59" s="84" t="e" vm="101">
        <f>_xlfn.XLOOKUP(I59,Teams!$C:$C,Teams!$E:$E,,0,1)</f>
        <v>#VALUE!</v>
      </c>
      <c r="N59" s="84">
        <v>0.06</v>
      </c>
      <c r="O59" s="194" t="str">
        <f t="shared" si="14"/>
        <v>Akron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5">
        <f>_xlfn.XLOOKUP(G61,Teams!$C:$C,Teams!$E:$E,,0,1)</f>
        <v>#VALUE!</v>
      </c>
      <c r="L61" s="145">
        <v>0.93</v>
      </c>
      <c r="M61" s="145" t="e" vm="117">
        <f>_xlfn.XLOOKUP(I61,Teams!$C:$C,Teams!$E:$E,,0,1)</f>
        <v>#VALUE!</v>
      </c>
      <c r="N61" s="145">
        <v>7.0000000000000007E-2</v>
      </c>
      <c r="O61" s="196" t="str">
        <f t="shared" si="14"/>
        <v>Cincinnati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California</v>
      </c>
      <c r="B64" s="91" t="str">
        <f>I64</f>
        <v>Campbell</v>
      </c>
      <c r="C64" s="91" t="str">
        <f>IF(O64="","",IF(A64=O64,B64,A64))</f>
        <v>California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13</v>
      </c>
      <c r="G64" s="155" t="s">
        <v>68</v>
      </c>
      <c r="H64" s="185" t="s">
        <v>9</v>
      </c>
      <c r="I64" s="156" t="s">
        <v>70</v>
      </c>
      <c r="J64" s="157" cm="1">
        <f t="array" ref="J64">_xlfn.XLOOKUP(I64,Teams[[#All],[Team]],Teams[[#All],[Seed]],0,0,1)</f>
        <v>11</v>
      </c>
      <c r="K64" s="158" t="e" vm="72">
        <f>_xlfn.XLOOKUP(G64,Teams!$C:$C,Teams!$E:$E,,0,1)</f>
        <v>#VALUE!</v>
      </c>
      <c r="L64" s="158">
        <v>0.39</v>
      </c>
      <c r="M64" s="158" t="e" vm="74">
        <f>_xlfn.XLOOKUP(I64,Teams!$C:$C,Teams!$E:$E,,0,1)</f>
        <v>#VALUE!</v>
      </c>
      <c r="N64" s="158">
        <v>0.61</v>
      </c>
      <c r="O64" s="198" t="str">
        <f>IF(L64&gt;N64,G64,I64)</f>
        <v>Campbell</v>
      </c>
      <c r="P64" s="204" t="e" vm="74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Auburn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0.16</v>
      </c>
      <c r="M65" s="164" t="e" vm="92">
        <f>_xlfn.XLOOKUP(I65,Teams!$C:$C,Teams!$E:$E,,0,1)</f>
        <v>#VALUE!</v>
      </c>
      <c r="N65" s="164">
        <v>0.84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Akron</v>
      </c>
      <c r="B66" s="91" t="str">
        <f>I66</f>
        <v>Arizona</v>
      </c>
      <c r="C66" s="91" t="str">
        <f>IF(O66="","",IF(A66=O66,B66,A66))</f>
        <v>Akron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31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0.1</v>
      </c>
      <c r="M66" s="158" t="e" vm="107">
        <f>_xlfn.XLOOKUP(I66,Teams!$C:$C,Teams!$E:$E,,0,1)</f>
        <v>#VALUE!</v>
      </c>
      <c r="N66" s="158">
        <v>0.9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Cincinnati</v>
      </c>
      <c r="B67" s="91" t="str">
        <f>I67</f>
        <v>Connecticut</v>
      </c>
      <c r="C67" s="91" t="str">
        <f>IF(O67="","",IF(A67=O67,B67,A67))</f>
        <v>Cincinnati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79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5">
        <f>_xlfn.XLOOKUP(G67,Teams!$C:$C,Teams!$E:$E,,0,1)</f>
        <v>#VALUE!</v>
      </c>
      <c r="L67" s="164">
        <v>0.33</v>
      </c>
      <c r="M67" s="164" t="e" vm="124">
        <f>_xlfn.XLOOKUP(I67,Teams!$C:$C,Teams!$E:$E,,0,1)</f>
        <v>#VALUE!</v>
      </c>
      <c r="N67" s="164">
        <v>0.67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Campbell</v>
      </c>
      <c r="B69" s="91" t="str">
        <f>I69</f>
        <v>Duke</v>
      </c>
      <c r="C69" s="91" t="str">
        <f>IF(O69="","",IF(A69=O69,B69,A69))</f>
        <v>Campbell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11</v>
      </c>
      <c r="G69" s="167" t="s">
        <v>70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4">
        <f>_xlfn.XLOOKUP(G69,Teams!$C:$C,Teams!$E:$E,,0,1)</f>
        <v>#VALUE!</v>
      </c>
      <c r="L69" s="170">
        <v>0.05</v>
      </c>
      <c r="M69" s="170" t="e" vm="92">
        <f>_xlfn.XLOOKUP(I69,Teams!$C:$C,Teams!$E:$E,,0,1)</f>
        <v>#VALUE!</v>
      </c>
      <c r="N69" s="170">
        <v>0.95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Arizona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0.12</v>
      </c>
      <c r="M70" s="164" t="e" vm="124">
        <f>_xlfn.XLOOKUP(I70,Teams!$C:$C,Teams!$E:$E,,0,1)</f>
        <v>#VALUE!</v>
      </c>
      <c r="N70" s="164">
        <v>0.88</v>
      </c>
      <c r="O70" s="199" t="str">
        <f>IF(L70&gt;N70,G70,I70)</f>
        <v>Connecticut</v>
      </c>
      <c r="P70" s="213" t="e" vm="124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Connecticut</v>
      </c>
      <c r="C72" s="91" t="str">
        <f>IF(O72="","",IF(A72=O72,B72,A72))</f>
        <v>Connecticut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88</v>
      </c>
      <c r="J72" s="157" cm="1">
        <f t="array" ref="J72">_xlfn.XLOOKUP(I72,Teams[[#All],[Team]],Teams[[#All],[Seed]],0,0,1)</f>
        <v>14</v>
      </c>
      <c r="K72" s="158" t="e" vm="92">
        <f>_xlfn.XLOOKUP(G72,Teams!$C:$C,Teams!$E:$E,,0,1)</f>
        <v>#VALUE!</v>
      </c>
      <c r="L72" s="158">
        <v>0.77</v>
      </c>
      <c r="M72" s="158" t="e" vm="124">
        <f>_xlfn.XLOOKUP(I72,Teams!$C:$C,Teams!$E:$E,,0,1)</f>
        <v>#VALUE!</v>
      </c>
      <c r="N72" s="158">
        <v>0.23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0.51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0.02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0.43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0.94</v>
      </c>
      <c r="AF7" s="297" t="e" vm="99">
        <f>_xlfn.XLOOKUP(AG7,Teams!$C:$C,Teams!$E:$E,,0,1)</f>
        <v>#VALUE!</v>
      </c>
      <c r="AG7" s="262" t="str">
        <f>Games!O46</f>
        <v>Akron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0.49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0.98</v>
      </c>
      <c r="AI9" s="297" t="e" vm="99">
        <f>_xlfn.XLOOKUP(AJ9,Teams!$C:$C,Teams!$E:$E,,0,1)</f>
        <v>#VALUE!</v>
      </c>
      <c r="AJ9" s="262" t="str">
        <f>Games!O22</f>
        <v>Akron</v>
      </c>
      <c r="AK9" s="58">
        <f>Games!L22</f>
        <v>0.69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California</v>
      </c>
      <c r="M11" s="247" t="e" vm="72">
        <f>_xlfn.XLOOKUP(L11,Teams!$C:$C,Teams!$E:$E,,0,1)</f>
        <v>#VALUE!</v>
      </c>
      <c r="N11" s="264">
        <f>Games!L64</f>
        <v>0.39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0.1</v>
      </c>
      <c r="AC11" s="249" t="e" vm="99">
        <f>_xlfn.XLOOKUP(AD11,Teams!$C:$C,Teams!$E:$E,,0,1)</f>
        <v>#VALUE!</v>
      </c>
      <c r="AD11" s="262" t="str">
        <f>Games!O59</f>
        <v>Akron</v>
      </c>
      <c r="AE11" s="56"/>
      <c r="AG11" s="283">
        <f>IF($AU$5=TRUE,I59+1,"")</f>
        <v>53</v>
      </c>
      <c r="AJ11" s="24"/>
      <c r="AK11" s="59">
        <f>Games!N22</f>
        <v>0.31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0.59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California</v>
      </c>
      <c r="J15" s="247" t="e" vm="72">
        <f>_xlfn.XLOOKUP(I15,Teams!$C:$C,Teams!$E:$E,,0,1)</f>
        <v>#VALUE!</v>
      </c>
      <c r="K15" s="277">
        <f>Games!N55</f>
        <v>0.56999999999999995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0.06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0.48</v>
      </c>
      <c r="F17" s="262" t="str">
        <f>Games!O8</f>
        <v>California</v>
      </c>
      <c r="G17" s="247" t="e" vm="72">
        <f>_xlfn.XLOOKUP(F17,Teams!$C:$C,Teams!$E:$E,,0,1)</f>
        <v>#VALUE!</v>
      </c>
      <c r="H17" s="277">
        <f>Games!N39</f>
        <v>0.78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0.41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0.52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Campbell</v>
      </c>
      <c r="P19" s="247" t="e" vm="74">
        <f>_xlfn.XLOOKUP(O19,Teams!$C:$C,Teams!$E:$E,,0,1)</f>
        <v>#VALUE!</v>
      </c>
      <c r="Q19" s="264">
        <f>Games!L69</f>
        <v>0.05</v>
      </c>
      <c r="R19" s="25"/>
      <c r="S19" s="25"/>
      <c r="T19" s="257"/>
      <c r="U19" s="258"/>
      <c r="V19" s="259"/>
      <c r="W19" s="25"/>
      <c r="X19" s="25"/>
      <c r="Y19" s="264">
        <f>Games!L70</f>
        <v>0.12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0.84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Campbell</v>
      </c>
      <c r="M27" s="247" t="e" vm="74">
        <f>_xlfn.XLOOKUP(L27,Teams!$C:$C,Teams!$E:$E,,0,1)</f>
        <v>#VALUE!</v>
      </c>
      <c r="N27" s="277">
        <f>Games!N64</f>
        <v>0.61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0.77</v>
      </c>
      <c r="W27" s="24"/>
      <c r="X27" s="25"/>
      <c r="Y27" s="56"/>
      <c r="AA27" s="25"/>
      <c r="AB27" s="269">
        <f>Games!N66</f>
        <v>0.9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0.57999999999999996</v>
      </c>
      <c r="F29" s="262" t="str">
        <f>Games!O11</f>
        <v>Central Connecticut State</v>
      </c>
      <c r="G29" s="247" t="e" vm="77">
        <f>_xlfn.XLOOKUP(F29,Teams!$C:$C,Teams!$E:$E,,0,1)</f>
        <v>#VALUE!</v>
      </c>
      <c r="H29" s="264">
        <f>Games!L41</f>
        <v>0.7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0.99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0.42</v>
      </c>
      <c r="F31" s="282">
        <f>IF($AU$5=TRUE,F23+1,"")</f>
        <v>36</v>
      </c>
      <c r="G31" s="14"/>
      <c r="H31" s="49"/>
      <c r="I31" s="279" t="str">
        <f>Games!O41</f>
        <v>Central Connecticut State</v>
      </c>
      <c r="J31" s="247" t="e" vm="77">
        <f>_xlfn.XLOOKUP(I31,Teams!$C:$C,Teams!$E:$E,,0,1)</f>
        <v>#VALUE!</v>
      </c>
      <c r="K31" s="277">
        <f>Games!N56</f>
        <v>0.16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0.3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0.01</v>
      </c>
      <c r="AI33" s="249" t="e" vm="112">
        <f>_xlfn.XLOOKUP(AJ33,Teams!$C:$C,Teams!$E:$E,,0,1)</f>
        <v>#VALUE!</v>
      </c>
      <c r="AJ33" s="262" t="str">
        <f>Games!O28</f>
        <v>Army</v>
      </c>
      <c r="AK33" s="58">
        <f>Games!L28</f>
        <v>0.26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0.74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0.12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0.69</v>
      </c>
      <c r="L39" s="25"/>
      <c r="M39" s="25"/>
      <c r="O39" s="25"/>
      <c r="P39" s="25"/>
      <c r="Q39" s="50"/>
      <c r="R39" s="25"/>
      <c r="S39" s="25"/>
      <c r="T39" s="267">
        <f>Games!N72</f>
        <v>0.23</v>
      </c>
      <c r="U39" s="293" t="e" vm="124">
        <f>_xlfn.XLOOKUP(V39,Teams!$C:$C,Teams!$E:$E,,0,1)</f>
        <v>#VALUE!</v>
      </c>
      <c r="V39" s="262" t="str">
        <f>Games!O70</f>
        <v>Connecticut</v>
      </c>
      <c r="W39" s="262"/>
      <c r="X39" s="295"/>
      <c r="Y39" s="56"/>
      <c r="AA39" s="25"/>
      <c r="AD39" s="25"/>
      <c r="AE39" s="269">
        <f>Games!L61</f>
        <v>0.93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0.33</v>
      </c>
      <c r="AC43" s="249" t="e" vm="115">
        <f>_xlfn.XLOOKUP(AD43,Teams!$C:$C,Teams!$E:$E,,0,1)</f>
        <v>#VALUE!</v>
      </c>
      <c r="AD43" s="291" t="str">
        <f>Games!O61</f>
        <v>Cincinnati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0.38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0.73</v>
      </c>
      <c r="AI45" s="249" t="e" vm="117">
        <f>_xlfn.XLOOKUP(AJ45,Teams!$C:$C,Teams!$E:$E,,0,1)</f>
        <v>#VALUE!</v>
      </c>
      <c r="AJ45" s="262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Bethune-Cookman</v>
      </c>
      <c r="J47" s="247" t="e" vm="87">
        <f>_xlfn.XLOOKUP(I47,Teams!$C:$C,Teams!$E:$E,,0,1)</f>
        <v>#VALUE!</v>
      </c>
      <c r="K47" s="277">
        <f>Games!N57</f>
        <v>0.31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7.0000000000000007E-2</v>
      </c>
      <c r="AF47" s="249" t="e" vm="117">
        <f>_xlfn.XLOOKUP(AG47,Teams!$C:$C,Teams!$E:$E,,0,1)</f>
        <v>#VALUE!</v>
      </c>
      <c r="AG47" s="262" t="str">
        <f>Games!O51</f>
        <v>Cleveland State</v>
      </c>
      <c r="AH47" s="55"/>
      <c r="AI47" s="51"/>
      <c r="AJ47" s="282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0.62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0.27</v>
      </c>
      <c r="AI49" s="249" t="e" vm="119">
        <f>_xlfn.XLOOKUP(AJ49,Teams!$C:$C,Teams!$E:$E,,0,1)</f>
        <v>#VALUE!</v>
      </c>
      <c r="AJ49" s="262" t="str">
        <f>Games!O32</f>
        <v>Colgate</v>
      </c>
      <c r="AK49" s="58">
        <f>Games!L32</f>
        <v>0.82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0.95</v>
      </c>
      <c r="R51" s="25"/>
      <c r="S51" s="25"/>
      <c r="T51" s="25"/>
      <c r="U51" s="75"/>
      <c r="V51" s="25"/>
      <c r="W51" s="25"/>
      <c r="X51" s="25"/>
      <c r="Y51" s="269">
        <f>Games!N70</f>
        <v>0.88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0.18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0.18</v>
      </c>
      <c r="F53" s="262" t="str">
        <f>Games!O17</f>
        <v>Boston College</v>
      </c>
      <c r="G53" s="247" t="e" vm="90">
        <f>_xlfn.XLOOKUP(F53,Teams!$C:$C,Teams!$E:$E,,0,1)</f>
        <v>#VALUE!</v>
      </c>
      <c r="H53" s="264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0.82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0.67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2026-03-07T03:28:24Z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