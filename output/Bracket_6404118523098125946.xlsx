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5B40398D-D9E7-4AB0-BA86-A3FD10566F5E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<sst xmlns="http://schemas.openxmlformats.org/spreadsheetml/2006/main" count="1526" uniqueCount="1194">
  <si>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</si>
  <si>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</si>
  <si>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</si>
  <si>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</si>
  <si>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</si>
  <si>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</si>
  <si>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</si>
  <si>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</si>
  <si>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</si>
  <si>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</si>
  <si>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</si>
  <si>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</si>
  <si>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</si>
  <si>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</si>
  <si>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</si>
  <si>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</si>
  <si>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</si>
  <si>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</si>
  <si>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</si>
  <si>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</si>
  <si>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</si>
  <si>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</si>
  <si>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</si>
  <si>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</si>
  <si>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</si>
  <si>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</si>
  <si>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</si>
  <si>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</si>
  <si>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</si>
  <si>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</si>
  <si>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</si>
  <si>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</si>
  <si>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</si>
  <si>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</si>
  <si>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</si>
  <si>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</si>
  <si>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</si>
  <si>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</si>
  <si>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</si>
  <si>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</si>
  <si>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</si>
  <si>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</si>
  <si>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</si>
  <si>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</si>
  <si>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</si>
  <si>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</si>
  <si>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</si>
  <si>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</si>
  <si>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</si>
  <si>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</si>
  <si>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</si>
  <si>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</si>
  <si>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</si>
  <si>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</si>
  <si>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</si>
  <si>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</si>
  <si>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</si>
  <si>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</si>
  <si>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</si>
  <si>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</si>
  <si>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</si>
  <si>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</si>
  <si>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</si>
  <si>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</si>
  <si>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</si>
  <si>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</si>
  <si>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</si>
  <si>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</si>
  <si>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</si>
  <si>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</si>
  <si>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</si>
  <si>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</si>
  <si>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</si>
  <si>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</si>
  <si>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</si>
  <si>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</si>
  <si>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</si>
  <si>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</si>
  <si>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</si>
  <si>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</si>
  <si>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</si>
  <si>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</si>
  <si>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</si>
  <si>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</si>
  <si>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</si>
  <si>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</si>
  <si>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</si>
  <si>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</si>
  <si>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</si>
  <si>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</si>
  <si>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</si>
  <si>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</si>
  <si>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</si>
  <si>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</si>
  <si>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</si>
  <si>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</si>
  <si>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</si>
  <si>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</si>
  <si>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</si>
  <si>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</si>
  <si>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</si>
  <si>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</si>
  <si>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</si>
  <si>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</si>
  <si>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</si>
  <si>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</si>
  <si>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</si>
  <si>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</si>
  <si>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</si>
  <si>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</si>
  <si>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</si>
  <si>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</si>
  <si>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</si>
  <si>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</si>
  <si>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</si>
  <si>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</si>
  <si>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</si>
  <si>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</si>
  <si>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</si>
  <si>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</si>
  <si>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</si>
  <si>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</si>
  <si>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</si>
  <si>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</si>
  <si>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</si>
  <si>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</si>
  <si>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</si>
  <si>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</si>
  <si>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</si>
  <si>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</si>
  <si>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</si>
  <si>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</si>
  <si>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</si>
  <si>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</si>
  <si>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</si>
  <si>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</si>
  <si>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</si>
  <si>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</si>
  <si>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</si>
  <si>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</si>
  <si>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</si>
  <si>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</si>
  <si>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</si>
  <si>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</si>
  <si>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</si>
  <si>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</si>
  <si>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</si>
  <si>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</si>
  <si>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</si>
  <si>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</si>
  <si>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</si>
  <si>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</si>
  <si>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</si>
  <si>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</si>
  <si>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</si>
  <si>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</si>
  <si>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</si>
  <si>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</si>
  <si>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</si>
  <si>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</si>
  <si>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</si>
  <si>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</si>
  <si>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</si>
  <si>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</si>
  <si>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</si>
  <si>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</si>
  <si>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</si>
  <si>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</si>
  <si>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</si>
  <si>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</si>
  <si>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</si>
  <si>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</si>
  <si>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</si>
  <si>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</si>
  <si>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</si>
  <si>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</si>
  <si>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</si>
  <si>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</si>
  <si>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</si>
  <si>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</si>
  <si>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</si>
  <si>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</si>
  <si>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</si>
  <si>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</si>
  <si>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</si>
  <si>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</si>
  <si>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</si>
  <si>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</si>
  <si>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</si>
  <si>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</si>
  <si>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</si>
  <si>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</si>
  <si>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</si>
  <si>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</si>
  <si>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</si>
  <si>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</si>
  <si>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</si>
  <si>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</si>
  <si>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</si>
  <si>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</si>
  <si>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</si>
  <si>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</si>
  <si>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</si>
  <si>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</si>
  <si>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</si>
  <si>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</si>
  <si>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</si>
  <si>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</si>
  <si>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</si>
  <si>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</si>
  <si>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</si>
  <si>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</si>
  <si>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</si>
  <si>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</si>
  <si>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</si>
  <si>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</si>
  <si>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</si>
  <si>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</si>
  <si>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</si>
  <si>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</si>
  <si>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</si>
  <si>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</si>
  <si>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</si>
  <si>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</si>
  <si>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</si>
  <si>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</si>
  <si>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</si>
  <si>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</si>
  <si>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</si>
  <si>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</si>
  <si>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</si>
  <si>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</si>
  <si>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</si>
  <si>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</si>
  <si>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</si>
  <si>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</si>
  <si>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</si>
  <si>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</si>
  <si>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</si>
  <si>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</si>
  <si>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</si>
  <si>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</si>
  <si>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</si>
  <si>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</si>
  <si>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</si>
  <si>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</si>
  <si>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</si>
  <si>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</si>
  <si>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</si>
  <si>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</si>
  <si>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</si>
  <si>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</si>
  <si>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</si>
  <si>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</si>
  <si>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</si>
  <si>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</si>
  <si>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</si>
  <si>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</si>
  <si>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</si>
  <si>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</si>
  <si>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</si>
  <si>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</si>
  <si>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</si>
  <si>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</si>
  <si>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</si>
  <si>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</si>
  <si>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</si>
  <si>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</si>
  <si>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</si>
  <si>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</si>
  <si>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</si>
  <si>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</si>
  <si>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</si>
  <si>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</si>
  <si>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</si>
  <si>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</si>
  <si>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</si>
  <si>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</si>
  <si>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</si>
  <si>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</si>
  <si>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</si>
  <si>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</si>
  <si>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</si>
  <si>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</si>
  <si>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</si>
  <si>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</si>
  <si>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</si>
  <si>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</si>
  <si>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</si>
  <si>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</si>
  <si>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</si>
  <si>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</si>
  <si>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</si>
  <si>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</si>
  <si>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</si>
  <si>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</si>
  <si>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</si>
  <si>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</si>
  <si>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</si>
  <si>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</si>
  <si>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</si>
  <si>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</si>
  <si>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</si>
  <si>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</si>
  <si>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</si>
  <si>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</si>
  <si>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</si>
  <si>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</si>
  <si>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</si>
  <si>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</si>
  <si>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</si>
  <si>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</si>
  <si>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</si>
  <si>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</si>
  <si>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</si>
  <si>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</si>
  <si>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</si>
  <si>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</si>
  <si>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</si>
  <si>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</si>
  <si>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</si>
  <si>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</si>
  <si>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</si>
  <si>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</si>
  <si>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</si>
  <si>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</si>
  <si>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</si>
  <si>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</si>
  <si>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</si>
  <si>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</si>
  <si>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</si>
  <si>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</si>
  <si>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</si>
  <si>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</si>
  <si>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</si>
  <si>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</si>
  <si>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</si>
  <si>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</si>
  <si>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</si>
  <si>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</si>
  <si>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</si>
  <si>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</si>
  <si>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</si>
  <si>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</si>
  <si>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</si>
  <si>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</si>
  <si>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</si>
  <si>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</si>
  <si>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</si>
  <si>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</si>
  <si>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</si>
  <si>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</si>
  <si>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</si>
  <si>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</si>
  <si>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</si>
  <si>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</si>
  <si>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</si>
  <si>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</si>
  <si>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</si>
  <si>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</si>
  <si>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</si>
  <si>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</si>
  <si>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</si>
  <si>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</si>
  <si>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</si>
  <si>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</si>
  <si>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</si>
  <si>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</si>
  <si>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</si>
  <si>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</si>
  <si>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</si>
  <si>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</si>
  <si>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</si>
  <si>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</si>
  <si>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</si>
  <si>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</si>
  <si>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</si>
  <si>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</si>
  <si>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</si>
  <si>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</si>
  <si>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</si>
  <si>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</si>
  <si>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</si>
  <si>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</si>
  <si>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</si>
  <si>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</si>
  <si>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</si>
  <si>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</si>
  <si>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</si>
  <si>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</si>
  <si>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</si>
  <si>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</si>
  <si>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</si>
  <si>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</si>
  <si>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</si>
  <si>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</si>
  <si>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</si>
  <si>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</si>
  <si>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</si>
  <si>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</si>
  <si>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</si>
  <si>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</si>
  <si>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</si>
  <si>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</si>
  <si>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</si>
  <si>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</si>
  <si>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</si>
  <si>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</si>
  <si>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</si>
  <si>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</si>
  <si>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</si>
  <si>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</si>
  <si>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</si>
  <si>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</si>
  <si>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</si>
  <si>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</si>
  <si>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</si>
  <si>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</si>
  <si>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</si>
  <si>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</si>
  <si>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</si>
  <si>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</si>
  <si>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</si>
  <si>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</si>
  <si>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</si>
  <si>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</si>
  <si>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</si>
  <si>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</si>
  <si>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</si>
  <si>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</si>
  <si>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</si>
  <si>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</si>
  <si>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</si>
  <si>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</si>
  <si>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</si>
  <si>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</si>
  <si>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</si>
  <si>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</si>
  <si>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</si>
  <si>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</si>
  <si>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</si>
  <si>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</si>
  <si>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</si>
  <si>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</si>
  <si>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</si>
  <si>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</si>
  <si>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</si>
  <si>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</si>
  <si>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</si>
  <si>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</si>
  <si>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</si>
  <si>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</si>
  <si>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</si>
  <si>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</si>
  <si>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</si>
  <si>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</si>
  <si>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</si>
  <si>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</si>
  <si>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</si>
  <si>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</si>
  <si>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</si>
  <si>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</si>
  <si>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</si>
  <si>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</si>
  <si>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</si>
  <si>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</si>
  <si>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</si>
  <si>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</si>
  <si>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</si>
  <si>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</si>
  <si>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</si>
  <si>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</si>
  <si>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</si>
  <si>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</si>
  <si>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</si>
  <si>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</si>
  <si>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</si>
  <si>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</si>
  <si>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</si>
  <si>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</si>
  <si>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</si>
  <si>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</si>
  <si>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</si>
  <si>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</si>
  <si>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</si>
  <si>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</si>
  <si>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</si>
  <si>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</si>
  <si>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</si>
  <si>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</si>
  <si>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</si>
  <si>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</si>
  <si>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</si>
  <si>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</si>
  <si>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</si>
  <si>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</si>
  <si>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</si>
  <si>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</si>
  <si>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</si>
  <si>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</si>
  <si>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</si>
  <si>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</si>
  <si>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</si>
  <si>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</si>
  <si>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</si>
  <si>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</si>
  <si>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</si>
  <si>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</si>
  <si>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</si>
  <si>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</si>
  <si>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</si>
  <si>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</si>
  <si>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</si>
  <si>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</si>
  <si>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</si>
  <si>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</si>
  <si>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</si>
  <si>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</si>
  <si>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</si>
  <si>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</si>
  <si>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</si>
  <si>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</si>
  <si>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</si>
  <si>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</si>
  <si>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</si>
  <si>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</si>
  <si>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</si>
  <si>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</si>
  <si>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</si>
  <si>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</si>
  <si>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</si>
  <si>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</si>
  <si>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</si>
  <si>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</si>
  <si>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</si>
  <si>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</si>
  <si>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</si>
  <si>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</si>
  <si>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</si>
  <si>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</si>
  <si>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</si>
  <si>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</si>
  <si>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</si>
  <si>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</si>
  <si>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</si>
  <si>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</si>
  <si>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</si>
  <si>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</si>
  <si>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</si>
  <si>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</si>
  <si>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</si>
  <si>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</si>
  <si>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</si>
  <si>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</si>
  <si>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</si>
  <si>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</si>
  <si>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</si>
  <si>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</si>
  <si>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</si>
  <si>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</si>
  <si>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</si>
  <si>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</si>
  <si>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</si>
  <si>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</si>
  <si>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</si>
  <si>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</si>
  <si>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</si>
  <si>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</si>
  <si>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</si>
  <si>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</si>
  <si>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</si>
  <si>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</si>
  <si>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</si>
  <si>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</si>
  <si>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</si>
  <si>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</si>
  <si>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</si>
  <si>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</si>
  <si>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</si>
  <si>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</si>
  <si>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</si>
  <si>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</si>
  <si>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</si>
  <si>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</si>
  <si>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</si>
  <si>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</si>
  <si>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</si>
  <si>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</si>
  <si>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</si>
  <si>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</si>
  <si>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</si>
  <si>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</si>
  <si>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</si>
  <si>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</si>
  <si>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</si>
  <si>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</si>
  <si>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</si>
  <si>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</si>
  <si>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</si>
  <si>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</si>
  <si>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</si>
  <si>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</si>
  <si>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</si>
  <si>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</si>
  <si>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</si>
  <si>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</si>
  <si>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</si>
  <si>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</si>
  <si>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</si>
  <si>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</si>
  <si>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</si>
  <si>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</si>
  <si>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</si>
  <si>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</si>
  <si>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</si>
  <si>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</si>
  <si>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</si>
  <si>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</si>
  <si>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</si>
  <si>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</si>
  <si>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</si>
  <si>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</si>
  <si>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</si>
  <si>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</si>
  <si>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</si>
  <si>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</si>
  <si>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</si>
  <si>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</si>
  <si>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</si>
  <si>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</si>
  <si>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</si>
  <si>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</si>
  <si>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</si>
  <si>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</si>
  <si>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</si>
  <si>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</si>
  <si>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</si>
  <si>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</si>
  <si>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</si>
  <si>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</si>
  <si>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</si>
  <si>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</si>
  <si>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</si>
  <si>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</si>
  <si>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</si>
  <si>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</si>
  <si>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</si>
  <si>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</si>
  <si>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</si>
  <si>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</si>
  <si>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</si>
  <si>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</si>
  <si>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</si>
  <si>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</si>
  <si>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</si>
  <si>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</si>
  <si>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</si>
  <si>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</si>
  <si>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</si>
  <si>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</si>
  <si>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</si>
  <si>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</si>
  <si>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</si>
  <si>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</si>
  <si>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</si>
  <si>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</si>
  <si>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</si>
  <si>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</si>
  <si>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</si>
  <si>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</si>
  <si>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</si>
  <si>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</si>
  <si>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</si>
  <si>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</si>
  <si>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</si>
  <si>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</si>
  <si>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</si>
  <si>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</si>
  <si>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</si>
  <si>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</si>
  <si>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</si>
  <si>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</si>
  <si>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</si>
  <si>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</si>
  <si>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</si>
  <si>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</si>
  <si>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</si>
  <si>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</si>
  <si>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</si>
  <si>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</si>
  <si>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</si>
  <si>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</si>
  <si>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</si>
  <si>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</si>
  <si>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</si>
  <si>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</si>
  <si>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</si>
  <si>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</si>
  <si>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</si>
  <si>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</si>
  <si>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</si>
  <si>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</si>
  <si>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</si>
  <si>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</si>
  <si>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</si>
  <si>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</si>
  <si>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</si>
  <si>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</si>
  <si>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</si>
  <si>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</si>
  <si>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</si>
  <si>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</si>
  <si>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</si>
  <si>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</si>
  <si>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</si>
  <si>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</si>
  <si>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</si>
  <si>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</si>
  <si>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</si>
  <si>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</si>
  <si>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</si>
  <si>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</si>
  <si>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</si>
  <si>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</si>
  <si>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</si>
  <si>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</si>
  <si>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</si>
  <si>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</si>
  <si>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</si>
  <si>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</si>
  <si>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</si>
  <si>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</si>
  <si>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</si>
  <si>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</si>
  <si>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</si>
  <si>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</si>
  <si>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</si>
  <si>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</si>
  <si>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</si>
  <si>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</si>
  <si>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</si>
  <si>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</si>
  <si>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</si>
  <si>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</si>
  <si>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</si>
  <si>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</si>
  <si>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</si>
  <si>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</si>
  <si>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</si>
  <si>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</si>
  <si>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</si>
  <si>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</si>
  <si>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</si>
  <si>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</si>
  <si>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</si>
  <si>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</si>
  <si>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</si>
  <si>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</si>
  <si>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</si>
  <si>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</si>
  <si>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</si>
  <si>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</si>
  <si>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</si>
  <si>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</si>
  <si>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</si>
  <si>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</si>
  <si>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</si>
  <si>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</si>
  <si>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</si>
  <si>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</si>
  <si>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</si>
  <si>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</si>
  <si>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</si>
  <si>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</si>
  <si>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</si>
  <si>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</si>
  <si>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</si>
  <si>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</si>
  <si>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</si>
  <si>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</si>
  <si>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</si>
  <si>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</si>
  <si>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</si>
  <si>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</si>
  <si>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</si>
  <si>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</si>
  <si>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</si>
  <si>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</si>
  <si>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</si>
  <si>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</si>
  <si>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</si>
  <si>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</si>
  <si>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</si>
  <si>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</si>
  <si>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</si>
  <si>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</si>
  <si>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</si>
  <si>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</si>
  <si>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</si>
  <si>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</si>
  <si>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</si>
  <si>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</si>
  <si>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</si>
  <si>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</si>
  <si>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</si>
  <si>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</si>
  <si>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</si>
  <si>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</si>
  <si>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</si>
  <si>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</si>
  <si>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</si>
  <si>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</si>
  <si>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</si>
  <si>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</si>
  <si>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</si>
  <si>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</si>
  <si>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</si>
  <si>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</si>
  <si>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</si>
  <si>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</si>
  <si>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</si>
  <si>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</si>
  <si>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</si>
  <si>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</si>
  <si>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</si>
  <si>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</si>
  <si>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</si>
  <si>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</si>
  <si>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</si>
  <si>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</si>
  <si>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</si>
  <si>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</si>
  <si>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</si>
  <si>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</si>
  <si>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</si>
  <si>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</si>
  <si>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</si>
  <si>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</si>
  <si>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</si>
  <si>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</si>
  <si>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</si>
  <si>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</si>
  <si>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</si>
  <si>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</si>
  <si>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</si>
  <si>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</si>
  <si>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</si>
  <si>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</si>
  <si>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</si>
  <si>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</si>
  <si>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</si>
  <si>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</si>
  <si>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</si>
  <si>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</si>
  <si>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</si>
  <si>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</si>
  <si>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</si>
  <si>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</si>
  <si>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</si>
  <si>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</si>
  <si>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</si>
  <si>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</si>
  <si>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</si>
  <si>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</si>
  <si>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</si>
  <si>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</si>
  <si>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</si>
  <si>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</si>
  <si>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</si>
  <si>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</si>
  <si>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</si>
  <si>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</si>
  <si>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</si>
  <si>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</si>
  <si>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</si>
  <si>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</si>
  <si>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</si>
  <si>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</si>
  <si>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</si>
  <si>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</si>
  <si>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</si>
  <si>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</si>
  <si>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</si>
  <si>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</si>
  <si>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</si>
  <si>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</si>
  <si>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</si>
  <si>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</si>
  <si>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</si>
  <si>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</si>
  <si>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</si>
  <si>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</si>
  <si>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</si>
  <si>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</si>
  <si>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</si>
  <si>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</si>
  <si>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</si>
  <si>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</si>
  <si>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</si>
  <si>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</si>
  <si>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</si>
  <si>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</si>
  <si>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</si>
  <si>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</si>
  <si>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</si>
  <si>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</si>
  <si>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</si>
  <si>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</si>
  <si>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</si>
  <si>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</si>
  <si>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</si>
  <si>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</si>
  <si>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</si>
  <si>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</si>
  <si>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</si>
  <si>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</si>
  <si>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</si>
  <si>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</si>
  <si>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</si>
  <si>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</si>
  <si>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</si>
  <si>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</si>
  <si>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</si>
  <si>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</si>
  <si>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</si>
  <si>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</si>
  <si>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</si>
  <si>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</si>
  <si>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</si>
  <si>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</si>
  <si>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</si>
  <si>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</si>
  <si>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</si>
  <si>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</si>
  <si>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</si>
  <si>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</si>
  <si>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</si>
  <si>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</si>
  <si>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</si>
  <si>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</si>
  <si>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</si>
  <si>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</si>
  <si>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</si>
  <si>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</si>
  <si>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</si>
  <si>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</si>
  <si>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</si>
  <si>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</si>
  <si>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</si>
  <si>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</si>
  <si>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</si>
  <si>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</si>
  <si>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</si>
  <si>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</si>
  <si>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</si>
  <si>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</si>
  <si>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</si>
  <si>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</si>
  <si>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</si>
  <si>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</si>
  <si>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</si>
  <si>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</si>
  <si>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</si>
  <si>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</si>
  <si>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</si>
  <si>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</si>
  <si>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</si>
  <si>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</si>
  <si>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</si>
  <si>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</si>
  <si>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</si>
  <si>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</si>
  <si>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</si>
  <si>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</si>
  <si>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</si>
  <si>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</si>
  <si>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</si>
  <si>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</si>
  <si>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</si>
  <si>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</si>
  <si>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</si>
  <si>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</si>
  <si>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</si>
  <si>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</si>
  <si>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</si>
  <si>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</si>
  <si>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</si>
  <si>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</si>
  <si>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</si>
  <si>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</si>
  <si>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</si>
  <si>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</si>
  <si>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</si>
  <si>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</si>
  <si>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</si>
  <si>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</si>
  <si>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</si>
  <si>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</si>
  <si>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</si>
  <si>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</si>
  <si>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</si>
  <si>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</si>
  <si>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</si>
  <si>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</si>
  <si>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</si>
  <si>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</si>
  <si>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</si>
  <si>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</si>
  <si>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</si>
  <si>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</si>
  <si>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</si>
  <si>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</si>
  <si>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</si>
  <si>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</si>
  <si>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</si>
  <si>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</si>
  <si>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</si>
  <si>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</si>
  <si>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</si>
  <si>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</si>
  <si>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</si>
  <si>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</si>
  <si>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</si>
  <si>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</si>
  <si>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</si>
  <si>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</si>
  <si>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</si>
  <si>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</si>
  <si>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</si>
  <si>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</si>
  <si>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</si>
  <si>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</si>
  <si>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</si>
  <si>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</si>
  <si>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</si>
  <si>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</si>
  <si>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</si>
  <si>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</si>
  <si>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</si>
  <si>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</si>
  <si>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</si>
  <si>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</si>
  <si>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</si>
  <si>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</si>
  <si>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</si>
  <si>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</si>
  <si>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</si>
  <si>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</si>
  <si>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</si>
  <si>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</si>
  <si>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</si>
  <si>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</si>
  <si>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</si>
  <si>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</si>
  <si>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</si>
  <si>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</si>
  <si>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</si>
  <si>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</si>
  <si>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</si>
  <si>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</si>
  <si>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</si>
  <si>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</si>
  <si>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</si>
  <si>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</si>
  <si>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</si>
  <si>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</si>
  <si>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</si>
  <si>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</si>
  <si>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</si>
  <si>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</si>
  <si>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</si>
  <si>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</si>
  <si>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</si>
  <si>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</si>
  <si>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</si>
  <si>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</si>
  <si>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</si>
  <si>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</si>
  <si>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</si>
  <si>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</si>
  <si>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</si>
  <si>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</si>
  <si>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</si>
  <si>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</si>
  <si>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</si>
  <si>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</si>
  <si>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</si>
  <si>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</si>
  <si>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</si>
  <si>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</si>
  <si>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</si>
  <si>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</si>
  <si>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</si>
  <si>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</si>
  <si>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</si>
  <si>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</si>
  <si>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</si>
  <si>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</si>
  <si>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</si>
  <si>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</si>
  <si>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</si>
  <si>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</si>
  <si>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</si>
  <si>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</si>
  <si>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</si>
  <si>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</si>
  <si>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</si>
  <si>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</si>
  <si>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</si>
  <si>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</si>
  <si>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</si>
  <si>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</si>
  <si>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</si>
  <si>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</si>
  <si>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</si>
  <si>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</si>
  <si>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</si>
  <si>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</si>
  <si>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</si>
  <si>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</si>
  <si>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</si>
  <si>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</si>
  <si>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</si>
  <si>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</si>
  <si>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</si>
  <si>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</si>
  <si>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</si>
  <si>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</si>
  <si>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</si>
  <si>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</si>
  <si>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</si>
  <si>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</si>
  <si>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</si>
  <si>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</si>
  <si>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</si>
  <si>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</si>
  <si>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UPSET! Normal winner is Michigan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</si>
  <si>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</si>
  <si>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</si>
  <si>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</si>
  <si>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</si>
  <si>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</si>
  <si>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</si>
  <si>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</si>
  <si>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</si>
  <si>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</si>
  <si>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</si>
  <si>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</si>
  <si>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</si>
  <si>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</si>
  <si>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</si>
  <si>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</si>
  <si>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</si>
  <si>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</si>
  <si>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</si>
  <si>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</si>
  <si>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</si>
  <si>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</si>
  <si>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</si>
  <si>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UPSET! Normal winner is Miami (OH)</t>
  </si>
  <si>
    <t>UPSET! Normal winner is Virginia</t>
  </si>
  <si>
    <t>Kentucky: 278 - 223 :Santa Clara</t>
  </si>
  <si>
    <t>Iowa State: 463 - 38 :Tennessee State</t>
  </si>
  <si>
    <t>Duke: 419 - 82 :TCU</t>
  </si>
  <si>
    <t>St. John's (NY): 205 - 296 :Kansas</t>
  </si>
  <si>
    <t>UPSET! Normal winner is South Florida</t>
  </si>
  <si>
    <t>UCF: 197 - 304 :Connecticut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</si>
  <si>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</si>
  <si>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</si>
  <si>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</si>
  <si>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</si>
  <si>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403 - 98 :Villanova</t>
  </si>
  <si>
    <t>Wisconsin: 184 - 317 :Arkansas</t>
  </si>
  <si>
    <t>Brigham Young: 191 - 310 :Gonzaga</t>
  </si>
  <si>
    <t>Miami (FL): 235 - 266 :Purdue</t>
  </si>
  <si>
    <t>UPSET! Normal winner is Michigan</t>
  </si>
  <si>
    <t>Texas Tech: 345 - 156 :Alabama</t>
  </si>
  <si>
    <t>Tennessee: 397 - 104 :Wright State</t>
  </si>
  <si>
    <t>Kentucky: 126 - 375 :Iowa State</t>
  </si>
  <si>
    <t>Duke: 303 - 198 :Kansas</t>
  </si>
  <si>
    <t>North Dakota State: 138 - 363 :Connecticut</t>
  </si>
  <si>
    <t>Florida: 394 - 107 :Nebraska</t>
  </si>
  <si>
    <t>Illinois: 238 - 263 :Saint Mary's (CA)</t>
  </si>
  <si>
    <t>Arizona: 405 - 96 :Arkansas</t>
  </si>
  <si>
    <t>Gonzaga: 272 - 229 :Purdue</t>
  </si>
  <si>
    <t>Saint Louis: 65 - 436 :Texas Tech</t>
  </si>
  <si>
    <t>Tennessee: 157 - 344 :Iowa State</t>
  </si>
  <si>
    <t>Duke: 381 - 120 :Connecticut</t>
  </si>
  <si>
    <t>Florida: 344 - 157 :Saint Mary's (CA)</t>
  </si>
  <si>
    <t>Arizona: 378 - 123 :Gonzaga</t>
  </si>
  <si>
    <t>Texas Tech: 365 - 136 :Iowa State</t>
  </si>
  <si>
    <t>Duke: 215 - 286 :Florida</t>
  </si>
  <si>
    <t>Arizona: 316 - 185 :Texas Tech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</si>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</sst>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Michigan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0.3</v>
      </c>
      <c r="M10" s="82" t="e" vm="76">
        <f>_xlfn.XLOOKUP(I10,Teams!$C:$C,Teams!$E:$E,,0,1)</f>
        <v>#VALUE!</v>
      </c>
      <c r="N10" s="82">
        <v>0.7</v>
      </c>
      <c r="O10" s="189" t="str">
        <f t="shared" si="3"/>
        <v>North Dakota State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Virginia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0.2</v>
      </c>
      <c r="M34" s="83" t="e" vm="124">
        <f>_xlfn.XLOOKUP(I34,Teams!$C:$C,Teams!$E:$E,,0,1)</f>
        <v>#VALUE!</v>
      </c>
      <c r="N34" s="83">
        <v>0.8</v>
      </c>
      <c r="O34" s="192" t="str">
        <f t="shared" si="3"/>
        <v>Wright State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North Dakota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690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0.38</v>
      </c>
      <c r="M40" s="82" t="e" vm="76">
        <f>_xlfn.XLOOKUP(I40,Teams!$C:$C,Teams!$E:$E,,0,1)</f>
        <v>#VALUE!</v>
      </c>
      <c r="N40" s="82">
        <v>0.62</v>
      </c>
      <c r="O40" s="189" t="str">
        <f t="shared" si="9"/>
        <v>North Dakota State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Michigan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0.24</v>
      </c>
      <c r="M50" s="145" t="e" vm="116">
        <f>_xlfn.XLOOKUP(I50,Teams!$C:$C,Teams!$E:$E,,0,1)</f>
        <v>#VALUE!</v>
      </c>
      <c r="N50" s="145">
        <v>0.76</v>
      </c>
      <c r="O50" s="196" t="str">
        <f t="shared" si="9"/>
        <v>Saint Louis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Wright State</v>
      </c>
      <c r="C52" s="91" t="str">
        <f t="shared" si="7"/>
        <v>Wright State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1117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0.79</v>
      </c>
      <c r="M52" s="83" t="e" vm="124">
        <f>_xlfn.XLOOKUP(I52,Teams!$C:$C,Teams!$E:$E,,0,1)</f>
        <v>#VALUE!</v>
      </c>
      <c r="N52" s="83">
        <v>0.21</v>
      </c>
      <c r="O52" s="192" t="str">
        <f t="shared" si="9"/>
        <v>Tennessee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North Dakota State</v>
      </c>
      <c r="B56" s="91" t="str">
        <f t="shared" ref="B56:B62" si="16">I56</f>
        <v>Connecticut</v>
      </c>
      <c r="C56" s="91" t="str">
        <f t="shared" si="12"/>
        <v>North Dakota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690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6">
        <f>_xlfn.XLOOKUP(G56,Teams!$C:$C,Teams!$E:$E,,0,1)</f>
        <v>#VALUE!</v>
      </c>
      <c r="L56" s="139">
        <v>0.28000000000000003</v>
      </c>
      <c r="M56" s="139" t="e" vm="79">
        <f>_xlfn.XLOOKUP(I56,Teams!$C:$C,Teams!$E:$E,,0,1)</f>
        <v>#VALUE!</v>
      </c>
      <c r="N56" s="139">
        <v>0.72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Saint Louis</v>
      </c>
      <c r="B61" s="91" t="str">
        <f t="shared" si="16"/>
        <v>Texas Tech</v>
      </c>
      <c r="C61" s="91" t="str">
        <f t="shared" si="12"/>
        <v>Saint Louis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829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6">
        <f>_xlfn.XLOOKUP(G61,Teams!$C:$C,Teams!$E:$E,,0,1)</f>
        <v>#VALUE!</v>
      </c>
      <c r="L61" s="145">
        <v>0.13</v>
      </c>
      <c r="M61" s="145" t="e" vm="117">
        <f>_xlfn.XLOOKUP(I61,Teams!$C:$C,Teams!$E:$E,,0,1)</f>
        <v>#VALUE!</v>
      </c>
      <c r="N61" s="145">
        <v>0.87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Tennessee</v>
      </c>
      <c r="B62" s="91" t="str">
        <f t="shared" si="16"/>
        <v>Iowa State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130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0.31</v>
      </c>
      <c r="M62" s="151" t="e" vm="127">
        <f>_xlfn.XLOOKUP(I62,Teams!$C:$C,Teams!$E:$E,,0,1)</f>
        <v>#VALUE!</v>
      </c>
      <c r="N62" s="151">
        <v>0.69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0.76</v>
      </c>
      <c r="O11" s="25"/>
      <c r="P11" s="25"/>
      <c r="R11" s="25"/>
      <c r="S11" s="25"/>
      <c r="T11" s="251" t="e" vm="9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0.43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0.38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North Dakota State</v>
      </c>
      <c r="J23" s="247" t="e" vm="76">
        <f>_xlfn.XLOOKUP(I23,Teams!$C:$C,Teams!$E:$E,,0,1)</f>
        <v>#VALUE!</v>
      </c>
      <c r="K23" s="264">
        <f>Games!L56</f>
        <v>0.28000000000000003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0.3</v>
      </c>
      <c r="F25" s="262" t="str">
        <f>Games!O10</f>
        <v>North Dakota State</v>
      </c>
      <c r="G25" s="247" t="e" vm="76">
        <f>_xlfn.XLOOKUP(F25,Teams!$C:$C,Teams!$E:$E,,0,1)</f>
        <v>#VALUE!</v>
      </c>
      <c r="H25" s="277">
        <f>Games!N40</f>
        <v>0.62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0.7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0.24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0.43</v>
      </c>
      <c r="W27" s="24"/>
      <c r="X27" s="25"/>
      <c r="Y27" s="56"/>
      <c r="AA27" s="25"/>
      <c r="AB27" s="269">
        <f>Games!N66</f>
        <v>0.25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0.72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0.24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0.56999999999999995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0.13</v>
      </c>
      <c r="AF39" s="249" t="e" vm="116">
        <f>_xlfn.XLOOKUP(AG39,Teams!$C:$C,Teams!$E:$E,,0,1)</f>
        <v>#VALUE!</v>
      </c>
      <c r="AG39" s="262" t="str">
        <f>Games!O50</f>
        <v>Saint Louis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0.76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0.87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0.56999999999999995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0.79</v>
      </c>
      <c r="AI53" s="249" t="e" vm="121">
        <f>_xlfn.XLOOKUP(AJ53,Teams!$C:$C,Teams!$E:$E,,0,1)</f>
        <v>#VALUE!</v>
      </c>
      <c r="AJ53" s="262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0.31</v>
      </c>
      <c r="AF55" s="249" t="e" vm="121">
        <f>_xlfn.XLOOKUP(AG55,Teams!$C:$C,Teams!$E:$E,,0,1)</f>
        <v>#VALUE!</v>
      </c>
      <c r="AG55" s="262" t="str">
        <f>Games!O52</f>
        <v>Tennessee</v>
      </c>
      <c r="AH55" s="55"/>
      <c r="AI55" s="51"/>
      <c r="AJ55" s="282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0.21</v>
      </c>
      <c r="AI57" s="249" t="e" vm="124">
        <f>_xlfn.XLOOKUP(AJ57,Teams!$C:$C,Teams!$E:$E,,0,1)</f>
        <v>#VALUE!</v>
      </c>
      <c r="AJ57" s="262" t="str">
        <f>Games!O34</f>
        <v>Wright State</v>
      </c>
      <c r="AK57" s="58">
        <f>Games!L34</f>
        <v>0.2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0.8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0.69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