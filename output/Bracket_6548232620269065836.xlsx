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2EA295C6-C5FE-4799-AACC-EC5967E76F57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<sst xmlns="http://schemas.openxmlformats.org/spreadsheetml/2006/main" count="1526" uniqueCount="1194">
  <si>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</si>
  <si>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</si>
  <si>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</si>
  <si>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</si>
  <si>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</si>
  <si>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</si>
  <si>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</si>
  <si>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</si>
  <si>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</si>
  <si>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</si>
  <si>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</si>
  <si>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</si>
  <si>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</si>
  <si>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</si>
  <si>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</si>
  <si>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</si>
  <si>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</si>
  <si>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</si>
  <si>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</si>
  <si>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</si>
  <si>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</si>
  <si>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</si>
  <si>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</si>
  <si>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</si>
  <si>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</si>
  <si>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</si>
  <si>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</si>
  <si>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</si>
  <si>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</si>
  <si>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</si>
  <si>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</si>
  <si>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</si>
  <si>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</si>
  <si>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</si>
  <si>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</si>
  <si>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</si>
  <si>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</si>
  <si>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</si>
  <si>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</si>
  <si>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</si>
  <si>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</si>
  <si>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</si>
  <si>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</si>
  <si>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</si>
  <si>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</si>
  <si>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</si>
  <si>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</si>
  <si>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</si>
  <si>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</si>
  <si>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</si>
  <si>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</si>
  <si>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</si>
  <si>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</si>
  <si>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</si>
  <si>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</si>
  <si>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</si>
  <si>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</si>
  <si>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</si>
  <si>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</si>
  <si>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</si>
  <si>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</si>
  <si>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</si>
  <si>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</si>
  <si>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</si>
  <si>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</si>
  <si>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</si>
  <si>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</si>
  <si>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</si>
  <si>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</si>
  <si>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</si>
  <si>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</si>
  <si>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</si>
  <si>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</si>
  <si>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</si>
  <si>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</si>
  <si>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</si>
  <si>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</si>
  <si>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</si>
  <si>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</si>
  <si>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</si>
  <si>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</si>
  <si>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</si>
  <si>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</si>
  <si>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</si>
  <si>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</si>
  <si>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</si>
  <si>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</si>
  <si>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</si>
  <si>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</si>
  <si>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</si>
  <si>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</si>
  <si>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</si>
  <si>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</si>
  <si>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</si>
  <si>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</si>
  <si>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</si>
  <si>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</si>
  <si>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</si>
  <si>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</si>
  <si>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</si>
  <si>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</si>
  <si>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</si>
  <si>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</si>
  <si>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</si>
  <si>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</si>
  <si>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</si>
  <si>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</si>
  <si>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</si>
  <si>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</si>
  <si>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</si>
  <si>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</si>
  <si>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</si>
  <si>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</si>
  <si>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</si>
  <si>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</si>
  <si>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</si>
  <si>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</si>
  <si>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</si>
  <si>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</si>
  <si>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</si>
  <si>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</si>
  <si>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</si>
  <si>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</si>
  <si>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</si>
  <si>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</si>
  <si>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</si>
  <si>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</si>
  <si>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</si>
  <si>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</si>
  <si>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</si>
  <si>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</si>
  <si>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</si>
  <si>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</si>
  <si>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</si>
  <si>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</si>
  <si>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</si>
  <si>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</si>
  <si>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</si>
  <si>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</si>
  <si>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</si>
  <si>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</si>
  <si>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</si>
  <si>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</si>
  <si>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</si>
  <si>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</si>
  <si>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</si>
  <si>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</si>
  <si>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</si>
  <si>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</si>
  <si>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</si>
  <si>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</si>
  <si>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</si>
  <si>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</si>
  <si>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</si>
  <si>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</si>
  <si>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</si>
  <si>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</si>
  <si>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</si>
  <si>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</si>
  <si>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</si>
  <si>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</si>
  <si>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</si>
  <si>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</si>
  <si>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</si>
  <si>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</si>
  <si>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</si>
  <si>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</si>
  <si>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</si>
  <si>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</si>
  <si>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</si>
  <si>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</si>
  <si>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</si>
  <si>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</si>
  <si>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</si>
  <si>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</si>
  <si>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</si>
  <si>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</si>
  <si>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</si>
  <si>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</si>
  <si>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</si>
  <si>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</si>
  <si>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</si>
  <si>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</si>
  <si>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</si>
  <si>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</si>
  <si>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</si>
  <si>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</si>
  <si>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</si>
  <si>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</si>
  <si>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</si>
  <si>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</si>
  <si>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</si>
  <si>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</si>
  <si>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</si>
  <si>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</si>
  <si>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</si>
  <si>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</si>
  <si>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</si>
  <si>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</si>
  <si>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</si>
  <si>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</si>
  <si>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</si>
  <si>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</si>
  <si>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</si>
  <si>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</si>
  <si>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</si>
  <si>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</si>
  <si>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</si>
  <si>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</si>
  <si>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</si>
  <si>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</si>
  <si>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</si>
  <si>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</si>
  <si>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</si>
  <si>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</si>
  <si>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</si>
  <si>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</si>
  <si>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</si>
  <si>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</si>
  <si>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</si>
  <si>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</si>
  <si>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</si>
  <si>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</si>
  <si>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</si>
  <si>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</si>
  <si>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</si>
  <si>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</si>
  <si>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</si>
  <si>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</si>
  <si>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</si>
  <si>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</si>
  <si>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</si>
  <si>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</si>
  <si>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</si>
  <si>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</si>
  <si>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</si>
  <si>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</si>
  <si>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</si>
  <si>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</si>
  <si>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</si>
  <si>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</si>
  <si>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</si>
  <si>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</si>
  <si>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</si>
  <si>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</si>
  <si>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</si>
  <si>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</si>
  <si>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</si>
  <si>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</si>
  <si>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</si>
  <si>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</si>
  <si>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</si>
  <si>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</si>
  <si>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</si>
  <si>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</si>
  <si>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</si>
  <si>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</si>
  <si>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</si>
  <si>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</si>
  <si>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</si>
  <si>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</si>
  <si>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</si>
  <si>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</si>
  <si>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</si>
  <si>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</si>
  <si>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</si>
  <si>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</si>
  <si>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</si>
  <si>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</si>
  <si>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</si>
  <si>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</si>
  <si>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</si>
  <si>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</si>
  <si>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</si>
  <si>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</si>
  <si>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</si>
  <si>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</si>
  <si>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</si>
  <si>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</si>
  <si>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</si>
  <si>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</si>
  <si>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</si>
  <si>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</si>
  <si>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</si>
  <si>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</si>
  <si>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</si>
  <si>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</si>
  <si>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</si>
  <si>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</si>
  <si>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</si>
  <si>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</si>
  <si>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</si>
  <si>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</si>
  <si>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</si>
  <si>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</si>
  <si>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</si>
  <si>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</si>
  <si>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</si>
  <si>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</si>
  <si>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</si>
  <si>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</si>
  <si>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</si>
  <si>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</si>
  <si>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</si>
  <si>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</si>
  <si>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</si>
  <si>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</si>
  <si>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</si>
  <si>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</si>
  <si>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</si>
  <si>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</si>
  <si>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</si>
  <si>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</si>
  <si>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</si>
  <si>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</si>
  <si>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</si>
  <si>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</si>
  <si>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</si>
  <si>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</si>
  <si>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</si>
  <si>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</si>
  <si>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</si>
  <si>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</si>
  <si>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</si>
  <si>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</si>
  <si>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</si>
  <si>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</si>
  <si>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</si>
  <si>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</si>
  <si>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</si>
  <si>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</si>
  <si>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</si>
  <si>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</si>
  <si>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</si>
  <si>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</si>
  <si>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</si>
  <si>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</si>
  <si>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</si>
  <si>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</si>
  <si>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</si>
  <si>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</si>
  <si>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</si>
  <si>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</si>
  <si>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</si>
  <si>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</si>
  <si>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</si>
  <si>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</si>
  <si>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</si>
  <si>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</si>
  <si>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</si>
  <si>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</si>
  <si>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</si>
  <si>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</si>
  <si>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</si>
  <si>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</si>
  <si>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</si>
  <si>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</si>
  <si>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</si>
  <si>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</si>
  <si>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</si>
  <si>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</si>
  <si>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</si>
  <si>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</si>
  <si>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</si>
  <si>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</si>
  <si>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</si>
  <si>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</si>
  <si>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</si>
  <si>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</si>
  <si>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</si>
  <si>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</si>
  <si>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</si>
  <si>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</si>
  <si>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</si>
  <si>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</si>
  <si>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</si>
  <si>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</si>
  <si>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</si>
  <si>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</si>
  <si>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</si>
  <si>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</si>
  <si>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</si>
  <si>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</si>
  <si>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</si>
  <si>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</si>
  <si>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</si>
  <si>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</si>
  <si>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</si>
  <si>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</si>
  <si>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</si>
  <si>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</si>
  <si>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</si>
  <si>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</si>
  <si>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</si>
  <si>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</si>
  <si>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</si>
  <si>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</si>
  <si>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</si>
  <si>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</si>
  <si>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</si>
  <si>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</si>
  <si>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</si>
  <si>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</si>
  <si>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</si>
  <si>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</si>
  <si>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</si>
  <si>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</si>
  <si>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</si>
  <si>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</si>
  <si>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</si>
  <si>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</si>
  <si>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</si>
  <si>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</si>
  <si>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</si>
  <si>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</si>
  <si>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</si>
  <si>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</si>
  <si>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</si>
  <si>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</si>
  <si>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</si>
  <si>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</si>
  <si>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</si>
  <si>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</si>
  <si>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</si>
  <si>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</si>
  <si>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</si>
  <si>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</si>
  <si>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</si>
  <si>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</si>
  <si>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</si>
  <si>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</si>
  <si>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</si>
  <si>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</si>
  <si>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</si>
  <si>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</si>
  <si>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</si>
  <si>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</si>
  <si>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</si>
  <si>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</si>
  <si>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</si>
  <si>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</si>
  <si>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</si>
  <si>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</si>
  <si>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</si>
  <si>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</si>
  <si>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</si>
  <si>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</si>
  <si>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</si>
  <si>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</si>
  <si>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</si>
  <si>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</si>
  <si>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</si>
  <si>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</si>
  <si>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</si>
  <si>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</si>
  <si>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</si>
  <si>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</si>
  <si>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</si>
  <si>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</si>
  <si>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</si>
  <si>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</si>
  <si>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</si>
  <si>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</si>
  <si>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</si>
  <si>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</si>
  <si>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</si>
  <si>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</si>
  <si>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</si>
  <si>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</si>
  <si>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</si>
  <si>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</si>
  <si>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</si>
  <si>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</si>
  <si>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</si>
  <si>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</si>
  <si>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</si>
  <si>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</si>
  <si>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</si>
  <si>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</si>
  <si>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</si>
  <si>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</si>
  <si>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</si>
  <si>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</si>
  <si>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</si>
  <si>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</si>
  <si>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</si>
  <si>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</si>
  <si>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</si>
  <si>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</si>
  <si>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</si>
  <si>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</si>
  <si>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</si>
  <si>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</si>
  <si>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</si>
  <si>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</si>
  <si>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</si>
  <si>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</si>
  <si>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</si>
  <si>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</si>
  <si>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</si>
  <si>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</si>
  <si>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</si>
  <si>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</si>
  <si>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</si>
  <si>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</si>
  <si>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</si>
  <si>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</si>
  <si>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</si>
  <si>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</si>
  <si>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</si>
  <si>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</si>
  <si>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</si>
  <si>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</si>
  <si>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</si>
  <si>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</si>
  <si>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</si>
  <si>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</si>
  <si>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</si>
  <si>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</si>
  <si>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</si>
  <si>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</si>
  <si>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</si>
  <si>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</si>
  <si>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</si>
  <si>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</si>
  <si>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</si>
  <si>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</si>
  <si>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</si>
  <si>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</si>
  <si>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</si>
  <si>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</si>
  <si>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</si>
  <si>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</si>
  <si>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</si>
  <si>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</si>
  <si>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</si>
  <si>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</si>
  <si>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</si>
  <si>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</si>
  <si>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</si>
  <si>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</si>
  <si>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</si>
  <si>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</si>
  <si>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</si>
  <si>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</si>
  <si>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</si>
  <si>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</si>
  <si>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</si>
  <si>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</si>
  <si>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</si>
  <si>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</si>
  <si>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</si>
  <si>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</si>
  <si>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</si>
  <si>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</si>
  <si>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</si>
  <si>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</si>
  <si>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</si>
  <si>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</si>
  <si>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</si>
  <si>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</si>
  <si>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</si>
  <si>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</si>
  <si>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</si>
  <si>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</si>
  <si>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</si>
  <si>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</si>
  <si>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</si>
  <si>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</si>
  <si>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</si>
  <si>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</si>
  <si>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</si>
  <si>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</si>
  <si>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</si>
  <si>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</si>
  <si>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</si>
  <si>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</si>
  <si>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</si>
  <si>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</si>
  <si>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</si>
  <si>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</si>
  <si>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</si>
  <si>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</si>
  <si>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</si>
  <si>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</si>
  <si>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</si>
  <si>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</si>
  <si>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</si>
  <si>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</si>
  <si>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</si>
  <si>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</si>
  <si>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</si>
  <si>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</si>
  <si>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</si>
  <si>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</si>
  <si>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</si>
  <si>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</si>
  <si>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</si>
  <si>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</si>
  <si>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</si>
  <si>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</si>
  <si>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</si>
  <si>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</si>
  <si>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</si>
  <si>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</si>
  <si>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</si>
  <si>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</si>
  <si>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</si>
  <si>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</si>
  <si>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</si>
  <si>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</si>
  <si>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</si>
  <si>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</si>
  <si>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</si>
  <si>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</si>
  <si>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</si>
  <si>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</si>
  <si>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</si>
  <si>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</si>
  <si>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</si>
  <si>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</si>
  <si>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</si>
  <si>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</si>
  <si>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</si>
  <si>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</si>
  <si>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</si>
  <si>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</si>
  <si>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</si>
  <si>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</si>
  <si>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</si>
  <si>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</si>
  <si>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</si>
  <si>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</si>
  <si>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</si>
  <si>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</si>
  <si>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</si>
  <si>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</si>
  <si>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</si>
  <si>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</si>
  <si>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</si>
  <si>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</si>
  <si>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</si>
  <si>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</si>
  <si>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</si>
  <si>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</si>
  <si>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</si>
  <si>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</si>
  <si>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</si>
  <si>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</si>
  <si>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</si>
  <si>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</si>
  <si>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</si>
  <si>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</si>
  <si>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</si>
  <si>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</si>
  <si>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</si>
  <si>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</si>
  <si>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</si>
  <si>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</si>
  <si>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</si>
  <si>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</si>
  <si>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</si>
  <si>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</si>
  <si>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</si>
  <si>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</si>
  <si>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</si>
  <si>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</si>
  <si>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</si>
  <si>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</si>
  <si>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</si>
  <si>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</si>
  <si>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</si>
  <si>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</si>
  <si>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</si>
  <si>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</si>
  <si>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</si>
  <si>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</si>
  <si>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</si>
  <si>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</si>
  <si>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</si>
  <si>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</si>
  <si>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</si>
  <si>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</si>
  <si>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</si>
  <si>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</si>
  <si>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</si>
  <si>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</si>
  <si>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</si>
  <si>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</si>
  <si>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</si>
  <si>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</si>
  <si>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</si>
  <si>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</si>
  <si>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</si>
  <si>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</si>
  <si>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</si>
  <si>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</si>
  <si>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</si>
  <si>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</si>
  <si>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</si>
  <si>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</si>
  <si>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</si>
  <si>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</si>
  <si>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</si>
  <si>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</si>
  <si>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</si>
  <si>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</si>
  <si>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</si>
  <si>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</si>
  <si>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</si>
  <si>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</si>
  <si>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</si>
  <si>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</si>
  <si>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</si>
  <si>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</si>
  <si>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</si>
  <si>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</si>
  <si>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</si>
  <si>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</si>
  <si>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</si>
  <si>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</si>
  <si>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</si>
  <si>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</si>
  <si>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</si>
  <si>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</si>
  <si>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</si>
  <si>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</si>
  <si>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</si>
  <si>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</si>
  <si>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</si>
  <si>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</si>
  <si>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</si>
  <si>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</si>
  <si>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</si>
  <si>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</si>
  <si>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</si>
  <si>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</si>
  <si>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</si>
  <si>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</si>
  <si>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</si>
  <si>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</si>
  <si>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</si>
  <si>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</si>
  <si>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</si>
  <si>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</si>
  <si>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</si>
  <si>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</si>
  <si>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</si>
  <si>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</si>
  <si>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</si>
  <si>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</si>
  <si>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</si>
  <si>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</si>
  <si>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</si>
  <si>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</si>
  <si>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</si>
  <si>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</si>
  <si>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</si>
  <si>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</si>
  <si>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</si>
  <si>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</si>
  <si>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</si>
  <si>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</si>
  <si>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</si>
  <si>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</si>
  <si>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</si>
  <si>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</si>
  <si>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</si>
  <si>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</si>
  <si>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</si>
  <si>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</si>
  <si>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</si>
  <si>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</si>
  <si>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</si>
  <si>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</si>
  <si>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</si>
  <si>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</si>
  <si>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</si>
  <si>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</si>
  <si>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</si>
  <si>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</si>
  <si>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</si>
  <si>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</si>
  <si>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</si>
  <si>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</si>
  <si>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</si>
  <si>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</si>
  <si>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</si>
  <si>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</si>
  <si>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</si>
  <si>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</si>
  <si>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</si>
  <si>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</si>
  <si>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</si>
  <si>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</si>
  <si>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</si>
  <si>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</si>
  <si>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</si>
  <si>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</si>
  <si>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</si>
  <si>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</si>
  <si>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</si>
  <si>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</si>
  <si>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</si>
  <si>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</si>
  <si>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</si>
  <si>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</si>
  <si>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</si>
  <si>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</si>
  <si>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</si>
  <si>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</si>
  <si>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</si>
  <si>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</si>
  <si>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</si>
  <si>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</si>
  <si>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</si>
  <si>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</si>
  <si>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</si>
  <si>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</si>
  <si>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</si>
  <si>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</si>
  <si>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</si>
  <si>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</si>
  <si>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</si>
  <si>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</si>
  <si>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</si>
  <si>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</si>
  <si>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</si>
  <si>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</si>
  <si>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</si>
  <si>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</si>
  <si>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</si>
  <si>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</si>
  <si>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</si>
  <si>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</si>
  <si>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</si>
  <si>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</si>
  <si>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</si>
  <si>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</si>
  <si>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</si>
  <si>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</si>
  <si>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</si>
  <si>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</si>
  <si>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</si>
  <si>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</si>
  <si>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</si>
  <si>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</si>
  <si>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</si>
  <si>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</si>
  <si>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</si>
  <si>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</si>
  <si>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</si>
  <si>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</si>
  <si>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</si>
  <si>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</si>
  <si>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</si>
  <si>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</si>
  <si>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</si>
  <si>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</si>
  <si>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</si>
  <si>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</si>
  <si>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</si>
  <si>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</si>
  <si>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</si>
  <si>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</si>
  <si>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</si>
  <si>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</si>
  <si>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</si>
  <si>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</si>
  <si>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</si>
  <si>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</si>
  <si>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</si>
  <si>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</si>
  <si>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</si>
  <si>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</si>
  <si>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</si>
  <si>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</si>
  <si>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</si>
  <si>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</si>
  <si>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</si>
  <si>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</si>
  <si>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</si>
  <si>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</si>
  <si>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</si>
  <si>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</si>
  <si>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</si>
  <si>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</si>
  <si>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</si>
  <si>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</si>
  <si>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</si>
  <si>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</si>
  <si>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</si>
  <si>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</si>
  <si>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</si>
  <si>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</si>
  <si>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</si>
  <si>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</si>
  <si>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</si>
  <si>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</si>
  <si>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</si>
  <si>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</si>
  <si>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</si>
  <si>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</si>
  <si>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</si>
  <si>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</si>
  <si>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</si>
  <si>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</si>
  <si>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</si>
  <si>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</si>
  <si>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</si>
  <si>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</si>
  <si>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</si>
  <si>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</si>
  <si>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</si>
  <si>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</si>
  <si>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</si>
  <si>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</si>
  <si>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</si>
  <si>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</si>
  <si>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</si>
  <si>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</si>
  <si>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</si>
  <si>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</si>
  <si>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</si>
  <si>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</si>
  <si>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</si>
  <si>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</si>
  <si>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</si>
  <si>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</si>
  <si>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</si>
  <si>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</si>
  <si>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</si>
  <si>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</si>
  <si>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</si>
  <si>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</si>
  <si>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</si>
  <si>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</si>
  <si>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</si>
  <si>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</si>
  <si>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</si>
  <si>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</si>
  <si>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</si>
  <si>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</si>
  <si>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</si>
  <si>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</si>
  <si>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</si>
  <si>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</si>
  <si>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</si>
  <si>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</si>
  <si>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</si>
  <si>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</si>
  <si>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</si>
  <si>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</si>
  <si>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</si>
  <si>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</si>
  <si>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</si>
  <si>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</si>
  <si>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</si>
  <si>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</si>
  <si>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</si>
  <si>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</si>
  <si>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</si>
  <si>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</si>
  <si>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</si>
  <si>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</si>
  <si>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</si>
  <si>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</si>
  <si>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</si>
  <si>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</si>
  <si>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</si>
  <si>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</si>
  <si>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</si>
  <si>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</si>
  <si>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</si>
  <si>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</si>
  <si>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</si>
  <si>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</si>
  <si>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</si>
  <si>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</si>
  <si>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</si>
  <si>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</si>
  <si>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</si>
  <si>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</si>
  <si>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</si>
  <si>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</si>
  <si>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</si>
  <si>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</si>
  <si>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</si>
  <si>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</si>
  <si>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</si>
  <si>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</si>
  <si>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</si>
  <si>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</si>
  <si>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</si>
  <si>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</si>
  <si>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</si>
  <si>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</si>
  <si>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</si>
  <si>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</si>
  <si>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</si>
  <si>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</si>
  <si>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</si>
  <si>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</si>
  <si>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</si>
  <si>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</si>
  <si>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</si>
  <si>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</si>
  <si>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</si>
  <si>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</si>
  <si>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</si>
  <si>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</si>
  <si>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</si>
  <si>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</si>
  <si>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</si>
  <si>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</si>
  <si>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</si>
  <si>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</si>
  <si>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</si>
  <si>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</si>
  <si>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</si>
  <si>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</si>
  <si>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</si>
  <si>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</si>
  <si>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</si>
  <si>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</si>
  <si>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</si>
  <si>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</si>
  <si>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</si>
  <si>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</si>
  <si>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</si>
  <si>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</si>
  <si>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</si>
  <si>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</si>
  <si>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</si>
  <si>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</si>
  <si>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</si>
  <si>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</si>
  <si>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</si>
  <si>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</si>
  <si>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</si>
  <si>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</si>
  <si>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</si>
  <si>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</si>
  <si>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</si>
  <si>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</si>
  <si>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</si>
  <si>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</si>
  <si>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</si>
  <si>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</si>
  <si>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</si>
  <si>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</si>
  <si>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</si>
  <si>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</si>
  <si>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</si>
  <si>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</si>
  <si>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</si>
  <si>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</si>
  <si>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</si>
  <si>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</si>
  <si>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</si>
  <si>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</si>
  <si>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</si>
  <si>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</si>
  <si>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</si>
  <si>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</si>
  <si>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</si>
  <si>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</si>
  <si>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</si>
  <si>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</si>
  <si>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</si>
  <si>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</si>
  <si>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</si>
  <si>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</si>
  <si>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</si>
  <si>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</si>
  <si>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</si>
  <si>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</si>
  <si>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</si>
  <si>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</si>
  <si>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</si>
  <si>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</si>
  <si>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</si>
  <si>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</si>
  <si>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</si>
  <si>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</si>
  <si>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</si>
  <si>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</si>
  <si>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</si>
  <si>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</si>
  <si>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</si>
  <si>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</si>
  <si>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</si>
  <si>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</si>
  <si>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</si>
  <si>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</si>
  <si>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</si>
  <si>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</si>
  <si>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</si>
  <si>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</si>
  <si>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</si>
  <si>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</si>
  <si>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</si>
  <si>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</si>
  <si>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</si>
  <si>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</si>
  <si>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</si>
  <si>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</si>
  <si>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</si>
  <si>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</si>
  <si>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</si>
  <si>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</si>
  <si>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</si>
  <si>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</si>
  <si>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</si>
  <si>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</si>
  <si>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</si>
  <si>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</si>
  <si>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</si>
  <si>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</si>
  <si>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</si>
  <si>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</si>
  <si>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</si>
  <si>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</si>
  <si>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</si>
  <si>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</si>
  <si>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</si>
  <si>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</si>
  <si>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</si>
  <si>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</si>
  <si>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</si>
  <si>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</si>
  <si>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</si>
  <si>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</si>
  <si>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</si>
  <si>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</si>
  <si>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</si>
  <si>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</si>
  <si>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</si>
  <si>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</si>
  <si>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</si>
  <si>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</si>
  <si>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</si>
  <si>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</si>
  <si>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</si>
  <si>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</si>
  <si>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</si>
  <si>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</si>
  <si>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</si>
  <si>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</si>
  <si>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</si>
  <si>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</si>
  <si>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</si>
  <si>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</si>
  <si>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UPSET! Normal winner is Miami (FL)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</si>
  <si>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</si>
  <si>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</si>
  <si>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</si>
  <si>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</si>
  <si>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</si>
  <si>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</si>
  <si>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</si>
  <si>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</si>
  <si>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</si>
  <si>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</si>
  <si>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</si>
  <si>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</si>
  <si>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</si>
  <si>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463 - 38 :Iowa</t>
  </si>
  <si>
    <t>Vanderbilt: 197 - 304 :Nebraska</t>
  </si>
  <si>
    <t>UPSET! Normal winner is Illinois</t>
  </si>
  <si>
    <t>Saint Mary's (CA): 301 - 200 :Houston</t>
  </si>
  <si>
    <t>Arizona: 403 - 98 :Villanova</t>
  </si>
  <si>
    <t>Wisconsin: 184 - 317 :Arkansas</t>
  </si>
  <si>
    <t>Brigham Young: 191 - 310 :Gonzaga</t>
  </si>
  <si>
    <t>Missouri: 180 - 321 :Purdue</t>
  </si>
  <si>
    <t>UPSET! Normal winner is Michigan</t>
  </si>
  <si>
    <t>Texas Tech: 345 - 156 :Alabama</t>
  </si>
  <si>
    <t>Tennessee: 253 - 248 :Virginia</t>
  </si>
  <si>
    <t>Kentucky: 126 - 375 :Iowa State</t>
  </si>
  <si>
    <t>Duke: 303 - 198 :Kansas</t>
  </si>
  <si>
    <t>Michigan State: 213 - 288 :Connecticut</t>
  </si>
  <si>
    <t>Florida: 394 - 107 :Nebraska</t>
  </si>
  <si>
    <t>North Carolina: 202 - 299 :Saint Mary's (CA)</t>
  </si>
  <si>
    <t>Arizona: 405 - 96 :Arkansas</t>
  </si>
  <si>
    <t>Gonzaga: 272 - 229 :Purdue</t>
  </si>
  <si>
    <t>Saint Louis: 65 - 436 :Texas Tech</t>
  </si>
  <si>
    <t>Tennessee: 157 - 344 :Iowa State</t>
  </si>
  <si>
    <t>Duke: 381 - 120 :Connecticut</t>
  </si>
  <si>
    <t>Florida: 344 - 157 :Saint Mary's (CA)</t>
  </si>
  <si>
    <t>UPSET! Normal winner is Arizona</t>
  </si>
  <si>
    <t>Texas Tech: 365 - 136 :Iowa State</t>
  </si>
  <si>
    <t>UPSET! Normal winner is Florida</t>
  </si>
  <si>
    <t>Gonzaga: 165 - 336 :Texas Tech</t>
  </si>
  <si>
    <t>Duke: 207 - 294 :Texas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</si>
</sst>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Miami (FL)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0.32</v>
      </c>
      <c r="M27" s="82" t="e" vm="110">
        <f>_xlfn.XLOOKUP(I27,Teams!$C:$C,Teams!$E:$E,,0,1)</f>
        <v>#VALUE!</v>
      </c>
      <c r="N27" s="82">
        <v>0.68</v>
      </c>
      <c r="O27" s="189" t="str">
        <f t="shared" si="3"/>
        <v>Missouri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Illinois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0.56000000000000005</v>
      </c>
      <c r="M44" s="83" t="e" vm="91">
        <f>_xlfn.XLOOKUP(I44,Teams!$C:$C,Teams!$E:$E,,0,1)</f>
        <v>#VALUE!</v>
      </c>
      <c r="N44" s="83">
        <v>0.44</v>
      </c>
      <c r="O44" s="192" t="str">
        <f t="shared" si="9"/>
        <v>North Carolina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Missouri</v>
      </c>
      <c r="B49" s="152" t="str">
        <f t="shared" si="11"/>
        <v>Purdue</v>
      </c>
      <c r="C49" s="152" t="str">
        <f t="shared" si="7"/>
        <v>Missouri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109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0.36</v>
      </c>
      <c r="M49" s="139" t="e" vm="111">
        <f>_xlfn.XLOOKUP(I49,Teams!$C:$C,Teams!$E:$E,,0,1)</f>
        <v>#VALUE!</v>
      </c>
      <c r="N49" s="139">
        <v>0.64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Michigan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0.24</v>
      </c>
      <c r="M50" s="145" t="e" vm="116">
        <f>_xlfn.XLOOKUP(I50,Teams!$C:$C,Teams!$E:$E,,0,1)</f>
        <v>#VALUE!</v>
      </c>
      <c r="N50" s="145">
        <v>0.76</v>
      </c>
      <c r="O50" s="196" t="str">
        <f t="shared" si="9"/>
        <v>Saint Louis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Tennessee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North Carolina</v>
      </c>
      <c r="B58" s="91" t="str">
        <f t="shared" si="16"/>
        <v>Saint Mary's (CA)</v>
      </c>
      <c r="C58" s="91" t="str">
        <f t="shared" si="12"/>
        <v>North Carolina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125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0.4</v>
      </c>
      <c r="M58" s="151" t="e" vm="93">
        <f>_xlfn.XLOOKUP(I58,Teams!$C:$C,Teams!$E:$E,,0,1)</f>
        <v>#VALUE!</v>
      </c>
      <c r="N58" s="151">
        <v>0.6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Saint Louis</v>
      </c>
      <c r="B61" s="91" t="str">
        <f t="shared" si="16"/>
        <v>Texas Tech</v>
      </c>
      <c r="C61" s="91" t="str">
        <f t="shared" si="12"/>
        <v>Saint Louis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829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6">
        <f>_xlfn.XLOOKUP(G61,Teams!$C:$C,Teams!$E:$E,,0,1)</f>
        <v>#VALUE!</v>
      </c>
      <c r="L61" s="145">
        <v>0.13</v>
      </c>
      <c r="M61" s="145" t="e" vm="117">
        <f>_xlfn.XLOOKUP(I61,Teams!$C:$C,Teams!$E:$E,,0,1)</f>
        <v>#VALUE!</v>
      </c>
      <c r="N61" s="145">
        <v>0.87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Tennessee</v>
      </c>
      <c r="B62" s="91" t="str">
        <f t="shared" si="16"/>
        <v>Iowa State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130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0.31</v>
      </c>
      <c r="M62" s="151" t="e" vm="127">
        <f>_xlfn.XLOOKUP(I62,Teams!$C:$C,Teams!$E:$E,,0,1)</f>
        <v>#VALUE!</v>
      </c>
      <c r="N62" s="151">
        <v>0.69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0.25</v>
      </c>
      <c r="M66" s="158" t="e" vm="107">
        <f>_xlfn.XLOOKUP(I66,Teams!$C:$C,Teams!$E:$E,,0,1)</f>
        <v>#VALUE!</v>
      </c>
      <c r="N66" s="158">
        <v>0.75</v>
      </c>
      <c r="O66" s="198" t="str">
        <f>IF(L66&gt;N66,G66,I66)</f>
        <v>Gonzaga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0.56999999999999995</v>
      </c>
      <c r="M69" s="170" t="e" vm="81">
        <f>_xlfn.XLOOKUP(I69,Teams!$C:$C,Teams!$E:$E,,0,1)</f>
        <v>#VALUE!</v>
      </c>
      <c r="N69" s="170">
        <v>0.43</v>
      </c>
      <c r="O69" s="200" t="str">
        <f>IF(L69&gt;N69,G69,I69)</f>
        <v>Duke</v>
      </c>
      <c r="P69" s="210" t="e" vm="65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Gonzaga</v>
      </c>
      <c r="B70" s="91" t="str">
        <f>I70</f>
        <v>Texas Tech</v>
      </c>
      <c r="C70" s="91" t="str">
        <f>IF(O70="","",IF(A70=O70,B70,A70))</f>
        <v>Gonzaga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135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107">
        <f>_xlfn.XLOOKUP(G70,Teams!$C:$C,Teams!$E:$E,,0,1)</f>
        <v>#VALUE!</v>
      </c>
      <c r="L70" s="164">
        <v>0.33</v>
      </c>
      <c r="M70" s="164" t="e" vm="117">
        <f>_xlfn.XLOOKUP(I70,Teams!$C:$C,Teams!$E:$E,,0,1)</f>
        <v>#VALUE!</v>
      </c>
      <c r="N70" s="164">
        <v>0.67</v>
      </c>
      <c r="O70" s="199" t="str">
        <f>IF(L70&gt;N70,G70,I70)</f>
        <v>Texas Tech</v>
      </c>
      <c r="P70" s="213" t="e" vm="11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Texas Tech</v>
      </c>
      <c r="C72" s="91" t="str">
        <f>IF(O72="","",IF(A72=O72,B72,A72))</f>
        <v>Duke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95</v>
      </c>
      <c r="H72" s="185" t="s">
        <v>9</v>
      </c>
      <c r="I72" s="156" t="s">
        <v>106</v>
      </c>
      <c r="J72" s="157" cm="1">
        <f t="array" ref="J72">_xlfn.XLOOKUP(I72,Teams[[#All],[Team]],Teams[[#All],[Seed]],0,0,1)</f>
        <v>5</v>
      </c>
      <c r="K72" s="158" t="e" vm="65">
        <f>_xlfn.XLOOKUP(G72,Teams!$C:$C,Teams!$E:$E,,0,1)</f>
        <v>#VALUE!</v>
      </c>
      <c r="L72" s="158">
        <v>0.41</v>
      </c>
      <c r="M72" s="158" t="e" vm="117">
        <f>_xlfn.XLOOKUP(I72,Teams!$C:$C,Teams!$E:$E,,0,1)</f>
        <v>#VALUE!</v>
      </c>
      <c r="N72" s="158">
        <v>0.59</v>
      </c>
      <c r="O72" s="198" t="str">
        <f>IF(L72&gt;N72,G72,I72)</f>
        <v>Texas Tech</v>
      </c>
      <c r="P72" s="205" t="e" vm="117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0.76</v>
      </c>
      <c r="O11" s="25"/>
      <c r="P11" s="25"/>
      <c r="R11" s="25"/>
      <c r="S11" s="25"/>
      <c r="T11" s="251" t="e" vm="11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0.56999999999999995</v>
      </c>
      <c r="R19" s="25"/>
      <c r="S19" s="25"/>
      <c r="T19" s="257"/>
      <c r="U19" s="258"/>
      <c r="V19" s="259"/>
      <c r="W19" s="25"/>
      <c r="X19" s="25"/>
      <c r="Y19" s="264">
        <f>Games!L70</f>
        <v>0.33</v>
      </c>
      <c r="Z19" s="249" t="e" vm="107">
        <f>_xlfn.XLOOKUP(AA19,Teams!$C:$C,Teams!$E:$E,,0,1)</f>
        <v>#VALUE!</v>
      </c>
      <c r="AA19" s="262" t="str">
        <f>Games!O66</f>
        <v>Gonzaga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0.24</v>
      </c>
      <c r="O27" s="25"/>
      <c r="P27" s="25"/>
      <c r="Q27" s="50"/>
      <c r="R27" s="279" t="str">
        <f>Games!O69</f>
        <v>Duke</v>
      </c>
      <c r="S27" s="262"/>
      <c r="T27" s="262"/>
      <c r="U27" s="289" t="e" vm="65">
        <f>_xlfn.XLOOKUP(R27,Teams!$C:$C,Teams!$E:$E,,0,1)</f>
        <v>#VALUE!</v>
      </c>
      <c r="V27" s="267">
        <f>Games!L72</f>
        <v>0.41</v>
      </c>
      <c r="W27" s="24"/>
      <c r="X27" s="25"/>
      <c r="Y27" s="56"/>
      <c r="AA27" s="25"/>
      <c r="AB27" s="269">
        <f>Games!N66</f>
        <v>0.75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0.36</v>
      </c>
      <c r="AI29" s="249" t="e" vm="110">
        <f>_xlfn.XLOOKUP(AJ29,Teams!$C:$C,Teams!$E:$E,,0,1)</f>
        <v>#VALUE!</v>
      </c>
      <c r="AJ29" s="262" t="str">
        <f>Games!O27</f>
        <v>Missouri</v>
      </c>
      <c r="AK29" s="58">
        <f>Games!L27</f>
        <v>0.32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0.68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Texas Tech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0.64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0.24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0.59</v>
      </c>
      <c r="U39" s="293" t="e" vm="117">
        <f>_xlfn.XLOOKUP(V39,Teams!$C:$C,Teams!$E:$E,,0,1)</f>
        <v>#VALUE!</v>
      </c>
      <c r="V39" s="262" t="str">
        <f>Games!O70</f>
        <v>Texas Tech</v>
      </c>
      <c r="W39" s="262"/>
      <c r="X39" s="295"/>
      <c r="Y39" s="56"/>
      <c r="AA39" s="25"/>
      <c r="AD39" s="25"/>
      <c r="AE39" s="269">
        <f>Games!L61</f>
        <v>0.13</v>
      </c>
      <c r="AF39" s="249" t="e" vm="116">
        <f>_xlfn.XLOOKUP(AG39,Teams!$C:$C,Teams!$E:$E,,0,1)</f>
        <v>#VALUE!</v>
      </c>
      <c r="AG39" s="262" t="str">
        <f>Games!O50</f>
        <v>Saint Louis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0.76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0.87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0.43</v>
      </c>
      <c r="R51" s="25"/>
      <c r="S51" s="25"/>
      <c r="T51" s="25"/>
      <c r="U51" s="75"/>
      <c r="V51" s="25"/>
      <c r="W51" s="25"/>
      <c r="X51" s="25"/>
      <c r="Y51" s="269">
        <f>Games!N70</f>
        <v>0.67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0.56000000000000005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North Carolina</v>
      </c>
      <c r="J55" s="247" t="e" vm="89">
        <f>_xlfn.XLOOKUP(I55,Teams!$C:$C,Teams!$E:$E,,0,1)</f>
        <v>#VALUE!</v>
      </c>
      <c r="K55" s="264">
        <f>Games!L58</f>
        <v>0.4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0.31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0.44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0.6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0.69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