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DCA03B87-080F-407F-B347-CB2222C0812B}" xr6:coauthVersionLast="47" xr6:coauthVersionMax="47" xr10:uidLastSave="{00000000-0000-0000-0000-000000000000}"/>
  <bookViews>
    <workbookView xWindow="2304" yWindow="2304" windowWidth="23040" windowHeight="12120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<sst xmlns="http://schemas.openxmlformats.org/spreadsheetml/2006/main" count="1526" uniqueCount="1194">
  <si>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</si>
  <si>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</si>
  <si>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</si>
  <si>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</si>
  <si>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</si>
  <si>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</si>
  <si>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</si>
  <si>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</si>
  <si>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</si>
  <si>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</si>
  <si>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</si>
  <si>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</si>
  <si>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</si>
  <si>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</si>
  <si>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</si>
  <si>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</si>
  <si>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</si>
  <si>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</si>
  <si>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</si>
  <si>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</si>
  <si>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</si>
  <si>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</si>
  <si>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</si>
  <si>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</si>
  <si>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</si>
  <si>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</si>
  <si>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</si>
  <si>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</si>
  <si>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</si>
  <si>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</si>
  <si>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</si>
  <si>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</si>
  <si>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</si>
  <si>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</si>
  <si>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</si>
  <si>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</si>
  <si>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</si>
  <si>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</si>
  <si>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</si>
  <si>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</si>
  <si>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</si>
  <si>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</si>
  <si>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</si>
  <si>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</si>
  <si>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</si>
  <si>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</si>
  <si>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</si>
  <si>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</si>
  <si>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</si>
  <si>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</si>
  <si>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</si>
  <si>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</si>
  <si>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</si>
  <si>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</si>
  <si>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</si>
  <si>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</si>
  <si>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</si>
  <si>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</si>
  <si>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</si>
  <si>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</si>
  <si>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</si>
  <si>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</si>
  <si>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</si>
  <si>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</si>
  <si>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</si>
  <si>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</si>
  <si>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</si>
  <si>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</si>
  <si>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</si>
  <si>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</si>
  <si>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</si>
  <si>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</si>
  <si>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</si>
  <si>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</si>
  <si>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</si>
  <si>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</si>
  <si>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</si>
  <si>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</si>
  <si>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</si>
  <si>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</si>
  <si>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</si>
  <si>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</si>
  <si>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</si>
  <si>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</si>
  <si>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</si>
  <si>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</si>
  <si>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</si>
  <si>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</si>
  <si>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</si>
  <si>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</si>
  <si>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</si>
  <si>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</si>
  <si>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</si>
  <si>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</si>
  <si>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</si>
  <si>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</si>
  <si>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</si>
  <si>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</si>
  <si>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</si>
  <si>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</si>
  <si>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</si>
  <si>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</si>
  <si>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</si>
  <si>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</si>
  <si>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</si>
  <si>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</si>
  <si>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</si>
  <si>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</si>
  <si>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</si>
  <si>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</si>
  <si>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</si>
  <si>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</si>
  <si>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</si>
  <si>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</si>
  <si>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</si>
  <si>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</si>
  <si>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</si>
  <si>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</si>
  <si>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</si>
  <si>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</si>
  <si>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</si>
  <si>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</si>
  <si>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</si>
  <si>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</si>
  <si>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</si>
  <si>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</si>
  <si>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</si>
  <si>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</si>
  <si>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</si>
  <si>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</si>
  <si>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</si>
  <si>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</si>
  <si>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</si>
  <si>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</si>
  <si>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</si>
  <si>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</si>
  <si>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</si>
  <si>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</si>
  <si>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</si>
  <si>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</si>
  <si>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</si>
  <si>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</si>
  <si>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</si>
  <si>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</si>
  <si>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</si>
  <si>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</si>
  <si>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</si>
  <si>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</si>
  <si>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</si>
  <si>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</si>
  <si>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</si>
  <si>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</si>
  <si>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</si>
  <si>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</si>
  <si>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</si>
  <si>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</si>
  <si>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</si>
  <si>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</si>
  <si>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</si>
  <si>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</si>
  <si>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</si>
  <si>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</si>
  <si>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</si>
  <si>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</si>
  <si>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</si>
  <si>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</si>
  <si>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</si>
  <si>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</si>
  <si>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</si>
  <si>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</si>
  <si>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</si>
  <si>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</si>
  <si>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</si>
  <si>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</si>
  <si>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</si>
  <si>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</si>
  <si>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</si>
  <si>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</si>
  <si>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</si>
  <si>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</si>
  <si>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</si>
  <si>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</si>
  <si>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</si>
  <si>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</si>
  <si>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</si>
  <si>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</si>
  <si>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</si>
  <si>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</si>
  <si>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</si>
  <si>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</si>
  <si>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</si>
  <si>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</si>
  <si>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</si>
  <si>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</si>
  <si>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</si>
  <si>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</si>
  <si>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</si>
  <si>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</si>
  <si>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</si>
  <si>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</si>
  <si>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</si>
  <si>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</si>
  <si>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</si>
  <si>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</si>
  <si>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</si>
  <si>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</si>
  <si>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</si>
  <si>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</si>
  <si>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</si>
  <si>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</si>
  <si>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</si>
  <si>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</si>
  <si>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</si>
  <si>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</si>
  <si>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</si>
  <si>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</si>
  <si>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</si>
  <si>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</si>
  <si>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</si>
  <si>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</si>
  <si>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</si>
  <si>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</si>
  <si>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</si>
  <si>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</si>
  <si>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</si>
  <si>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</si>
  <si>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</si>
  <si>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</si>
  <si>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</si>
  <si>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</si>
  <si>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</si>
  <si>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</si>
  <si>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</si>
  <si>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</si>
  <si>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</si>
  <si>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</si>
  <si>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</si>
  <si>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</si>
  <si>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</si>
  <si>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</si>
  <si>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</si>
  <si>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</si>
  <si>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</si>
  <si>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</si>
  <si>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</si>
  <si>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</si>
  <si>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</si>
  <si>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</si>
  <si>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</si>
  <si>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</si>
  <si>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</si>
  <si>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</si>
  <si>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</si>
  <si>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</si>
  <si>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</si>
  <si>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</si>
  <si>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</si>
  <si>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</si>
  <si>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</si>
  <si>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</si>
  <si>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</si>
  <si>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</si>
  <si>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</si>
  <si>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</si>
  <si>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</si>
  <si>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</si>
  <si>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</si>
  <si>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</si>
  <si>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</si>
  <si>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</si>
  <si>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</si>
  <si>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</si>
  <si>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</si>
  <si>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</si>
  <si>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</si>
  <si>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</si>
  <si>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</si>
  <si>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</si>
  <si>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</si>
  <si>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</si>
  <si>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</si>
  <si>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</si>
  <si>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</si>
  <si>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</si>
  <si>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</si>
  <si>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</si>
  <si>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</si>
  <si>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</si>
  <si>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</si>
  <si>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</si>
  <si>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</si>
  <si>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</si>
  <si>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</si>
  <si>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</si>
  <si>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</si>
  <si>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</si>
  <si>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</si>
  <si>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</si>
  <si>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</si>
  <si>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</si>
  <si>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</si>
  <si>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</si>
  <si>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</si>
  <si>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</si>
  <si>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</si>
  <si>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</si>
  <si>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</si>
  <si>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</si>
  <si>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</si>
  <si>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</si>
  <si>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</si>
  <si>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</si>
  <si>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</si>
  <si>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</si>
  <si>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</si>
  <si>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</si>
  <si>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</si>
  <si>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</si>
  <si>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</si>
  <si>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</si>
  <si>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</si>
  <si>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</si>
  <si>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</si>
  <si>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</si>
  <si>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</si>
  <si>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</si>
  <si>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</si>
  <si>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</si>
  <si>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</si>
  <si>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</si>
  <si>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</si>
  <si>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</si>
  <si>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</si>
  <si>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</si>
  <si>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</si>
  <si>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</si>
  <si>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</si>
  <si>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</si>
  <si>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</si>
  <si>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</si>
  <si>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</si>
  <si>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</si>
  <si>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</si>
  <si>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</si>
  <si>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</si>
  <si>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</si>
  <si>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</si>
  <si>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</si>
  <si>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</si>
  <si>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</si>
  <si>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</si>
  <si>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</si>
  <si>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</si>
  <si>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</si>
  <si>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</si>
  <si>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</si>
  <si>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</si>
  <si>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</si>
  <si>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</si>
  <si>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</si>
  <si>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</si>
  <si>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</si>
  <si>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</si>
  <si>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</si>
  <si>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</si>
  <si>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</si>
  <si>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</si>
  <si>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</si>
  <si>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</si>
  <si>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</si>
  <si>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</si>
  <si>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</si>
  <si>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</si>
  <si>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</si>
  <si>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</si>
  <si>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</si>
  <si>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</si>
  <si>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</si>
  <si>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</si>
  <si>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</si>
  <si>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</si>
  <si>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</si>
  <si>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</si>
  <si>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</si>
  <si>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</si>
  <si>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</si>
  <si>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</si>
  <si>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</si>
  <si>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</si>
  <si>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</si>
  <si>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</si>
  <si>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</si>
  <si>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</si>
  <si>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</si>
  <si>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</si>
  <si>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</si>
  <si>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</si>
  <si>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</si>
  <si>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</si>
  <si>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</si>
  <si>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</si>
  <si>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</si>
  <si>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</si>
  <si>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</si>
  <si>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</si>
  <si>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</si>
  <si>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</si>
  <si>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</si>
  <si>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</si>
  <si>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</si>
  <si>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</si>
  <si>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</si>
  <si>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</si>
  <si>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</si>
  <si>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</si>
  <si>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</si>
  <si>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</si>
  <si>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</si>
  <si>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</si>
  <si>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</si>
  <si>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</si>
  <si>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</si>
  <si>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</si>
  <si>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</si>
  <si>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</si>
  <si>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</si>
  <si>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</si>
  <si>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</si>
  <si>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</si>
  <si>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</si>
  <si>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</si>
  <si>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</si>
  <si>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</si>
  <si>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</si>
  <si>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</si>
  <si>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</si>
  <si>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</si>
  <si>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</si>
  <si>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</si>
  <si>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</si>
  <si>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</si>
  <si>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</si>
  <si>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</si>
  <si>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</si>
  <si>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</si>
  <si>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</si>
  <si>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</si>
  <si>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</si>
  <si>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</si>
  <si>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</si>
  <si>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</si>
  <si>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</si>
  <si>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</si>
  <si>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</si>
  <si>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</si>
  <si>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</si>
  <si>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</si>
  <si>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</si>
  <si>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</si>
  <si>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</si>
  <si>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</si>
  <si>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</si>
  <si>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</si>
  <si>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</si>
  <si>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</si>
  <si>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</si>
  <si>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</si>
  <si>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</si>
  <si>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</si>
  <si>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</si>
  <si>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</si>
  <si>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</si>
  <si>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</si>
  <si>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</si>
  <si>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</si>
  <si>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</si>
  <si>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</si>
  <si>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</si>
  <si>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</si>
  <si>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</si>
  <si>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</si>
  <si>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</si>
  <si>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</si>
  <si>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</si>
  <si>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</si>
  <si>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</si>
  <si>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</si>
  <si>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</si>
  <si>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</si>
  <si>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</si>
  <si>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</si>
  <si>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</si>
  <si>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</si>
  <si>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</si>
  <si>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</si>
  <si>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</si>
  <si>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</si>
  <si>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</si>
  <si>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</si>
  <si>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</si>
  <si>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</si>
  <si>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</si>
  <si>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</si>
  <si>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</si>
  <si>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</si>
  <si>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</si>
  <si>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</si>
  <si>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</si>
  <si>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</si>
  <si>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</si>
  <si>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</si>
  <si>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</si>
  <si>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</si>
  <si>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</si>
  <si>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</si>
  <si>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</si>
  <si>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</si>
  <si>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</si>
  <si>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</si>
  <si>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</si>
  <si>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</si>
  <si>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</si>
  <si>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</si>
  <si>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</si>
  <si>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</si>
  <si>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</si>
  <si>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</si>
  <si>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</si>
  <si>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</si>
  <si>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</si>
  <si>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</si>
  <si>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</si>
  <si>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</si>
  <si>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</si>
  <si>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</si>
  <si>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</si>
  <si>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</si>
  <si>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</si>
  <si>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</si>
  <si>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</si>
  <si>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</si>
  <si>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</si>
  <si>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</si>
  <si>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</si>
  <si>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</si>
  <si>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</si>
  <si>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</si>
  <si>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</si>
  <si>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</si>
  <si>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</si>
  <si>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</si>
  <si>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</si>
  <si>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</si>
  <si>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</si>
  <si>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</si>
  <si>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</si>
  <si>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</si>
  <si>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</si>
  <si>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</si>
  <si>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</si>
  <si>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</si>
  <si>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</si>
  <si>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</si>
  <si>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</si>
  <si>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</si>
  <si>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</si>
  <si>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</si>
  <si>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</si>
  <si>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</si>
  <si>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</si>
  <si>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</si>
  <si>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</si>
  <si>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</si>
  <si>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</si>
  <si>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</si>
  <si>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</si>
  <si>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</si>
  <si>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</si>
  <si>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</si>
  <si>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</si>
  <si>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</si>
  <si>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</si>
  <si>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</si>
  <si>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</si>
  <si>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</si>
  <si>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</si>
  <si>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</si>
  <si>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</si>
  <si>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</si>
  <si>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</si>
  <si>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</si>
  <si>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</si>
  <si>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</si>
  <si>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</si>
  <si>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</si>
  <si>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</si>
  <si>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</si>
  <si>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</si>
  <si>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</si>
  <si>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</si>
  <si>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</si>
  <si>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</si>
  <si>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</si>
  <si>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</si>
  <si>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</si>
  <si>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</si>
  <si>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</si>
  <si>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</si>
  <si>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</si>
  <si>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</si>
  <si>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</si>
  <si>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</si>
  <si>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</si>
  <si>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</si>
  <si>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</si>
  <si>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</si>
  <si>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</si>
  <si>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</si>
  <si>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</si>
  <si>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</si>
  <si>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</si>
  <si>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</si>
  <si>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</si>
  <si>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</si>
  <si>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</si>
  <si>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</si>
  <si>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</si>
  <si>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</si>
  <si>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</si>
  <si>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</si>
  <si>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</si>
  <si>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</si>
  <si>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</si>
  <si>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</si>
  <si>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</si>
  <si>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</si>
  <si>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</si>
  <si>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</si>
  <si>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</si>
  <si>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</si>
  <si>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</si>
  <si>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</si>
  <si>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</si>
  <si>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</si>
  <si>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</si>
  <si>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</si>
  <si>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</si>
  <si>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</si>
  <si>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</si>
  <si>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</si>
  <si>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</si>
  <si>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</si>
  <si>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</si>
  <si>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</si>
  <si>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</si>
  <si>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</si>
  <si>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</si>
  <si>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</si>
  <si>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</si>
  <si>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</si>
  <si>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</si>
  <si>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</si>
  <si>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</si>
  <si>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</si>
  <si>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</si>
  <si>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</si>
  <si>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</si>
  <si>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</si>
  <si>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</si>
  <si>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</si>
  <si>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</si>
  <si>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</si>
  <si>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</si>
  <si>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</si>
  <si>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</si>
  <si>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</si>
  <si>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</si>
  <si>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</si>
  <si>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</si>
  <si>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</si>
  <si>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</si>
  <si>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</si>
  <si>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</si>
  <si>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</si>
  <si>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</si>
  <si>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</si>
  <si>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</si>
  <si>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</si>
  <si>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</si>
  <si>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</si>
  <si>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</si>
  <si>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</si>
  <si>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</si>
  <si>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</si>
  <si>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</si>
  <si>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</si>
  <si>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</si>
  <si>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</si>
  <si>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</si>
  <si>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</si>
  <si>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</si>
  <si>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</si>
  <si>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</si>
  <si>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</si>
  <si>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</si>
  <si>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</si>
  <si>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</si>
  <si>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</si>
  <si>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</si>
  <si>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</si>
  <si>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</si>
  <si>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</si>
  <si>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</si>
  <si>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</si>
  <si>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</si>
  <si>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</si>
  <si>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</si>
  <si>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</si>
  <si>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</si>
  <si>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</si>
  <si>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</si>
  <si>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</si>
  <si>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</si>
  <si>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</si>
  <si>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</si>
  <si>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</si>
  <si>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</si>
  <si>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</si>
  <si>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</si>
  <si>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</si>
  <si>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</si>
  <si>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</si>
  <si>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</si>
  <si>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</si>
  <si>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</si>
  <si>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</si>
  <si>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</si>
  <si>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</si>
  <si>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</si>
  <si>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</si>
  <si>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</si>
  <si>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</si>
  <si>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</si>
  <si>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</si>
  <si>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</si>
  <si>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</si>
  <si>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</si>
  <si>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</si>
  <si>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</si>
  <si>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</si>
  <si>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</si>
  <si>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</si>
  <si>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</si>
  <si>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</si>
  <si>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</si>
  <si>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</si>
  <si>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</si>
  <si>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</si>
  <si>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</si>
  <si>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</si>
  <si>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</si>
  <si>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</si>
  <si>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</si>
  <si>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</si>
  <si>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</si>
  <si>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</si>
  <si>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</si>
  <si>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</si>
  <si>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</si>
  <si>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</si>
  <si>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</si>
  <si>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</si>
  <si>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</si>
  <si>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</si>
  <si>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</si>
  <si>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</si>
  <si>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</si>
  <si>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</si>
  <si>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</si>
  <si>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</si>
  <si>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</si>
  <si>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</si>
  <si>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</si>
  <si>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</si>
  <si>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</si>
  <si>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</si>
  <si>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</si>
  <si>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</si>
  <si>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</si>
  <si>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</si>
  <si>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</si>
  <si>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</si>
  <si>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</si>
  <si>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</si>
  <si>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</si>
  <si>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</si>
  <si>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</si>
  <si>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</si>
  <si>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</si>
  <si>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</si>
  <si>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</si>
  <si>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</si>
  <si>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</si>
  <si>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</si>
  <si>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</si>
  <si>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</si>
  <si>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</si>
  <si>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</si>
  <si>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</si>
  <si>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</si>
  <si>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</si>
  <si>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</si>
  <si>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</si>
  <si>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</si>
  <si>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</si>
  <si>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</si>
  <si>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</si>
  <si>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</si>
  <si>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</si>
  <si>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</si>
  <si>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</si>
  <si>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</si>
  <si>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</si>
  <si>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</si>
  <si>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</si>
  <si>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</si>
  <si>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</si>
  <si>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</si>
  <si>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</si>
  <si>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</si>
  <si>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</si>
  <si>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</si>
  <si>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</si>
  <si>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</si>
  <si>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</si>
  <si>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</si>
  <si>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</si>
  <si>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</si>
  <si>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</si>
  <si>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</si>
  <si>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</si>
  <si>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</si>
  <si>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</si>
  <si>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</si>
  <si>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</si>
  <si>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</si>
  <si>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</si>
  <si>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</si>
  <si>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</si>
  <si>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</si>
  <si>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</si>
  <si>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</si>
  <si>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</si>
  <si>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</si>
  <si>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</si>
  <si>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</si>
  <si>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</si>
  <si>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</si>
  <si>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</si>
  <si>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</si>
  <si>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</si>
  <si>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</si>
  <si>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</si>
  <si>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</si>
  <si>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</si>
  <si>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</si>
  <si>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</si>
  <si>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</si>
  <si>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</si>
  <si>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</si>
  <si>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</si>
  <si>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</si>
  <si>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</si>
  <si>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</si>
  <si>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</si>
  <si>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</si>
  <si>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</si>
  <si>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</si>
  <si>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</si>
  <si>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</si>
  <si>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</si>
  <si>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</si>
  <si>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</si>
  <si>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</si>
  <si>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</si>
  <si>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</si>
  <si>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</si>
  <si>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</si>
  <si>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</si>
  <si>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</si>
  <si>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</si>
  <si>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</si>
  <si>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</si>
  <si>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</si>
  <si>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</si>
  <si>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</si>
  <si>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</si>
  <si>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</si>
  <si>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</si>
  <si>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</si>
  <si>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</si>
  <si>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</si>
  <si>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</si>
  <si>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</si>
  <si>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</si>
  <si>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</si>
  <si>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</si>
  <si>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</si>
  <si>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</si>
  <si>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</si>
  <si>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</si>
  <si>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</si>
  <si>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</si>
  <si>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</si>
  <si>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</si>
  <si>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</si>
  <si>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</si>
  <si>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</si>
  <si>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</si>
  <si>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</si>
  <si>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</si>
  <si>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</si>
  <si>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</si>
  <si>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</si>
  <si>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</si>
  <si>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</si>
  <si>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</si>
  <si>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</si>
  <si>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</si>
  <si>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</si>
  <si>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</si>
  <si>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</si>
  <si>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</si>
  <si>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</si>
  <si>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</si>
  <si>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</si>
  <si>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</si>
  <si>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</si>
  <si>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</si>
  <si>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</si>
  <si>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</si>
  <si>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</si>
  <si>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</si>
  <si>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</si>
  <si>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</si>
  <si>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</si>
  <si>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</si>
  <si>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</si>
  <si>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</si>
  <si>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</si>
  <si>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</si>
  <si>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</si>
  <si>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</si>
  <si>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</si>
  <si>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</si>
  <si>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</si>
  <si>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</si>
  <si>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</si>
  <si>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</si>
  <si>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</si>
  <si>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</si>
  <si>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</si>
  <si>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</si>
  <si>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</si>
  <si>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</si>
  <si>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</si>
  <si>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</si>
  <si>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</si>
  <si>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</si>
  <si>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</si>
  <si>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</si>
  <si>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</si>
  <si>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</si>
  <si>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</si>
  <si>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</si>
  <si>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</si>
  <si>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</si>
  <si>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</si>
  <si>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</si>
  <si>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</si>
  <si>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</si>
  <si>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</si>
  <si>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</si>
  <si>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</si>
  <si>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</si>
  <si>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</si>
  <si>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</si>
  <si>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</si>
  <si>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</si>
  <si>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</si>
  <si>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</si>
  <si>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</si>
  <si>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</si>
  <si>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</si>
  <si>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</si>
  <si>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</si>
  <si>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</si>
  <si>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</si>
  <si>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</si>
  <si>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</si>
  <si>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</si>
  <si>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</si>
  <si>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</si>
  <si>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</si>
  <si>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</si>
  <si>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</si>
  <si>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</si>
  <si>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</si>
  <si>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</si>
  <si>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</si>
  <si>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</si>
  <si>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</si>
  <si>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</si>
  <si>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</si>
  <si>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</si>
  <si>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</si>
  <si>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</si>
  <si>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</si>
  <si>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</si>
  <si>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</si>
  <si>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</si>
  <si>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</si>
  <si>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</si>
  <si>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</si>
  <si>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</si>
  <si>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</si>
  <si>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</si>
  <si>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</si>
  <si>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</si>
  <si>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</si>
  <si>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</si>
  <si>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</si>
  <si>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</si>
  <si>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</si>
  <si>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</si>
  <si>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</si>
  <si>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</si>
  <si>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</si>
  <si>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</si>
  <si>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</si>
  <si>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</si>
  <si>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</si>
  <si>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</si>
  <si>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</si>
  <si>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</si>
  <si>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</si>
  <si>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</si>
  <si>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</si>
  <si>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</si>
  <si>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</si>
  <si>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</si>
  <si>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</si>
  <si>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</si>
  <si>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</si>
  <si>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</si>
  <si>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</si>
  <si>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</si>
  <si>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</si>
  <si>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</si>
  <si>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</si>
  <si>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</si>
  <si>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</si>
  <si>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</si>
  <si>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</si>
  <si>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</si>
  <si>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</si>
  <si>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</si>
  <si>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</si>
  <si>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</si>
  <si>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</si>
  <si>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</si>
  <si>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</si>
  <si>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</si>
  <si>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</si>
  <si>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</si>
  <si>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</si>
  <si>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</si>
  <si>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</si>
  <si>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</si>
  <si>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</si>
  <si>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</si>
  <si>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</si>
  <si>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</si>
  <si>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</si>
  <si>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</si>
  <si>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</si>
  <si>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</si>
  <si>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</si>
  <si>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</si>
  <si>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</si>
  <si>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</si>
  <si>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</si>
  <si>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</si>
  <si>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</si>
  <si>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</si>
  <si>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</si>
  <si>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</si>
  <si>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</si>
  <si>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</si>
  <si>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</si>
  <si>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</si>
  <si>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</si>
  <si>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</si>
  <si>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</si>
  <si>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</si>
  <si>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</si>
  <si>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</si>
  <si>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</si>
  <si>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</si>
  <si>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</si>
  <si>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</si>
  <si>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</si>
  <si>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</si>
  <si>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</si>
  <si>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</si>
  <si>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</si>
  <si>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</si>
  <si>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</si>
  <si>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</si>
  <si>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</si>
  <si>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</si>
  <si>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</si>
  <si>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</si>
  <si>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</si>
  <si>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</si>
  <si>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</si>
  <si>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</si>
  <si>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</si>
  <si>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</si>
  <si>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</si>
  <si>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</si>
  <si>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</si>
  <si>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</si>
  <si>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</si>
  <si>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</si>
  <si>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</si>
  <si>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</si>
  <si>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</si>
  <si>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</si>
  <si>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</si>
  <si>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</si>
  <si>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</si>
  <si>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</si>
  <si>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</si>
  <si>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</si>
  <si>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</si>
  <si>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</si>
  <si>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</si>
  <si>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Louisville: 403 - 98 :Creighton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</si>
  <si>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</si>
  <si>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</si>
  <si>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</si>
  <si>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</si>
  <si>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</si>
  <si>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</si>
  <si>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</si>
  <si>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</si>
  <si>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</si>
  <si>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Purdue: 341 - 160 :High Point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</si>
  <si>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</si>
  <si>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</si>
  <si>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</si>
  <si>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</si>
  <si>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</si>
  <si>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60 - 441 :Arizona</t>
  </si>
  <si>
    <t>Brigham Young: 291 - 210 :Wisconsin</t>
  </si>
  <si>
    <t>Saint Mary's (CA): 256 - 245 :Alabama</t>
  </si>
  <si>
    <t>Florida: 399 - 102 :Connecticut</t>
  </si>
  <si>
    <t>Colorado State: 114 - 387 :Grand Canyon</t>
  </si>
  <si>
    <t>UPSET! Normal winner is Texas Tech</t>
  </si>
  <si>
    <t>Kansas: 290 - 211 :St. John's (NY)</t>
  </si>
  <si>
    <t>Auburn: 253 - 248 :Louisville</t>
  </si>
  <si>
    <t>Michigan: 384 - 117 :Yale</t>
  </si>
  <si>
    <t>North Carolina: 223 - 278 :Iowa State</t>
  </si>
  <si>
    <t>New Mexico: 218 - 283 :Michigan State</t>
  </si>
  <si>
    <t>Houston: 222 - 279 :Gonzaga</t>
  </si>
  <si>
    <t>McNeese State: 144 - 357 :Purdue</t>
  </si>
  <si>
    <t>Illinois: 372 - 129 :Kentucky</t>
  </si>
  <si>
    <t>UCLA: 214 - 287 :Tennessee</t>
  </si>
  <si>
    <t>Duke: 189 - 312 :Arizona</t>
  </si>
  <si>
    <t>Brigham Young: 219 - 282 :Saint Mary's (CA)</t>
  </si>
  <si>
    <t>Florida: 451 - 50 :Grand Canyon</t>
  </si>
  <si>
    <t>Missouri: 129 - 372 :Kansas</t>
  </si>
  <si>
    <t>Auburn: 104 - 397 :Michigan</t>
  </si>
  <si>
    <t>Iowa State: 333 - 168 :Michigan State</t>
  </si>
  <si>
    <t>Gonzaga: 270 - 231 :Purdue</t>
  </si>
  <si>
    <t>Illinois: 352 - 149 :Tennessee</t>
  </si>
  <si>
    <t>Arizona: 382 - 119 :Saint Mary's (CA)</t>
  </si>
  <si>
    <t>Florida: 350 - 151 :Kansas</t>
  </si>
  <si>
    <t>Michigan: 291 - 210 :Iowa State</t>
  </si>
  <si>
    <t>Gonzaga: 231 - 270 :Illinois</t>
  </si>
  <si>
    <t>Florida: 223 - 278 :Arizona</t>
  </si>
  <si>
    <t>Michigan: 259 - 242 :Illinois</t>
  </si>
  <si>
    <t>Michigan: 125 - 376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</si>
</sst>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Creighton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0.8</v>
      </c>
      <c r="M22" s="82" t="e" vm="100">
        <f>_xlfn.XLOOKUP(I22,Teams!$C:$C,Teams!$E:$E,,0,1)</f>
        <v>#VALUE!</v>
      </c>
      <c r="N22" s="82">
        <v>0.2</v>
      </c>
      <c r="O22" s="189" t="str">
        <f t="shared" si="3"/>
        <v>Louisville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Texas Tech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0.89</v>
      </c>
      <c r="M44" s="83" t="e" vm="91">
        <f>_xlfn.XLOOKUP(I44,Teams!$C:$C,Teams!$E:$E,,0,1)</f>
        <v>#VALUE!</v>
      </c>
      <c r="N44" s="83">
        <v>0.11</v>
      </c>
      <c r="O44" s="192" t="str">
        <f t="shared" si="9"/>
        <v>Missouri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Louisville</v>
      </c>
      <c r="C46" s="152" t="str">
        <f t="shared" si="7"/>
        <v>Auburn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122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0.5</v>
      </c>
      <c r="M46" s="84" t="e" vm="99">
        <f>_xlfn.XLOOKUP(I46,Teams!$C:$C,Teams!$E:$E,,0,1)</f>
        <v>#VALUE!</v>
      </c>
      <c r="N46" s="84">
        <v>0.5</v>
      </c>
      <c r="O46" s="194" t="str">
        <f t="shared" si="9"/>
        <v>Louisville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Purdue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0.28999999999999998</v>
      </c>
      <c r="M51" s="83" t="e" vm="119">
        <f>_xlfn.XLOOKUP(I51,Teams!$C:$C,Teams!$E:$E,,0,1)</f>
        <v>#VALUE!</v>
      </c>
      <c r="N51" s="83">
        <v>0.71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Missouri</v>
      </c>
      <c r="B58" s="91" t="str">
        <f t="shared" si="16"/>
        <v>Kansas</v>
      </c>
      <c r="C58" s="91" t="str">
        <f t="shared" si="12"/>
        <v>Missouri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109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0.26</v>
      </c>
      <c r="M58" s="151" t="e" vm="93">
        <f>_xlfn.XLOOKUP(I58,Teams!$C:$C,Teams!$E:$E,,0,1)</f>
        <v>#VALUE!</v>
      </c>
      <c r="N58" s="151">
        <v>0.74</v>
      </c>
      <c r="O58" s="197" t="str">
        <f t="shared" si="14"/>
        <v>Kansas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Purdue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0.54</v>
      </c>
      <c r="M61" s="145" t="e" vm="119">
        <f>_xlfn.XLOOKUP(I61,Teams!$C:$C,Teams!$E:$E,,0,1)</f>
        <v>#VALUE!</v>
      </c>
      <c r="N61" s="145">
        <v>0.46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0.7</v>
      </c>
      <c r="M62" s="151" t="e" vm="127">
        <f>_xlfn.XLOOKUP(I62,Teams!$C:$C,Teams!$E:$E,,0,1)</f>
        <v>#VALUE!</v>
      </c>
      <c r="N62" s="151">
        <v>0.3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71">
        <f>_xlfn.XLOOKUP(G64,Teams!$C:$C,Teams!$E:$E,,0,1)</f>
        <v>#VALUE!</v>
      </c>
      <c r="L64" s="158">
        <v>0.76</v>
      </c>
      <c r="M64" s="158" t="e" vm="77">
        <f>_xlfn.XLOOKUP(I64,Teams!$C:$C,Teams!$E:$E,,0,1)</f>
        <v>#VALUE!</v>
      </c>
      <c r="N64" s="158">
        <v>0.24</v>
      </c>
      <c r="O64" s="198" t="str">
        <f>IF(L64&gt;N64,G64,I64)</f>
        <v>Arizona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Kansas</v>
      </c>
      <c r="C65" s="91" t="str">
        <f>IF(O65="","",IF(A65=O65,B65,A65))</f>
        <v>Kansas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110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0.7</v>
      </c>
      <c r="M65" s="164" t="e" vm="93">
        <f>_xlfn.XLOOKUP(I65,Teams!$C:$C,Teams!$E:$E,,0,1)</f>
        <v>#VALUE!</v>
      </c>
      <c r="N65" s="164">
        <v>0.3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Gonzaga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0.46</v>
      </c>
      <c r="M67" s="164" t="e" vm="121">
        <f>_xlfn.XLOOKUP(I67,Teams!$C:$C,Teams!$E:$E,,0,1)</f>
        <v>#VALUE!</v>
      </c>
      <c r="N67" s="164">
        <v>0.54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Arizona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39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1">
        <f>_xlfn.XLOOKUP(G69,Teams!$C:$C,Teams!$E:$E,,0,1)</f>
        <v>#VALUE!</v>
      </c>
      <c r="L69" s="170">
        <v>0.55000000000000004</v>
      </c>
      <c r="M69" s="170" t="e" vm="81">
        <f>_xlfn.XLOOKUP(I69,Teams!$C:$C,Teams!$E:$E,,0,1)</f>
        <v>#VALUE!</v>
      </c>
      <c r="N69" s="170">
        <v>0.45</v>
      </c>
      <c r="O69" s="200" t="str">
        <f>IF(L69&gt;N69,G69,I69)</f>
        <v>Arizona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Arizona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39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71">
        <f>_xlfn.XLOOKUP(G72,Teams!$C:$C,Teams!$E:$E,,0,1)</f>
        <v>#VALUE!</v>
      </c>
      <c r="L72" s="158">
        <v>0.75</v>
      </c>
      <c r="M72" s="158" t="e" vm="101">
        <f>_xlfn.XLOOKUP(I72,Teams!$C:$C,Teams!$E:$E,,0,1)</f>
        <v>#VALUE!</v>
      </c>
      <c r="N72" s="158">
        <v>0.25</v>
      </c>
      <c r="O72" s="198" t="str">
        <f>IF(L72&gt;N72,G72,I72)</f>
        <v>Arizona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0.5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9">
        <f>_xlfn.XLOOKUP(AG7,Teams!$C:$C,Teams!$E:$E,,0,1)</f>
        <v>#VALUE!</v>
      </c>
      <c r="AG7" s="256" t="str">
        <f>Games!O46</f>
        <v>Louisville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0.5</v>
      </c>
      <c r="AI9" s="247" t="e" vm="99">
        <f>_xlfn.XLOOKUP(AJ9,Teams!$C:$C,Teams!$E:$E,,0,1)</f>
        <v>#VALUE!</v>
      </c>
      <c r="AJ9" s="256" t="str">
        <f>Games!O22</f>
        <v>Louisville</v>
      </c>
      <c r="AK9" s="58">
        <f>Games!L22</f>
        <v>0.8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7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0.2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Arizona</v>
      </c>
      <c r="P19" s="259" t="e" vm="71">
        <f>_xlfn.XLOOKUP(O19,Teams!$C:$C,Teams!$E:$E,,0,1)</f>
        <v>#VALUE!</v>
      </c>
      <c r="Q19" s="251">
        <f>Games!L69</f>
        <v>0.55000000000000004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Arizona</v>
      </c>
      <c r="S27" s="256"/>
      <c r="T27" s="256"/>
      <c r="U27" s="271" t="e" vm="71">
        <f>_xlfn.XLOOKUP(R27,Teams!$C:$C,Teams!$E:$E,,0,1)</f>
        <v>#VALUE!</v>
      </c>
      <c r="V27" s="273">
        <f>Games!L72</f>
        <v>0.75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0.25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0.54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0.46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0.28999999999999998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0.46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0.71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0.45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0.89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Missouri</v>
      </c>
      <c r="J55" s="259" t="e" vm="89">
        <f>_xlfn.XLOOKUP(I55,Teams!$C:$C,Teams!$E:$E,,0,1)</f>
        <v>#VALUE!</v>
      </c>
      <c r="K55" s="251">
        <f>Games!L58</f>
        <v>0.26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0.11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Kansas</v>
      </c>
      <c r="M59" s="259" t="e" vm="93">
        <f>_xlfn.XLOOKUP(L59,Teams!$C:$C,Teams!$E:$E,,0,1)</f>
        <v>#VALUE!</v>
      </c>
      <c r="N59" s="261">
        <f>Games!N65</f>
        <v>0.3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0.54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0.74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2026-03-14T00:58:01Z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