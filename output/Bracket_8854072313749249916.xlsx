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69E951E9-FA30-46E9-BCF2-3A933D670835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<sst xmlns="http://schemas.openxmlformats.org/spreadsheetml/2006/main" count="1526" uniqueCount="1194">
  <si>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</si>
  <si>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</si>
  <si>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</si>
  <si>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</si>
  <si>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</si>
  <si>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</si>
  <si>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</si>
  <si>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</si>
  <si>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</si>
  <si>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</si>
  <si>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</si>
  <si>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</si>
  <si>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</si>
  <si>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</si>
  <si>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</si>
  <si>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</si>
  <si>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</si>
  <si>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</si>
  <si>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</si>
  <si>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</si>
  <si>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</si>
  <si>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</si>
  <si>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</si>
  <si>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</si>
  <si>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</si>
  <si>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</si>
  <si>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</si>
  <si>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</si>
  <si>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</si>
  <si>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</si>
  <si>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</si>
  <si>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</si>
  <si>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</si>
  <si>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</si>
  <si>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</si>
  <si>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</si>
  <si>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</si>
  <si>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</si>
  <si>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</si>
  <si>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</si>
  <si>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</si>
  <si>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</si>
  <si>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</si>
  <si>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</si>
  <si>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</si>
  <si>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</si>
  <si>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</si>
  <si>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</si>
  <si>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</si>
  <si>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</si>
  <si>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</si>
  <si>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</si>
  <si>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</si>
  <si>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</si>
  <si>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</si>
  <si>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</si>
  <si>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</si>
  <si>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</si>
  <si>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</si>
  <si>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</si>
  <si>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</si>
  <si>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</si>
  <si>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</si>
  <si>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</si>
  <si>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</si>
  <si>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</si>
  <si>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</si>
  <si>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</si>
  <si>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</si>
  <si>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</si>
  <si>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</si>
  <si>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</si>
  <si>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</si>
  <si>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</si>
  <si>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</si>
  <si>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</si>
  <si>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</si>
  <si>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</si>
  <si>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</si>
  <si>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</si>
  <si>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</si>
  <si>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</si>
  <si>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</si>
  <si>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</si>
  <si>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</si>
  <si>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</si>
  <si>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</si>
  <si>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</si>
  <si>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</si>
  <si>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</si>
  <si>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</si>
  <si>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</si>
  <si>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</si>
  <si>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</si>
  <si>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</si>
  <si>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</si>
  <si>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</si>
  <si>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</si>
  <si>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</si>
  <si>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</si>
  <si>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</si>
  <si>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</si>
  <si>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</si>
  <si>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</si>
  <si>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</si>
  <si>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</si>
  <si>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</si>
  <si>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</si>
  <si>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</si>
  <si>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</si>
  <si>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</si>
  <si>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</si>
  <si>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</si>
  <si>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</si>
  <si>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</si>
  <si>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</si>
  <si>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</si>
  <si>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</si>
  <si>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</si>
  <si>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</si>
  <si>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</si>
  <si>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</si>
  <si>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</si>
  <si>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</si>
  <si>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</si>
  <si>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</si>
  <si>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</si>
  <si>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</si>
  <si>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</si>
  <si>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</si>
  <si>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</si>
  <si>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</si>
  <si>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</si>
  <si>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</si>
  <si>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</si>
  <si>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</si>
  <si>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</si>
  <si>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</si>
  <si>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</si>
  <si>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</si>
  <si>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</si>
  <si>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</si>
  <si>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</si>
  <si>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</si>
  <si>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</si>
  <si>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</si>
  <si>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</si>
  <si>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</si>
  <si>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</si>
  <si>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</si>
  <si>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</si>
  <si>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</si>
  <si>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</si>
  <si>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</si>
  <si>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</si>
  <si>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</si>
  <si>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</si>
  <si>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</si>
  <si>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</si>
  <si>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</si>
  <si>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</si>
  <si>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</si>
  <si>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</si>
  <si>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</si>
  <si>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</si>
  <si>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</si>
  <si>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</si>
  <si>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</si>
  <si>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</si>
  <si>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</si>
  <si>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</si>
  <si>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</si>
  <si>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</si>
  <si>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</si>
  <si>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</si>
  <si>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</si>
  <si>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</si>
  <si>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</si>
  <si>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</si>
  <si>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</si>
  <si>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</si>
  <si>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</si>
  <si>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</si>
  <si>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</si>
  <si>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</si>
  <si>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</si>
  <si>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</si>
  <si>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</si>
  <si>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</si>
  <si>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</si>
  <si>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</si>
  <si>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</si>
  <si>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</si>
  <si>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</si>
  <si>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</si>
  <si>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</si>
  <si>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</si>
  <si>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</si>
  <si>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</si>
  <si>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</si>
  <si>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</si>
  <si>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</si>
  <si>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</si>
  <si>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</si>
  <si>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</si>
  <si>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</si>
  <si>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</si>
  <si>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</si>
  <si>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</si>
  <si>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</si>
  <si>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</si>
  <si>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</si>
  <si>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</si>
  <si>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</si>
  <si>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</si>
  <si>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</si>
  <si>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</si>
  <si>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</si>
  <si>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</si>
  <si>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</si>
  <si>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</si>
  <si>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</si>
  <si>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</si>
  <si>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</si>
  <si>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</si>
  <si>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</si>
  <si>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</si>
  <si>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</si>
  <si>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</si>
  <si>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</si>
  <si>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</si>
  <si>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</si>
  <si>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</si>
  <si>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</si>
  <si>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</si>
  <si>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</si>
  <si>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</si>
  <si>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</si>
  <si>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</si>
  <si>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</si>
  <si>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</si>
  <si>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</si>
  <si>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</si>
  <si>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</si>
  <si>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</si>
  <si>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</si>
  <si>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</si>
  <si>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</si>
  <si>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</si>
  <si>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</si>
  <si>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</si>
  <si>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</si>
  <si>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</si>
  <si>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</si>
  <si>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</si>
  <si>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</si>
  <si>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</si>
  <si>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</si>
  <si>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</si>
  <si>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</si>
  <si>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</si>
  <si>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</si>
  <si>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</si>
  <si>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</si>
  <si>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</si>
  <si>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</si>
  <si>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</si>
  <si>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</si>
  <si>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</si>
  <si>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</si>
  <si>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</si>
  <si>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</si>
  <si>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</si>
  <si>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</si>
  <si>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</si>
  <si>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</si>
  <si>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</si>
  <si>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</si>
  <si>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</si>
  <si>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</si>
  <si>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</si>
  <si>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</si>
  <si>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</si>
  <si>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</si>
  <si>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</si>
  <si>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</si>
  <si>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</si>
  <si>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</si>
  <si>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</si>
  <si>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</si>
  <si>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</si>
  <si>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</si>
  <si>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</si>
  <si>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</si>
  <si>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</si>
  <si>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</si>
  <si>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</si>
  <si>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</si>
  <si>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</si>
  <si>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</si>
  <si>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</si>
  <si>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</si>
  <si>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</si>
  <si>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</si>
  <si>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</si>
  <si>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</si>
  <si>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</si>
  <si>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</si>
  <si>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</si>
  <si>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</si>
  <si>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</si>
  <si>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</si>
  <si>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</si>
  <si>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</si>
  <si>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</si>
  <si>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</si>
  <si>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</si>
  <si>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</si>
  <si>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</si>
  <si>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</si>
  <si>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</si>
  <si>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</si>
  <si>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</si>
  <si>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</si>
  <si>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</si>
  <si>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</si>
  <si>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</si>
  <si>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</si>
  <si>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</si>
  <si>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</si>
  <si>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</si>
  <si>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</si>
  <si>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</si>
  <si>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</si>
  <si>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</si>
  <si>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</si>
  <si>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</si>
  <si>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</si>
  <si>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</si>
  <si>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</si>
  <si>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</si>
  <si>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</si>
  <si>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</si>
  <si>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</si>
  <si>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</si>
  <si>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</si>
  <si>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</si>
  <si>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</si>
  <si>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</si>
  <si>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</si>
  <si>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</si>
  <si>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</si>
  <si>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</si>
  <si>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</si>
  <si>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</si>
  <si>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</si>
  <si>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</si>
  <si>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</si>
  <si>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</si>
  <si>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</si>
  <si>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</si>
  <si>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</si>
  <si>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</si>
  <si>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</si>
  <si>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</si>
  <si>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</si>
  <si>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</si>
  <si>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</si>
  <si>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</si>
  <si>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</si>
  <si>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</si>
  <si>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</si>
  <si>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</si>
  <si>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</si>
  <si>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</si>
  <si>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</si>
  <si>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</si>
  <si>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</si>
  <si>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</si>
  <si>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</si>
  <si>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</si>
  <si>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</si>
  <si>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</si>
  <si>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</si>
  <si>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</si>
  <si>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</si>
  <si>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</si>
  <si>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</si>
  <si>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</si>
  <si>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</si>
  <si>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</si>
  <si>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</si>
  <si>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</si>
  <si>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</si>
  <si>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</si>
  <si>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</si>
  <si>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</si>
  <si>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</si>
  <si>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</si>
  <si>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</si>
  <si>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</si>
  <si>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</si>
  <si>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</si>
  <si>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</si>
  <si>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</si>
  <si>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</si>
  <si>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</si>
  <si>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</si>
  <si>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</si>
  <si>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</si>
  <si>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</si>
  <si>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</si>
  <si>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</si>
  <si>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</si>
  <si>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</si>
  <si>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</si>
  <si>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</si>
  <si>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</si>
  <si>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</si>
  <si>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</si>
  <si>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</si>
  <si>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</si>
  <si>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</si>
  <si>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</si>
  <si>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</si>
  <si>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</si>
  <si>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</si>
  <si>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</si>
  <si>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</si>
  <si>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</si>
  <si>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</si>
  <si>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</si>
  <si>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</si>
  <si>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</si>
  <si>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</si>
  <si>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</si>
  <si>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</si>
  <si>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</si>
  <si>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</si>
  <si>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</si>
  <si>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</si>
  <si>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</si>
  <si>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</si>
  <si>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</si>
  <si>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</si>
  <si>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</si>
  <si>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</si>
  <si>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</si>
  <si>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</si>
  <si>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</si>
  <si>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</si>
  <si>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</si>
  <si>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</si>
  <si>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</si>
  <si>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</si>
  <si>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</si>
  <si>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</si>
  <si>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</si>
  <si>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</si>
  <si>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</si>
  <si>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</si>
  <si>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</si>
  <si>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</si>
  <si>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</si>
  <si>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</si>
  <si>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</si>
  <si>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</si>
  <si>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</si>
  <si>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</si>
  <si>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</si>
  <si>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</si>
  <si>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</si>
  <si>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</si>
  <si>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</si>
  <si>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</si>
  <si>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</si>
  <si>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</si>
  <si>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</si>
  <si>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</si>
  <si>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</si>
  <si>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</si>
  <si>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</si>
  <si>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</si>
  <si>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</si>
  <si>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</si>
  <si>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</si>
  <si>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</si>
  <si>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</si>
  <si>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</si>
  <si>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</si>
  <si>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</si>
  <si>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</si>
  <si>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</si>
  <si>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</si>
  <si>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</si>
  <si>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</si>
  <si>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</si>
  <si>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</si>
  <si>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</si>
  <si>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</si>
  <si>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</si>
  <si>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</si>
  <si>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</si>
  <si>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</si>
  <si>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</si>
  <si>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</si>
  <si>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</si>
  <si>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</si>
  <si>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</si>
  <si>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</si>
  <si>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</si>
  <si>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</si>
  <si>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</si>
  <si>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</si>
  <si>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</si>
  <si>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</si>
  <si>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</si>
  <si>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</si>
  <si>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</si>
  <si>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</si>
  <si>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</si>
  <si>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</si>
  <si>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</si>
  <si>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</si>
  <si>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</si>
  <si>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</si>
  <si>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</si>
  <si>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</si>
  <si>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</si>
  <si>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</si>
  <si>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</si>
  <si>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</si>
  <si>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</si>
  <si>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</si>
  <si>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</si>
  <si>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</si>
  <si>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</si>
  <si>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</si>
  <si>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</si>
  <si>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</si>
  <si>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</si>
  <si>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</si>
  <si>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</si>
  <si>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</si>
  <si>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</si>
  <si>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</si>
  <si>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</si>
  <si>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</si>
  <si>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</si>
  <si>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</si>
  <si>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</si>
  <si>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</si>
  <si>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</si>
  <si>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</si>
  <si>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</si>
  <si>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</si>
  <si>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</si>
  <si>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</si>
  <si>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</si>
  <si>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</si>
  <si>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</si>
  <si>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</si>
  <si>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</si>
  <si>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</si>
  <si>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</si>
  <si>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</si>
  <si>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</si>
  <si>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</si>
  <si>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</si>
  <si>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</si>
  <si>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</si>
  <si>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</si>
  <si>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</si>
  <si>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</si>
  <si>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</si>
  <si>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</si>
  <si>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</si>
  <si>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</si>
  <si>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</si>
  <si>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</si>
  <si>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</si>
  <si>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</si>
  <si>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</si>
  <si>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</si>
  <si>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</si>
  <si>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</si>
  <si>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</si>
  <si>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</si>
  <si>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</si>
  <si>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</si>
  <si>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</si>
  <si>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</si>
  <si>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</si>
  <si>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</si>
  <si>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</si>
  <si>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</si>
  <si>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</si>
  <si>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</si>
  <si>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</si>
  <si>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</si>
  <si>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</si>
  <si>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</si>
  <si>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</si>
  <si>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</si>
  <si>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</si>
  <si>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</si>
  <si>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</si>
  <si>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</si>
  <si>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</si>
  <si>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</si>
  <si>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</si>
  <si>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</si>
  <si>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</si>
  <si>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</si>
  <si>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</si>
  <si>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</si>
  <si>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</si>
  <si>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</si>
  <si>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</si>
  <si>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</si>
  <si>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</si>
  <si>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</si>
  <si>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</si>
  <si>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</si>
  <si>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</si>
  <si>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</si>
  <si>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</si>
  <si>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</si>
  <si>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</si>
  <si>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</si>
  <si>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</si>
  <si>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</si>
  <si>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</si>
  <si>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</si>
  <si>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</si>
  <si>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</si>
  <si>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</si>
  <si>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</si>
  <si>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</si>
  <si>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</si>
  <si>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</si>
  <si>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</si>
  <si>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</si>
  <si>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</si>
  <si>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</si>
  <si>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</si>
  <si>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</si>
  <si>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</si>
  <si>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</si>
  <si>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</si>
  <si>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</si>
  <si>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</si>
  <si>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</si>
  <si>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</si>
  <si>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</si>
  <si>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</si>
  <si>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</si>
  <si>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</si>
  <si>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</si>
  <si>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</si>
  <si>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</si>
  <si>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</si>
  <si>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</si>
  <si>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</si>
  <si>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</si>
  <si>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</si>
  <si>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</si>
  <si>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</si>
  <si>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</si>
  <si>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</si>
  <si>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</si>
  <si>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</si>
  <si>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</si>
  <si>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</si>
  <si>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</si>
  <si>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</si>
  <si>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</si>
  <si>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</si>
  <si>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</si>
  <si>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</si>
  <si>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</si>
  <si>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</si>
  <si>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</si>
  <si>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</si>
  <si>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</si>
  <si>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</si>
  <si>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</si>
  <si>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</si>
  <si>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</si>
  <si>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</si>
  <si>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</si>
  <si>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</si>
  <si>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</si>
  <si>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</si>
  <si>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</si>
  <si>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</si>
  <si>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</si>
  <si>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</si>
  <si>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</si>
  <si>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</si>
  <si>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</si>
  <si>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</si>
  <si>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</si>
  <si>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</si>
  <si>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</si>
  <si>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</si>
  <si>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</si>
  <si>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</si>
  <si>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</si>
  <si>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</si>
  <si>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</si>
  <si>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</si>
  <si>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</si>
  <si>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</si>
  <si>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</si>
  <si>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</si>
  <si>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</si>
  <si>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</si>
  <si>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</si>
  <si>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</si>
  <si>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</si>
  <si>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</si>
  <si>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</si>
  <si>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</si>
  <si>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</si>
  <si>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</si>
  <si>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</si>
  <si>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</si>
  <si>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</si>
  <si>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</si>
  <si>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</si>
  <si>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</si>
  <si>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</si>
  <si>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</si>
  <si>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</si>
  <si>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</si>
  <si>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</si>
  <si>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</si>
  <si>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</si>
  <si>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</si>
  <si>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</si>
  <si>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</si>
  <si>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</si>
  <si>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</si>
  <si>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</si>
  <si>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</si>
  <si>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</si>
  <si>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</si>
  <si>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</si>
  <si>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</si>
  <si>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</si>
  <si>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</si>
  <si>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</si>
  <si>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</si>
  <si>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</si>
  <si>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</si>
  <si>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</si>
  <si>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</si>
  <si>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</si>
  <si>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</si>
  <si>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</si>
  <si>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</si>
  <si>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</si>
  <si>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</si>
  <si>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</si>
  <si>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</si>
  <si>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</si>
  <si>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</si>
  <si>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</si>
  <si>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</si>
  <si>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</si>
  <si>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</si>
  <si>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</si>
  <si>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</si>
  <si>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</si>
  <si>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</si>
  <si>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</si>
  <si>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</si>
  <si>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</si>
  <si>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</si>
  <si>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</si>
  <si>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</si>
  <si>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</si>
  <si>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</si>
  <si>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</si>
  <si>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</si>
  <si>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</si>
  <si>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</si>
  <si>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</si>
  <si>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</si>
  <si>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</si>
  <si>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</si>
  <si>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</si>
  <si>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</si>
  <si>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</si>
  <si>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</si>
  <si>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</si>
  <si>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</si>
  <si>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</si>
  <si>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</si>
  <si>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</si>
  <si>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</si>
  <si>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</si>
  <si>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</si>
  <si>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</si>
  <si>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</si>
  <si>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</si>
  <si>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</si>
  <si>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</si>
  <si>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</si>
  <si>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</si>
  <si>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</si>
  <si>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</si>
  <si>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</si>
  <si>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</si>
  <si>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</si>
  <si>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</si>
  <si>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</si>
  <si>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</si>
  <si>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</si>
  <si>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</si>
  <si>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</si>
  <si>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</si>
  <si>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</si>
  <si>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</si>
  <si>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</si>
  <si>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</si>
  <si>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</si>
  <si>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</si>
  <si>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</si>
  <si>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</si>
  <si>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</si>
  <si>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</si>
  <si>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</si>
  <si>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</si>
  <si>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</si>
  <si>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</si>
  <si>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</si>
  <si>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</si>
  <si>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</si>
  <si>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</si>
  <si>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</si>
  <si>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</si>
  <si>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</si>
  <si>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</si>
  <si>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</si>
  <si>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</si>
  <si>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</si>
  <si>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</si>
  <si>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</si>
  <si>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</si>
  <si>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</si>
  <si>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</si>
  <si>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</si>
  <si>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</si>
  <si>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</si>
  <si>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</si>
  <si>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</si>
  <si>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</si>
  <si>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</si>
  <si>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</si>
  <si>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</si>
  <si>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</si>
  <si>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</si>
  <si>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</si>
  <si>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</si>
  <si>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</si>
  <si>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</si>
  <si>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</si>
  <si>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</si>
  <si>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</si>
  <si>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</si>
  <si>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</si>
  <si>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</si>
  <si>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</si>
  <si>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</si>
  <si>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</si>
  <si>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</si>
  <si>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</si>
  <si>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</si>
  <si>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</si>
  <si>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</si>
  <si>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</si>
  <si>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</si>
  <si>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</si>
  <si>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</si>
  <si>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</si>
  <si>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</si>
  <si>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</si>
  <si>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</si>
  <si>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</si>
  <si>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</si>
  <si>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</si>
  <si>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</si>
  <si>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</si>
  <si>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</si>
  <si>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</si>
  <si>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</si>
  <si>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</si>
  <si>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</si>
  <si>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</si>
  <si>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</si>
  <si>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</si>
  <si>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</si>
  <si>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</si>
  <si>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</si>
  <si>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</si>
  <si>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</si>
  <si>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</si>
  <si>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</si>
  <si>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</si>
  <si>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</si>
  <si>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</si>
  <si>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</si>
  <si>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</si>
  <si>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</si>
  <si>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</si>
  <si>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</si>
  <si>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</si>
  <si>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</si>
  <si>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</si>
  <si>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</si>
  <si>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</si>
  <si>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</si>
  <si>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</si>
  <si>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</si>
  <si>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</si>
  <si>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</si>
  <si>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</si>
  <si>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</si>
  <si>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</si>
  <si>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</si>
  <si>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</si>
  <si>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</si>
  <si>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</si>
  <si>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</si>
  <si>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</si>
  <si>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</si>
  <si>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</si>
  <si>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</si>
  <si>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</si>
  <si>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</si>
  <si>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</si>
  <si>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</si>
  <si>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</si>
  <si>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</si>
  <si>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</si>
  <si>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</si>
  <si>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</si>
  <si>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</si>
  <si>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</si>
  <si>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</si>
  <si>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</si>
  <si>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</si>
  <si>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</si>
  <si>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</si>
  <si>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</si>
  <si>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</si>
  <si>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</si>
  <si>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</si>
  <si>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</si>
  <si>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</si>
  <si>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</si>
  <si>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</si>
  <si>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</si>
  <si>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</si>
  <si>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</si>
  <si>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</si>
  <si>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</si>
  <si>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</si>
  <si>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</si>
  <si>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</si>
  <si>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</si>
  <si>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</si>
  <si>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</si>
  <si>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</si>
  <si>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</si>
  <si>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</si>
  <si>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</si>
  <si>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</si>
  <si>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</si>
  <si>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</si>
  <si>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</si>
  <si>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</si>
  <si>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</si>
  <si>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</si>
  <si>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</si>
  <si>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</si>
  <si>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</si>
  <si>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</si>
  <si>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</si>
  <si>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</si>
  <si>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</si>
  <si>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</si>
  <si>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</si>
  <si>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</si>
  <si>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</si>
  <si>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</si>
  <si>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</si>
  <si>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</si>
  <si>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</si>
  <si>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</si>
  <si>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</si>
  <si>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</si>
  <si>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</si>
  <si>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</si>
  <si>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</si>
  <si>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</si>
  <si>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</si>
  <si>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</si>
  <si>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</si>
  <si>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</si>
  <si>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</si>
  <si>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</si>
  <si>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</si>
  <si>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</si>
  <si>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</si>
  <si>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</si>
  <si>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</si>
  <si>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</si>
  <si>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</si>
  <si>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</si>
  <si>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</si>
  <si>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</si>
  <si>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</si>
  <si>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</si>
  <si>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</si>
  <si>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</si>
  <si>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</si>
  <si>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</si>
  <si>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</si>
  <si>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</si>
  <si>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</si>
  <si>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</si>
  <si>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</si>
  <si>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</si>
  <si>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</si>
  <si>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</si>
  <si>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</si>
  <si>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</si>
  <si>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</si>
  <si>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</si>
  <si>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</si>
  <si>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</si>
  <si>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</si>
  <si>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</si>
  <si>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</si>
  <si>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</si>
  <si>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</si>
  <si>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</si>
  <si>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</si>
  <si>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</si>
  <si>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</si>
  <si>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</si>
  <si>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</si>
  <si>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</si>
  <si>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</si>
  <si>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</si>
  <si>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</si>
  <si>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</si>
  <si>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</si>
  <si>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</si>
  <si>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</si>
  <si>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</si>
  <si>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</si>
  <si>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</si>
  <si>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</si>
  <si>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</si>
  <si>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</si>
  <si>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</si>
  <si>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</si>
  <si>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</si>
  <si>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</si>
  <si>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</si>
  <si>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</si>
  <si>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</si>
  <si>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</si>
  <si>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</si>
  <si>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</si>
  <si>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</si>
  <si>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</si>
  <si>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</si>
  <si>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</si>
  <si>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</si>
  <si>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</si>
  <si>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</si>
  <si>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</si>
  <si>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</si>
  <si>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</si>
  <si>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</si>
  <si>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</si>
  <si>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</si>
  <si>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</si>
  <si>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</si>
  <si>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</si>
  <si>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</si>
  <si>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</si>
  <si>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</si>
  <si>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</si>
  <si>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</si>
  <si>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</si>
  <si>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</si>
  <si>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</si>
  <si>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</si>
  <si>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</si>
  <si>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</si>
  <si>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</si>
  <si>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</si>
  <si>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</si>
  <si>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</si>
  <si>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</si>
  <si>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</si>
  <si>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</si>
  <si>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</si>
  <si>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</si>
  <si>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</si>
  <si>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</si>
  <si>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</si>
  <si>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</si>
  <si>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</si>
  <si>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</si>
  <si>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</si>
  <si>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</si>
  <si>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</si>
  <si>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</si>
  <si>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</si>
  <si>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</si>
  <si>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</si>
  <si>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</si>
  <si>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</si>
  <si>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</si>
  <si>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</si>
  <si>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UPSET! Normal winner is 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</si>
  <si>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</si>
  <si>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</si>
  <si>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</si>
  <si>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</si>
  <si>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</si>
  <si>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</si>
  <si>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</si>
  <si>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</si>
  <si>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</si>
  <si>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</si>
  <si>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</si>
  <si>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</si>
  <si>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</si>
  <si>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</si>
  <si>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</si>
  <si>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</si>
  <si>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</si>
  <si>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</si>
  <si>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UPSET! Normal winner is Brigham Young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</si>
  <si>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</si>
  <si>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</si>
  <si>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</si>
  <si>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</si>
  <si>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</si>
  <si>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</si>
  <si>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</si>
  <si>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</si>
  <si>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</si>
  <si>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</si>
  <si>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</si>
  <si>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446 - 55 :Ohio State</t>
  </si>
  <si>
    <t>St. John's (NY): 205 - 296 :Kansas</t>
  </si>
  <si>
    <t>South Florida: 215 - 286 :Michigan State</t>
  </si>
  <si>
    <t>UCF: 197 - 304 :Connecticut</t>
  </si>
  <si>
    <t>Florida: 463 - 38 :Iowa</t>
  </si>
  <si>
    <t>Vanderbilt: 197 - 304 :Nebraska</t>
  </si>
  <si>
    <t>North Carolina: 218 - 283 :Illinois</t>
  </si>
  <si>
    <t>Saint Mary's (CA): 301 - 200 :Houston</t>
  </si>
  <si>
    <t>UPSET! Normal winner is Arizona</t>
  </si>
  <si>
    <t>UPSET! Normal winner is Arkansas</t>
  </si>
  <si>
    <t>Texas: 177 - 324 :Gonzaga</t>
  </si>
  <si>
    <t>Miami (FL): 235 - 266 :Purdue</t>
  </si>
  <si>
    <t>Michigan: 381 - 120 :Saint Louis</t>
  </si>
  <si>
    <t>UPSET! Normal winner is Texas Tech</t>
  </si>
  <si>
    <t>Miami (OH): 325 - 176 :Virginia</t>
  </si>
  <si>
    <t>Kentucky: 126 - 375 :Iowa State</t>
  </si>
  <si>
    <t>UPSET! Normal winner is Duke</t>
  </si>
  <si>
    <t>Michigan State: 213 - 288 :Connecticut</t>
  </si>
  <si>
    <t>Florida: 394 - 107 :Nebraska</t>
  </si>
  <si>
    <t>UPSET! Normal winner is Saint Mary's (CA)</t>
  </si>
  <si>
    <t>Villanova: 279 - 222 :Wisconsin</t>
  </si>
  <si>
    <t>Gonzaga: 272 - 229 :Purdue</t>
  </si>
  <si>
    <t>UPSET! Normal winner is Alabama</t>
  </si>
  <si>
    <t>Miami (OH): 227 - 274 :Iowa State</t>
  </si>
  <si>
    <t>Kansas: 310 - 191 :Connecticut</t>
  </si>
  <si>
    <t>Florida: 347 - 154 :Illinois</t>
  </si>
  <si>
    <t>UPSET! Normal winner is Gonzaga</t>
  </si>
  <si>
    <t>Michigan: 292 - 209 :Iowa State</t>
  </si>
  <si>
    <t>UPSET! Normal winner is Florida</t>
  </si>
  <si>
    <t>Villanova: 177 - 324 :Michigan</t>
  </si>
  <si>
    <t>Kansas: 242 - 259 :Michigan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</si>
</sst>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TCU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</v>
      </c>
      <c r="M6" s="82" t="e" vm="68">
        <f>_xlfn.XLOOKUP(I6,Teams!$C:$C,Teams!$E:$E,,0,1)</f>
        <v>#VALUE!</v>
      </c>
      <c r="N6" s="82">
        <v>0.4</v>
      </c>
      <c r="O6" s="189" t="str">
        <f t="shared" si="3"/>
        <v>Ohio State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Brigham Young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0.46</v>
      </c>
      <c r="M25" s="82" t="e" vm="106">
        <f>_xlfn.XLOOKUP(I25,Teams!$C:$C,Teams!$E:$E,,0,1)</f>
        <v>#VALUE!</v>
      </c>
      <c r="N25" s="82">
        <v>0.54</v>
      </c>
      <c r="O25" s="189" t="str">
        <f t="shared" si="3"/>
        <v>Texas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Ohio State</v>
      </c>
      <c r="C38" s="91" t="str">
        <f t="shared" ref="C38:C53" si="7">IF(O38="","",IF(A38=O38,B38,A38))</f>
        <v>Ohio State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732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0.89</v>
      </c>
      <c r="M38" s="84" t="e" vm="67">
        <f>_xlfn.XLOOKUP(I38,Teams!$C:$C,Teams!$E:$E,,0,1)</f>
        <v>#VALUE!</v>
      </c>
      <c r="N38" s="84">
        <v>0.11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Arizona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0.2</v>
      </c>
      <c r="M46" s="84" t="e" vm="99">
        <f>_xlfn.XLOOKUP(I46,Teams!$C:$C,Teams!$E:$E,,0,1)</f>
        <v>#VALUE!</v>
      </c>
      <c r="N46" s="84">
        <v>0.8</v>
      </c>
      <c r="O46" s="194" t="str">
        <f t="shared" si="9"/>
        <v>Villanova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Arkansas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0.63</v>
      </c>
      <c r="M47" s="82" t="e" vm="103">
        <f>_xlfn.XLOOKUP(I47,Teams!$C:$C,Teams!$E:$E,,0,1)</f>
        <v>#VALUE!</v>
      </c>
      <c r="N47" s="82">
        <v>0.37</v>
      </c>
      <c r="O47" s="189" t="str">
        <f t="shared" si="9"/>
        <v>Wisconsin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Texas</v>
      </c>
      <c r="B48" s="152" t="str">
        <f t="shared" si="11"/>
        <v>Gonzaga</v>
      </c>
      <c r="C48" s="152" t="str">
        <f t="shared" si="7"/>
        <v>Texas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138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0.35</v>
      </c>
      <c r="M48" s="82" t="e" vm="107">
        <f>_xlfn.XLOOKUP(I48,Teams!$C:$C,Teams!$E:$E,,0,1)</f>
        <v>#VALUE!</v>
      </c>
      <c r="N48" s="82">
        <v>0.65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Texas Tech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0.31</v>
      </c>
      <c r="M51" s="83" t="e" vm="119">
        <f>_xlfn.XLOOKUP(I51,Teams!$C:$C,Teams!$E:$E,,0,1)</f>
        <v>#VALUE!</v>
      </c>
      <c r="N51" s="83">
        <v>0.69</v>
      </c>
      <c r="O51" s="192" t="str">
        <f t="shared" si="9"/>
        <v>Alabama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0.4</v>
      </c>
      <c r="M55" s="97" t="e" vm="71">
        <f>_xlfn.XLOOKUP(I55,Teams!$C:$C,Teams!$E:$E,,0,1)</f>
        <v>#VALUE!</v>
      </c>
      <c r="N55" s="97">
        <v>0.6</v>
      </c>
      <c r="O55" s="188" t="str">
        <f t="shared" ref="O55:O62" si="14">IF(L55&gt;N55,G55,I55)</f>
        <v>Kansas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Saint Mary's (CA)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0.52</v>
      </c>
      <c r="M58" s="151" t="e" vm="93">
        <f>_xlfn.XLOOKUP(I58,Teams!$C:$C,Teams!$E:$E,,0,1)</f>
        <v>#VALUE!</v>
      </c>
      <c r="N58" s="151">
        <v>0.48</v>
      </c>
      <c r="O58" s="197" t="str">
        <f t="shared" si="14"/>
        <v>Illinois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Villanova</v>
      </c>
      <c r="B59" s="152" t="str">
        <f t="shared" si="16"/>
        <v>Wisconsin</v>
      </c>
      <c r="C59" s="152" t="str">
        <f t="shared" si="12"/>
        <v>Wisconsin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1056</v>
      </c>
      <c r="H59" s="181" t="s">
        <v>9</v>
      </c>
      <c r="I59" s="132" t="s">
        <v>96</v>
      </c>
      <c r="J59" s="133" cm="1">
        <f t="array" ref="J59">_xlfn.XLOOKUP(I59,Teams[[#All],[Team]],Teams[[#All],[Seed]],0,0,1)</f>
        <v>5</v>
      </c>
      <c r="K59" s="84" t="e" vm="99">
        <f>_xlfn.XLOOKUP(G59,Teams!$C:$C,Teams!$E:$E,,0,1)</f>
        <v>#VALUE!</v>
      </c>
      <c r="L59" s="84">
        <v>0.56000000000000005</v>
      </c>
      <c r="M59" s="84" t="e" vm="101">
        <f>_xlfn.XLOOKUP(I59,Teams!$C:$C,Teams!$E:$E,,0,1)</f>
        <v>#VALUE!</v>
      </c>
      <c r="N59" s="84">
        <v>0.44</v>
      </c>
      <c r="O59" s="194" t="str">
        <f t="shared" si="14"/>
        <v>Villanova</v>
      </c>
      <c r="P59" s="209" t="e" vm="99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Alabama</v>
      </c>
      <c r="C61" s="91" t="str">
        <f t="shared" si="12"/>
        <v>Alabama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32</v>
      </c>
      <c r="J61" s="144" cm="1">
        <f t="array" ref="J61">_xlfn.XLOOKUP(I61,Teams[[#All],[Team]],Teams[[#All],[Seed]],0,0,1)</f>
        <v>4</v>
      </c>
      <c r="K61" s="145" t="e" vm="113">
        <f>_xlfn.XLOOKUP(G61,Teams!$C:$C,Teams!$E:$E,,0,1)</f>
        <v>#VALUE!</v>
      </c>
      <c r="L61" s="145">
        <v>0.52</v>
      </c>
      <c r="M61" s="145" t="e" vm="119">
        <f>_xlfn.XLOOKUP(I61,Teams!$C:$C,Teams!$E:$E,,0,1)</f>
        <v>#VALUE!</v>
      </c>
      <c r="N61" s="145">
        <v>0.48</v>
      </c>
      <c r="O61" s="196" t="str">
        <f t="shared" si="14"/>
        <v>Michigan</v>
      </c>
      <c r="P61" s="211" t="e" vm="113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0.45</v>
      </c>
      <c r="M62" s="151" t="e" vm="127">
        <f>_xlfn.XLOOKUP(I62,Teams!$C:$C,Teams!$E:$E,,0,1)</f>
        <v>#VALUE!</v>
      </c>
      <c r="N62" s="151">
        <v>0.55000000000000004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Kansas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110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71">
        <f>_xlfn.XLOOKUP(G64,Teams!$C:$C,Teams!$E:$E,,0,1)</f>
        <v>#VALUE!</v>
      </c>
      <c r="L64" s="158">
        <v>0.62</v>
      </c>
      <c r="M64" s="158" t="e" vm="79">
        <f>_xlfn.XLOOKUP(I64,Teams!$C:$C,Teams!$E:$E,,0,1)</f>
        <v>#VALUE!</v>
      </c>
      <c r="N64" s="158">
        <v>0.38</v>
      </c>
      <c r="O64" s="198" t="str">
        <f>IF(L64&gt;N64,G64,I64)</f>
        <v>Kansas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Illinois</v>
      </c>
      <c r="C65" s="91" t="str">
        <f>IF(O65="","",IF(A65=O65,B65,A65))</f>
        <v>Illinois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133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0.69</v>
      </c>
      <c r="M65" s="164" t="e" vm="91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Villanova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8</v>
      </c>
      <c r="G66" s="155" t="s">
        <v>1056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9">
        <f>_xlfn.XLOOKUP(G66,Teams!$C:$C,Teams!$E:$E,,0,1)</f>
        <v>#VALUE!</v>
      </c>
      <c r="L66" s="158">
        <v>0.62</v>
      </c>
      <c r="M66" s="158" t="e" vm="107">
        <f>_xlfn.XLOOKUP(I66,Teams!$C:$C,Teams!$E:$E,,0,1)</f>
        <v>#VALUE!</v>
      </c>
      <c r="N66" s="158">
        <v>0.38</v>
      </c>
      <c r="O66" s="198" t="str">
        <f>IF(L66&gt;N66,G66,I66)</f>
        <v>Villanova</v>
      </c>
      <c r="P66" s="204" t="e" vm="99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Michigan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120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3">
        <f>_xlfn.XLOOKUP(G67,Teams!$C:$C,Teams!$E:$E,,0,1)</f>
        <v>#VALUE!</v>
      </c>
      <c r="L67" s="164">
        <v>0.57999999999999996</v>
      </c>
      <c r="M67" s="164" t="e" vm="127">
        <f>_xlfn.XLOOKUP(I67,Teams!$C:$C,Teams!$E:$E,,0,1)</f>
        <v>#VALUE!</v>
      </c>
      <c r="N67" s="164">
        <v>0.42</v>
      </c>
      <c r="O67" s="199" t="str">
        <f>IF(L67&gt;N67,G67,I67)</f>
        <v>Michigan</v>
      </c>
      <c r="P67" s="207" t="e" vm="113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Kansas</v>
      </c>
      <c r="B69" s="91" t="str">
        <f>I69</f>
        <v>Florida</v>
      </c>
      <c r="C69" s="91" t="str">
        <f>IF(O69="","",IF(A69=O69,B69,A69))</f>
        <v>Florida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110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1">
        <f>_xlfn.XLOOKUP(G69,Teams!$C:$C,Teams!$E:$E,,0,1)</f>
        <v>#VALUE!</v>
      </c>
      <c r="L69" s="170">
        <v>0.67</v>
      </c>
      <c r="M69" s="170" t="e" vm="81">
        <f>_xlfn.XLOOKUP(I69,Teams!$C:$C,Teams!$E:$E,,0,1)</f>
        <v>#VALUE!</v>
      </c>
      <c r="N69" s="170">
        <v>0.33</v>
      </c>
      <c r="O69" s="200" t="str">
        <f>IF(L69&gt;N69,G69,I69)</f>
        <v>Kansas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Villanova</v>
      </c>
      <c r="B70" s="91" t="str">
        <f>I70</f>
        <v>Michigan</v>
      </c>
      <c r="C70" s="91" t="str">
        <f>IF(O70="","",IF(A70=O70,B70,A70))</f>
        <v>Villanova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8</v>
      </c>
      <c r="G70" s="161" t="s">
        <v>1056</v>
      </c>
      <c r="H70" s="186" t="s">
        <v>9</v>
      </c>
      <c r="I70" s="162" t="s">
        <v>120</v>
      </c>
      <c r="J70" s="163" cm="1">
        <f t="array" ref="J70">_xlfn.XLOOKUP(I70,Teams[[#All],[Team]],Teams[[#All],[Seed]],0,0,1)</f>
        <v>1</v>
      </c>
      <c r="K70" s="164" t="e" vm="99">
        <f>_xlfn.XLOOKUP(G70,Teams!$C:$C,Teams!$E:$E,,0,1)</f>
        <v>#VALUE!</v>
      </c>
      <c r="L70" s="164">
        <v>0.35</v>
      </c>
      <c r="M70" s="164" t="e" vm="113">
        <f>_xlfn.XLOOKUP(I70,Teams!$C:$C,Teams!$E:$E,,0,1)</f>
        <v>#VALUE!</v>
      </c>
      <c r="N70" s="164">
        <v>0.65</v>
      </c>
      <c r="O70" s="199" t="str">
        <f>IF(L70&gt;N70,G70,I70)</f>
        <v>Michigan</v>
      </c>
      <c r="P70" s="213" t="e" vm="113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Kansas</v>
      </c>
      <c r="B72" s="91" t="str">
        <f>I72</f>
        <v>Michigan</v>
      </c>
      <c r="C72" s="91" t="str">
        <f>IF(O72="","",IF(A72=O72,B72,A72))</f>
        <v>Kansas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4</v>
      </c>
      <c r="G72" s="155" t="s">
        <v>110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1</v>
      </c>
      <c r="K72" s="158" t="e" vm="71">
        <f>_xlfn.XLOOKUP(G72,Teams!$C:$C,Teams!$E:$E,,0,1)</f>
        <v>#VALUE!</v>
      </c>
      <c r="L72" s="158">
        <v>0.48</v>
      </c>
      <c r="M72" s="158" t="e" vm="113">
        <f>_xlfn.XLOOKUP(I72,Teams!$C:$C,Teams!$E:$E,,0,1)</f>
        <v>#VALUE!</v>
      </c>
      <c r="N72" s="158">
        <v>0.52</v>
      </c>
      <c r="O72" s="198" t="str">
        <f>IF(L72&gt;N72,G72,I72)</f>
        <v>Michigan</v>
      </c>
      <c r="P72" s="205" t="e" vm="113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0.2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0.56000000000000005</v>
      </c>
      <c r="AF7" s="297" t="e" vm="99">
        <f>_xlfn.XLOOKUP(AG7,Teams!$C:$C,Teams!$E:$E,,0,1)</f>
        <v>#VALUE!</v>
      </c>
      <c r="AG7" s="262" t="str">
        <f>Games!O46</f>
        <v>Villanova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0.6</v>
      </c>
      <c r="F9" s="262" t="str">
        <f>Games!O6</f>
        <v>Ohio State</v>
      </c>
      <c r="G9" s="247" t="e" vm="67">
        <f>_xlfn.XLOOKUP(F9,Teams!$C:$C,Teams!$E:$E,,0,1)</f>
        <v>#VALUE!</v>
      </c>
      <c r="H9" s="277">
        <f>Games!N38</f>
        <v>0.11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0.8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0.4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Kansas</v>
      </c>
      <c r="M11" s="247" t="e" vm="71">
        <f>_xlfn.XLOOKUP(L11,Teams!$C:$C,Teams!$E:$E,,0,1)</f>
        <v>#VALUE!</v>
      </c>
      <c r="N11" s="264">
        <f>Games!L64</f>
        <v>0.62</v>
      </c>
      <c r="O11" s="25"/>
      <c r="P11" s="25"/>
      <c r="R11" s="25"/>
      <c r="S11" s="25"/>
      <c r="T11" s="251" t="e" vm="113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0.62</v>
      </c>
      <c r="AC11" s="249" t="e" vm="99">
        <f>_xlfn.XLOOKUP(AD11,Teams!$C:$C,Teams!$E:$E,,0,1)</f>
        <v>#VALUE!</v>
      </c>
      <c r="AD11" s="262" t="str">
        <f>Games!O59</f>
        <v>Villanova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0.63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0.6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0.44</v>
      </c>
      <c r="AF15" s="249" t="e" vm="101">
        <f>_xlfn.XLOOKUP(AG15,Teams!$C:$C,Teams!$E:$E,,0,1)</f>
        <v>#VALUE!</v>
      </c>
      <c r="AG15" s="262" t="str">
        <f>Games!O47</f>
        <v>Wisconsin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0.37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Kansas</v>
      </c>
      <c r="P19" s="247" t="e" vm="71">
        <f>_xlfn.XLOOKUP(O19,Teams!$C:$C,Teams!$E:$E,,0,1)</f>
        <v>#VALUE!</v>
      </c>
      <c r="Q19" s="264">
        <f>Games!L69</f>
        <v>0.67</v>
      </c>
      <c r="R19" s="25"/>
      <c r="S19" s="25"/>
      <c r="T19" s="257"/>
      <c r="U19" s="258"/>
      <c r="V19" s="259"/>
      <c r="W19" s="25"/>
      <c r="X19" s="25"/>
      <c r="Y19" s="264">
        <f>Games!L70</f>
        <v>0.35</v>
      </c>
      <c r="Z19" s="249" t="e" vm="99">
        <f>_xlfn.XLOOKUP(AA19,Teams!$C:$C,Teams!$E:$E,,0,1)</f>
        <v>#VALUE!</v>
      </c>
      <c r="AA19" s="262" t="str">
        <f>Games!O66</f>
        <v>Villanova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0.35</v>
      </c>
      <c r="AI21" s="249" t="e" vm="106">
        <f>_xlfn.XLOOKUP(AJ21,Teams!$C:$C,Teams!$E:$E,,0,1)</f>
        <v>#VALUE!</v>
      </c>
      <c r="AJ21" s="262" t="str">
        <f>Games!O25</f>
        <v>Texas</v>
      </c>
      <c r="AK21" s="58">
        <f>Games!L25</f>
        <v>0.46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0.54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0.65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0.38</v>
      </c>
      <c r="O27" s="25"/>
      <c r="P27" s="25"/>
      <c r="Q27" s="50"/>
      <c r="R27" s="279" t="str">
        <f>Games!O69</f>
        <v>Kansas</v>
      </c>
      <c r="S27" s="262"/>
      <c r="T27" s="262"/>
      <c r="U27" s="289" t="e" vm="71">
        <f>_xlfn.XLOOKUP(R27,Teams!$C:$C,Teams!$E:$E,,0,1)</f>
        <v>#VALUE!</v>
      </c>
      <c r="V27" s="267">
        <f>Games!L72</f>
        <v>0.48</v>
      </c>
      <c r="W27" s="24"/>
      <c r="X27" s="25"/>
      <c r="Y27" s="56"/>
      <c r="AA27" s="25"/>
      <c r="AB27" s="269">
        <f>Games!N66</f>
        <v>0.38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Michigan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0.52</v>
      </c>
      <c r="U39" s="293" t="e" vm="113">
        <f>_xlfn.XLOOKUP(V39,Teams!$C:$C,Teams!$E:$E,,0,1)</f>
        <v>#VALUE!</v>
      </c>
      <c r="V39" s="262" t="str">
        <f>Games!O70</f>
        <v>Michigan</v>
      </c>
      <c r="W39" s="262"/>
      <c r="X39" s="295"/>
      <c r="Y39" s="56"/>
      <c r="AA39" s="25"/>
      <c r="AD39" s="25"/>
      <c r="AE39" s="269">
        <f>Games!L61</f>
        <v>0.52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0.57999999999999996</v>
      </c>
      <c r="AC43" s="249" t="e" vm="113">
        <f>_xlfn.XLOOKUP(AD43,Teams!$C:$C,Teams!$E:$E,,0,1)</f>
        <v>#VALUE!</v>
      </c>
      <c r="AD43" s="291" t="str">
        <f>Games!O61</f>
        <v>Michigan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0.31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0.48</v>
      </c>
      <c r="AF47" s="249" t="e" vm="119">
        <f>_xlfn.XLOOKUP(AG47,Teams!$C:$C,Teams!$E:$E,,0,1)</f>
        <v>#VALUE!</v>
      </c>
      <c r="AG47" s="262" t="str">
        <f>Games!O51</f>
        <v>Alabama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0.69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0.33</v>
      </c>
      <c r="R51" s="25"/>
      <c r="S51" s="25"/>
      <c r="T51" s="25"/>
      <c r="U51" s="75"/>
      <c r="V51" s="25"/>
      <c r="W51" s="25"/>
      <c r="X51" s="25"/>
      <c r="Y51" s="269">
        <f>Games!N70</f>
        <v>0.65</v>
      </c>
      <c r="Z51" s="249" t="e" vm="113">
        <f>_xlfn.XLOOKUP(AA51,Teams!$C:$C,Teams!$E:$E,,0,1)</f>
        <v>#VALUE!</v>
      </c>
      <c r="AA51" s="262" t="str">
        <f>Games!O67</f>
        <v>Michigan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0.65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0.52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0.45</v>
      </c>
      <c r="AF55" s="249" t="e" vm="122">
        <f>_xlfn.XLOOKUP(AG55,Teams!$C:$C,Teams!$E:$E,,0,1)</f>
        <v>#VALUE!</v>
      </c>
      <c r="AG55" s="262" t="str">
        <f>Games!O52</f>
        <v>Miami (OH)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0.35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Illinois</v>
      </c>
      <c r="M59" s="247" t="e" vm="91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0.42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0.48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0.55000000000000004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