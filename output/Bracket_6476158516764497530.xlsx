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13_ncr:1_{C93895EC-5257-444E-BEF3-BC2B32264B0F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P11" i="2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<sst xmlns="http://schemas.openxmlformats.org/spreadsheetml/2006/main" count="1527" uniqueCount="1194">
  <si>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</si>
  <si>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</si>
  <si>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</si>
  <si>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</si>
  <si>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</si>
  <si>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</si>
  <si>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</si>
  <si>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</si>
  <si>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</si>
  <si>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</si>
  <si>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</si>
  <si>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</si>
  <si>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</si>
  <si>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</si>
  <si>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</si>
  <si>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</si>
  <si>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</si>
  <si>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</si>
  <si>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</si>
  <si>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</si>
  <si>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</si>
  <si>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</si>
  <si>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</si>
  <si>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</si>
  <si>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</si>
  <si>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</si>
  <si>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</si>
  <si>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</si>
  <si>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</si>
  <si>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</si>
  <si>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</si>
  <si>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</si>
  <si>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</si>
  <si>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</si>
  <si>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</si>
  <si>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</si>
  <si>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</si>
  <si>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</si>
  <si>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</si>
  <si>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</si>
  <si>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</si>
  <si>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</si>
  <si>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</si>
  <si>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</si>
  <si>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</si>
  <si>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</si>
  <si>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</si>
  <si>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</si>
  <si>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</si>
  <si>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</si>
  <si>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</si>
  <si>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</si>
  <si>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</si>
  <si>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</si>
  <si>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</si>
  <si>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</si>
  <si>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</si>
  <si>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</si>
  <si>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</si>
  <si>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</si>
  <si>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</si>
  <si>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</si>
  <si>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</si>
  <si>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</si>
  <si>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</si>
  <si>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</si>
  <si>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</si>
  <si>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</si>
  <si>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</si>
  <si>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</si>
  <si>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</si>
  <si>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</si>
  <si>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</si>
  <si>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</si>
  <si>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</si>
  <si>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</si>
  <si>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</si>
  <si>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</si>
  <si>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</si>
  <si>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</si>
  <si>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</si>
  <si>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</si>
  <si>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</si>
  <si>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</si>
  <si>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</si>
  <si>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</si>
  <si>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</si>
  <si>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</si>
  <si>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</si>
  <si>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</si>
  <si>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</si>
  <si>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</si>
  <si>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</si>
  <si>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</si>
  <si>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</si>
  <si>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</si>
  <si>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</si>
  <si>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</si>
  <si>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</si>
  <si>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</si>
  <si>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</si>
  <si>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</si>
  <si>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</si>
  <si>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</si>
  <si>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</si>
  <si>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</si>
  <si>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</si>
  <si>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</si>
  <si>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</si>
  <si>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</si>
  <si>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</si>
  <si>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</si>
  <si>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</si>
  <si>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</si>
  <si>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</si>
  <si>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</si>
  <si>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</si>
  <si>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</si>
  <si>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</si>
  <si>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</si>
  <si>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</si>
  <si>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</si>
  <si>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</si>
  <si>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</si>
  <si>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</si>
  <si>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</si>
  <si>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</si>
  <si>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</si>
  <si>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</si>
  <si>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</si>
  <si>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</si>
  <si>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</si>
  <si>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</si>
  <si>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</si>
  <si>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</si>
  <si>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</si>
  <si>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</si>
  <si>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</si>
  <si>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</si>
  <si>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</si>
  <si>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</si>
  <si>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</si>
  <si>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</si>
  <si>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</si>
  <si>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</si>
  <si>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</si>
  <si>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</si>
  <si>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</si>
  <si>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</si>
  <si>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</si>
  <si>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</si>
  <si>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</si>
  <si>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</si>
  <si>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</si>
  <si>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</si>
  <si>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</si>
  <si>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</si>
  <si>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</si>
  <si>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</si>
  <si>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</si>
  <si>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</si>
  <si>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</si>
  <si>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</si>
  <si>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</si>
  <si>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</si>
  <si>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</si>
  <si>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</si>
  <si>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</si>
  <si>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</si>
  <si>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</si>
  <si>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</si>
  <si>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</si>
  <si>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</si>
  <si>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</si>
  <si>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</si>
  <si>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</si>
  <si>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</si>
  <si>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</si>
  <si>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</si>
  <si>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</si>
  <si>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</si>
  <si>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</si>
  <si>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</si>
  <si>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</si>
  <si>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</si>
  <si>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</si>
  <si>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</si>
  <si>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</si>
  <si>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</si>
  <si>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</si>
  <si>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</si>
  <si>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</si>
  <si>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</si>
  <si>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</si>
  <si>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</si>
  <si>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</si>
  <si>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</si>
  <si>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</si>
  <si>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</si>
  <si>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</si>
  <si>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</si>
  <si>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</si>
  <si>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</si>
  <si>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</si>
  <si>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</si>
  <si>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</si>
  <si>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</si>
  <si>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</si>
  <si>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</si>
  <si>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</si>
  <si>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</si>
  <si>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</si>
  <si>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</si>
  <si>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</si>
  <si>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</si>
  <si>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</si>
  <si>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</si>
  <si>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</si>
  <si>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</si>
  <si>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</si>
  <si>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</si>
  <si>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</si>
  <si>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</si>
  <si>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</si>
  <si>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</si>
  <si>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</si>
  <si>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</si>
  <si>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</si>
  <si>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</si>
  <si>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</si>
  <si>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</si>
  <si>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</si>
  <si>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</si>
  <si>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</si>
  <si>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</si>
  <si>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</si>
  <si>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</si>
  <si>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</si>
  <si>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</si>
  <si>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</si>
  <si>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</si>
  <si>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</si>
  <si>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</si>
  <si>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</si>
  <si>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</si>
  <si>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</si>
  <si>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</si>
  <si>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</si>
  <si>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</si>
  <si>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</si>
  <si>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</si>
  <si>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</si>
  <si>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</si>
  <si>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</si>
  <si>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</si>
  <si>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</si>
  <si>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</si>
  <si>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</si>
  <si>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</si>
  <si>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</si>
  <si>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</si>
  <si>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</si>
  <si>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</si>
  <si>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</si>
  <si>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</si>
  <si>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</si>
  <si>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</si>
  <si>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</si>
  <si>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</si>
  <si>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</si>
  <si>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</si>
  <si>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</si>
  <si>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</si>
  <si>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</si>
  <si>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</si>
  <si>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</si>
  <si>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</si>
  <si>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</si>
  <si>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</si>
  <si>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</si>
  <si>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</si>
  <si>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</si>
  <si>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</si>
  <si>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</si>
  <si>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</si>
  <si>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</si>
  <si>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</si>
  <si>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</si>
  <si>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</si>
  <si>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</si>
  <si>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</si>
  <si>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</si>
  <si>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</si>
  <si>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</si>
  <si>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</si>
  <si>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</si>
  <si>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</si>
  <si>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</si>
  <si>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</si>
  <si>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</si>
  <si>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</si>
  <si>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</si>
  <si>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</si>
  <si>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</si>
  <si>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</si>
  <si>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</si>
  <si>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</si>
  <si>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</si>
  <si>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</si>
  <si>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</si>
  <si>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</si>
  <si>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</si>
  <si>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</si>
  <si>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</si>
  <si>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</si>
  <si>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</si>
  <si>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</si>
  <si>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</si>
  <si>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</si>
  <si>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</si>
  <si>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</si>
  <si>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</si>
  <si>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</si>
  <si>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</si>
  <si>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</si>
  <si>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</si>
  <si>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</si>
  <si>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</si>
  <si>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</si>
  <si>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</si>
  <si>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</si>
  <si>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</si>
  <si>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</si>
  <si>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</si>
  <si>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</si>
  <si>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</si>
  <si>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</si>
  <si>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</si>
  <si>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</si>
  <si>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</si>
  <si>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</si>
  <si>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</si>
  <si>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</si>
  <si>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</si>
  <si>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</si>
  <si>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</si>
  <si>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</si>
  <si>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</si>
  <si>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</si>
  <si>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</si>
  <si>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</si>
  <si>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</si>
  <si>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</si>
  <si>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</si>
  <si>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</si>
  <si>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</si>
  <si>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</si>
  <si>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</si>
  <si>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</si>
  <si>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</si>
  <si>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</si>
  <si>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</si>
  <si>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</si>
  <si>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</si>
  <si>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</si>
  <si>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</si>
  <si>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</si>
  <si>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</si>
  <si>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</si>
  <si>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</si>
  <si>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</si>
  <si>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</si>
  <si>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</si>
  <si>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</si>
  <si>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</si>
  <si>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</si>
  <si>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</si>
  <si>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</si>
  <si>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</si>
  <si>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</si>
  <si>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</si>
  <si>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</si>
  <si>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</si>
  <si>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</si>
  <si>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</si>
  <si>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</si>
  <si>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</si>
  <si>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</si>
  <si>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</si>
  <si>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</si>
  <si>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</si>
  <si>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</si>
  <si>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</si>
  <si>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</si>
  <si>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</si>
  <si>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</si>
  <si>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</si>
  <si>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</si>
  <si>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</si>
  <si>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</si>
  <si>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</si>
  <si>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</si>
  <si>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</si>
  <si>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</si>
  <si>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</si>
  <si>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</si>
  <si>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</si>
  <si>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</si>
  <si>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</si>
  <si>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</si>
  <si>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</si>
  <si>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</si>
  <si>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</si>
  <si>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</si>
  <si>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</si>
  <si>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</si>
  <si>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</si>
  <si>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</si>
  <si>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</si>
  <si>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</si>
  <si>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</si>
  <si>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</si>
  <si>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</si>
  <si>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</si>
  <si>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</si>
  <si>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</si>
  <si>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</si>
  <si>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</si>
  <si>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</si>
  <si>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</si>
  <si>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</si>
  <si>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</si>
  <si>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</si>
  <si>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</si>
  <si>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</si>
  <si>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</si>
  <si>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</si>
  <si>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</si>
  <si>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</si>
  <si>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</si>
  <si>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</si>
  <si>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</si>
  <si>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</si>
  <si>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</si>
  <si>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</si>
  <si>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</si>
  <si>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</si>
  <si>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</si>
  <si>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</si>
  <si>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</si>
  <si>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</si>
  <si>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</si>
  <si>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</si>
  <si>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</si>
  <si>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</si>
  <si>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</si>
  <si>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</si>
  <si>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</si>
  <si>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</si>
  <si>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</si>
  <si>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</si>
  <si>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</si>
  <si>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</si>
  <si>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</si>
  <si>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</si>
  <si>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</si>
  <si>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</si>
  <si>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</si>
  <si>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</si>
  <si>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</si>
  <si>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</si>
  <si>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</si>
  <si>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</si>
  <si>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</si>
  <si>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</si>
  <si>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</si>
  <si>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</si>
  <si>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</si>
  <si>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</si>
  <si>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</si>
  <si>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</si>
  <si>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</si>
  <si>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</si>
  <si>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</si>
  <si>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</si>
  <si>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</si>
  <si>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</si>
  <si>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</si>
  <si>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</si>
  <si>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</si>
  <si>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</si>
  <si>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</si>
  <si>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</si>
  <si>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</si>
  <si>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</si>
  <si>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</si>
  <si>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</si>
  <si>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</si>
  <si>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</si>
  <si>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</si>
  <si>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</si>
  <si>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</si>
  <si>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</si>
  <si>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</si>
  <si>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</si>
  <si>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</si>
  <si>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</si>
  <si>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</si>
  <si>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</si>
  <si>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</si>
  <si>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</si>
  <si>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</si>
  <si>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</si>
  <si>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</si>
  <si>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</si>
  <si>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</si>
  <si>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</si>
  <si>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</si>
  <si>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</si>
  <si>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</si>
  <si>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</si>
  <si>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</si>
  <si>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</si>
  <si>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</si>
  <si>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</si>
  <si>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</si>
  <si>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</si>
  <si>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</si>
  <si>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</si>
  <si>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</si>
  <si>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</si>
  <si>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</si>
  <si>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</si>
  <si>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</si>
  <si>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</si>
  <si>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</si>
  <si>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</si>
  <si>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</si>
  <si>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</si>
  <si>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</si>
  <si>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</si>
  <si>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</si>
  <si>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</si>
  <si>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</si>
  <si>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</si>
  <si>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</si>
  <si>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</si>
  <si>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</si>
  <si>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</si>
  <si>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</si>
  <si>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</si>
  <si>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</si>
  <si>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</si>
  <si>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</si>
  <si>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</si>
  <si>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</si>
  <si>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</si>
  <si>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</si>
  <si>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</si>
  <si>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</si>
  <si>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</si>
  <si>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</si>
  <si>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</si>
  <si>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</si>
  <si>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</si>
  <si>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</si>
  <si>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</si>
  <si>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</si>
  <si>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</si>
  <si>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</si>
  <si>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</si>
  <si>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</si>
  <si>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</si>
  <si>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</si>
  <si>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</si>
  <si>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</si>
  <si>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</si>
  <si>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</si>
  <si>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</si>
  <si>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</si>
  <si>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</si>
  <si>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</si>
  <si>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</si>
  <si>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</si>
  <si>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</si>
  <si>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</si>
  <si>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</si>
  <si>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</si>
  <si>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</si>
  <si>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</si>
  <si>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</si>
  <si>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</si>
  <si>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</si>
  <si>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</si>
  <si>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</si>
  <si>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</si>
  <si>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</si>
  <si>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</si>
  <si>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</si>
  <si>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</si>
  <si>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</si>
  <si>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</si>
  <si>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</si>
  <si>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</si>
  <si>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</si>
  <si>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</si>
  <si>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</si>
  <si>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</si>
  <si>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</si>
  <si>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</si>
  <si>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</si>
  <si>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</si>
  <si>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</si>
  <si>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</si>
  <si>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</si>
  <si>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</si>
  <si>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</si>
  <si>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</si>
  <si>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</si>
  <si>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</si>
  <si>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</si>
  <si>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</si>
  <si>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</si>
  <si>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</si>
  <si>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</si>
  <si>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</si>
  <si>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</si>
  <si>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</si>
  <si>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</si>
  <si>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</si>
  <si>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</si>
  <si>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</si>
  <si>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</si>
  <si>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</si>
  <si>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</si>
  <si>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</si>
  <si>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</si>
  <si>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</si>
  <si>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</si>
  <si>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</si>
  <si>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</si>
  <si>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</si>
  <si>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</si>
  <si>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</si>
  <si>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</si>
  <si>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</si>
  <si>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</si>
  <si>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</si>
  <si>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</si>
  <si>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</si>
  <si>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</si>
  <si>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</si>
  <si>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</si>
  <si>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</si>
  <si>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</si>
  <si>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</si>
  <si>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</si>
  <si>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</si>
  <si>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</si>
  <si>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</si>
  <si>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</si>
  <si>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</si>
  <si>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</si>
  <si>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</si>
  <si>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</si>
  <si>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</si>
  <si>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</si>
  <si>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</si>
  <si>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</si>
  <si>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</si>
  <si>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</si>
  <si>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</si>
  <si>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</si>
  <si>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</si>
  <si>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</si>
  <si>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</si>
  <si>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</si>
  <si>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</si>
  <si>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</si>
  <si>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</si>
  <si>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</si>
  <si>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</si>
  <si>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</si>
  <si>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</si>
  <si>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</si>
  <si>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</si>
  <si>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</si>
  <si>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</si>
  <si>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</si>
  <si>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</si>
  <si>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</si>
  <si>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</si>
  <si>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</si>
  <si>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</si>
  <si>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</si>
  <si>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</si>
  <si>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</si>
  <si>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</si>
  <si>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</si>
  <si>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</si>
  <si>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</si>
  <si>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</si>
  <si>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</si>
  <si>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</si>
  <si>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</si>
  <si>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</si>
  <si>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</si>
  <si>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</si>
  <si>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</si>
  <si>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</si>
  <si>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</si>
  <si>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</si>
  <si>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</si>
  <si>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</si>
  <si>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</si>
  <si>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</si>
  <si>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</si>
  <si>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</si>
  <si>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</si>
  <si>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</si>
  <si>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</si>
  <si>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</si>
  <si>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</si>
  <si>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</si>
  <si>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</si>
  <si>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</si>
  <si>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</si>
  <si>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</si>
  <si>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</si>
  <si>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</si>
  <si>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</si>
  <si>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</si>
  <si>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</si>
  <si>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</si>
  <si>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</si>
  <si>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</si>
  <si>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</si>
  <si>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</si>
  <si>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</si>
  <si>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</si>
  <si>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</si>
  <si>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</si>
  <si>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</si>
  <si>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</si>
  <si>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</si>
  <si>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</si>
  <si>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</si>
  <si>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</si>
  <si>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</si>
  <si>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</si>
  <si>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</si>
  <si>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</si>
  <si>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</si>
  <si>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</si>
  <si>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</si>
  <si>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</si>
  <si>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</si>
  <si>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</si>
  <si>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</si>
  <si>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</si>
  <si>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</si>
  <si>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</si>
  <si>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</si>
  <si>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</si>
  <si>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</si>
  <si>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</si>
  <si>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</si>
  <si>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</si>
  <si>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</si>
  <si>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</si>
  <si>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</si>
  <si>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</si>
  <si>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</si>
  <si>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</si>
  <si>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</si>
  <si>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</si>
  <si>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</si>
  <si>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</si>
  <si>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</si>
  <si>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</si>
  <si>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</si>
  <si>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</si>
  <si>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</si>
  <si>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</si>
  <si>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</si>
  <si>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</si>
  <si>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</si>
  <si>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</si>
  <si>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</si>
  <si>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</si>
  <si>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</si>
  <si>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</si>
  <si>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</si>
  <si>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</si>
  <si>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</si>
  <si>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</si>
  <si>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</si>
  <si>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</si>
  <si>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</si>
  <si>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</si>
  <si>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</si>
  <si>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</si>
  <si>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</si>
  <si>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</si>
  <si>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</si>
  <si>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</si>
  <si>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</si>
  <si>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</si>
  <si>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</si>
  <si>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</si>
  <si>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</si>
  <si>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</si>
  <si>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</si>
  <si>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</si>
  <si>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</si>
  <si>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</si>
  <si>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</si>
  <si>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</si>
  <si>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</si>
  <si>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</si>
  <si>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</si>
  <si>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</si>
  <si>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</si>
  <si>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</si>
  <si>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</si>
  <si>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</si>
  <si>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</si>
  <si>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</si>
  <si>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</si>
  <si>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</si>
  <si>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</si>
  <si>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</si>
  <si>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</si>
  <si>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</si>
  <si>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</si>
  <si>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</si>
  <si>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</si>
  <si>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</si>
  <si>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</si>
  <si>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</si>
  <si>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</si>
  <si>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</si>
  <si>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</si>
  <si>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</si>
  <si>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</si>
  <si>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</si>
  <si>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</si>
  <si>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</si>
  <si>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</si>
  <si>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</si>
  <si>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</si>
  <si>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</si>
  <si>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</si>
  <si>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</si>
  <si>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</si>
  <si>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</si>
  <si>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</si>
  <si>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</si>
  <si>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</si>
  <si>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</si>
  <si>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</si>
  <si>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</si>
  <si>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</si>
  <si>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</si>
  <si>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</si>
  <si>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</si>
  <si>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</si>
  <si>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</si>
  <si>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</si>
  <si>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</si>
  <si>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</si>
  <si>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</si>
  <si>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</si>
  <si>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</si>
  <si>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</si>
  <si>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</si>
  <si>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</si>
  <si>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</si>
  <si>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</si>
  <si>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</si>
  <si>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</si>
  <si>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</si>
  <si>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</si>
  <si>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</si>
  <si>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</si>
  <si>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</si>
  <si>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</si>
  <si>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</si>
  <si>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</si>
  <si>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</si>
  <si>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</si>
  <si>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</si>
  <si>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</si>
  <si>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</si>
  <si>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</si>
  <si>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</si>
  <si>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</si>
  <si>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</si>
  <si>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</si>
  <si>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</si>
  <si>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</si>
  <si>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</si>
  <si>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</si>
  <si>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</si>
  <si>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</si>
  <si>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</si>
  <si>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</si>
  <si>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</si>
  <si>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</si>
  <si>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</si>
  <si>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</si>
  <si>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</si>
  <si>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</si>
  <si>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</si>
  <si>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</si>
  <si>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</si>
  <si>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</si>
  <si>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</si>
  <si>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</si>
  <si>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</si>
  <si>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</si>
  <si>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</si>
  <si>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</si>
  <si>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</si>
  <si>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</si>
  <si>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</si>
  <si>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</si>
  <si>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</si>
  <si>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</si>
  <si>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</si>
  <si>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</si>
  <si>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</si>
  <si>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</si>
  <si>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</si>
  <si>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</si>
  <si>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</si>
  <si>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</si>
  <si>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</si>
  <si>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</si>
  <si>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</si>
  <si>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</si>
  <si>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</si>
  <si>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</si>
  <si>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</si>
  <si>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</si>
  <si>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</si>
  <si>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</si>
  <si>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</si>
  <si>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</si>
  <si>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</si>
  <si>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</si>
  <si>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</si>
  <si>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</si>
  <si>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</si>
  <si>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</si>
  <si>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</si>
  <si>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</si>
  <si>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</si>
  <si>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</si>
  <si>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</si>
  <si>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</si>
  <si>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</si>
  <si>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</si>
  <si>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</si>
  <si>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</si>
  <si>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</si>
  <si>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</si>
  <si>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</si>
  <si>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</si>
  <si>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</si>
  <si>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</si>
  <si>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</si>
  <si>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</si>
  <si>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</si>
  <si>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</si>
  <si>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</si>
  <si>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</si>
  <si>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</si>
  <si>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</si>
  <si>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</si>
  <si>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</si>
  <si>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</si>
  <si>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</si>
  <si>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</si>
  <si>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</si>
  <si>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</si>
  <si>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</si>
  <si>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</si>
  <si>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</si>
  <si>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</si>
  <si>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</si>
  <si>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</si>
  <si>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</si>
  <si>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</si>
  <si>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</si>
  <si>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</si>
  <si>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</si>
  <si>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</si>
  <si>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</si>
  <si>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</si>
  <si>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</si>
  <si>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</si>
  <si>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</si>
  <si>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</si>
  <si>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</si>
  <si>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</si>
  <si>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</si>
  <si>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</si>
  <si>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</si>
  <si>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</si>
  <si>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</si>
  <si>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</si>
  <si>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</si>
  <si>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</si>
  <si>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</si>
  <si>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</si>
  <si>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</si>
  <si>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</si>
  <si>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</si>
  <si>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</si>
  <si>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</si>
  <si>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</si>
  <si>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</si>
  <si>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</si>
  <si>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</si>
  <si>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</si>
  <si>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</si>
  <si>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</si>
  <si>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</si>
  <si>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</si>
  <si>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</si>
  <si>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</si>
  <si>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</si>
  <si>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</si>
  <si>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</si>
  <si>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</si>
  <si>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</si>
  <si>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</si>
  <si>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</si>
  <si>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</si>
  <si>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</si>
  <si>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</si>
  <si>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</si>
  <si>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</si>
  <si>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</si>
  <si>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</si>
  <si>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</si>
  <si>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</si>
  <si>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</si>
  <si>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</si>
  <si>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</si>
  <si>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</si>
  <si>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</si>
  <si>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</si>
  <si>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</si>
  <si>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</si>
  <si>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</si>
  <si>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</si>
  <si>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</si>
  <si>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</si>
  <si>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</si>
  <si>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</si>
  <si>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</si>
  <si>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</si>
  <si>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</si>
  <si>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</si>
  <si>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</si>
  <si>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</si>
  <si>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</si>
  <si>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</si>
  <si>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</si>
  <si>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</si>
  <si>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</si>
  <si>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</si>
  <si>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</si>
  <si>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</si>
  <si>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</si>
  <si>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</si>
  <si>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</si>
  <si>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</si>
  <si>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</si>
  <si>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</si>
  <si>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</si>
  <si>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</si>
  <si>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</si>
  <si>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</si>
  <si>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</si>
  <si>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</si>
  <si>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</si>
  <si>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</si>
  <si>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</si>
  <si>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</si>
  <si>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</si>
  <si>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</si>
  <si>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</si>
  <si>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</si>
  <si>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</si>
  <si>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</si>
  <si>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</si>
  <si>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</si>
  <si>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</si>
  <si>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</si>
  <si>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</si>
  <si>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</si>
  <si>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</si>
  <si>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</si>
  <si>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</si>
  <si>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</si>
  <si>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</si>
  <si>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</si>
  <si>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</si>
  <si>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</si>
  <si>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</si>
  <si>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</si>
  <si>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</si>
  <si>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</si>
  <si>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</si>
  <si>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</si>
  <si>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</si>
  <si>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</si>
  <si>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</si>
  <si>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</si>
  <si>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</si>
  <si>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</si>
  <si>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</si>
  <si>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</si>
  <si>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</si>
  <si>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</si>
  <si>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</si>
  <si>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</si>
  <si>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</si>
  <si>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</si>
  <si>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</si>
  <si>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</si>
  <si>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</si>
  <si>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</si>
  <si>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UPSET! Normal winner is Michigan State</t>
  </si>
  <si>
    <t>UPSET! Normal winner is 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</si>
  <si>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</si>
  <si>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</si>
  <si>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</si>
  <si>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</si>
  <si>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</si>
  <si>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</si>
  <si>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</si>
  <si>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</si>
  <si>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</si>
  <si>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</si>
  <si>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</si>
  <si>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UPSET! Normal winner is Wisconsin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</si>
  <si>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</si>
  <si>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</si>
  <si>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</si>
  <si>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</si>
  <si>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</si>
  <si>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</si>
  <si>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</si>
  <si>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</si>
  <si>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</si>
  <si>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</si>
  <si>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</si>
  <si>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</si>
  <si>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</si>
  <si>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</si>
  <si>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</si>
  <si>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South Florida: 310 - 191 :North Dakota State</t>
  </si>
  <si>
    <t>UPSET! Normal winner is 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</si>
  <si>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</si>
  <si>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</si>
  <si>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</si>
  <si>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</si>
  <si>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403 - 98 :Villanova</t>
  </si>
  <si>
    <t>High Point: 171 - 330 :Arkansas</t>
  </si>
  <si>
    <t>UPSET! Normal winner is Gonzaga</t>
  </si>
  <si>
    <t>UPSET! Normal winner is Purdue</t>
  </si>
  <si>
    <t>Michigan: 381 - 120 :Saint Louis</t>
  </si>
  <si>
    <t>Texas Tech: 345 - 156 :Alabama</t>
  </si>
  <si>
    <t>UPSET! Normal winner is Miami (OH)</t>
  </si>
  <si>
    <t>Kentucky: 126 - 375 :Iowa State</t>
  </si>
  <si>
    <t>Duke: 303 - 198 :Kansas</t>
  </si>
  <si>
    <t>South Florida: 234 - 267 :UCLA</t>
  </si>
  <si>
    <t>Florida: 394 - 107 :Nebraska</t>
  </si>
  <si>
    <t>Illinois: 238 - 263 :Saint Mary's (CA)</t>
  </si>
  <si>
    <t>Arizona: 405 - 96 :Arkansas</t>
  </si>
  <si>
    <t>Brigham Young: 267 - 234 :Miami (FL)</t>
  </si>
  <si>
    <t>Michigan: 177 - 324 :Texas Tech</t>
  </si>
  <si>
    <t>Virginia: 158 - 343 :Iowa State</t>
  </si>
  <si>
    <t>Duke: 420 - 81 :UCLA</t>
  </si>
  <si>
    <t>Florida: 344 - 157 :Saint Mary's (CA)</t>
  </si>
  <si>
    <t>Arizona: 409 - 92 :Brigham Young</t>
  </si>
  <si>
    <t>Texas Tech: 365 - 136 :Iowa State</t>
  </si>
  <si>
    <t>Duke: 215 - 286 :Florida</t>
  </si>
  <si>
    <t>Arizona: 316 - 185 :Texas Tech</t>
  </si>
  <si>
    <t>Florida: 217 - 284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</si>
</sst>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7" activePane="bottomLeft" state="frozen"/>
      <selection pane="bottomLeft" activeCell="G14" sqref="G1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" activePane="bottomLeft" state="frozen"/>
      <selection activeCell="E1" sqref="E1"/>
      <selection pane="bottomLeft" activeCell="O12" sqref="O12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Michigan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0.3</v>
      </c>
      <c r="M10" s="82" t="e" vm="76">
        <f>_xlfn.XLOOKUP(I10,Teams!$C:$C,Teams!$E:$E,,0,1)</f>
        <v>#VALUE!</v>
      </c>
      <c r="N10" s="82">
        <v>0.7</v>
      </c>
      <c r="O10" s="189" t="str">
        <f t="shared" si="3"/>
        <v>North Dakota State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UCF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">
        <v>134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Wisconsin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0.49</v>
      </c>
      <c r="M23" s="82" t="e" vm="102">
        <f>_xlfn.XLOOKUP(I23,Teams!$C:$C,Teams!$E:$E,,0,1)</f>
        <v>#VALUE!</v>
      </c>
      <c r="N23" s="82">
        <v>0.51</v>
      </c>
      <c r="O23" s="189" t="str">
        <f t="shared" si="3"/>
        <v>High Point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North Dakota State</v>
      </c>
      <c r="C40" s="91" t="str">
        <f t="shared" si="7"/>
        <v>North Dakota State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690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0.62</v>
      </c>
      <c r="M40" s="82" t="e" vm="76">
        <f>_xlfn.XLOOKUP(I40,Teams!$C:$C,Teams!$E:$E,,0,1)</f>
        <v>#VALUE!</v>
      </c>
      <c r="N40" s="82">
        <v>0.38</v>
      </c>
      <c r="O40" s="189" t="str">
        <f t="shared" si="9"/>
        <v>South Florida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UCLA</v>
      </c>
      <c r="B41" s="91" t="str">
        <f t="shared" si="11"/>
        <v>Connecticut</v>
      </c>
      <c r="C41" s="91" t="str">
        <f t="shared" si="7"/>
        <v>Connecticut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134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0.61</v>
      </c>
      <c r="M41" s="139" t="e" vm="79">
        <f>_xlfn.XLOOKUP(I41,Teams!$C:$C,Teams!$E:$E,,0,1)</f>
        <v>#VALUE!</v>
      </c>
      <c r="N41" s="139">
        <v>0.39</v>
      </c>
      <c r="O41" s="195" t="str">
        <f t="shared" si="9"/>
        <v>UCLA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High Point</v>
      </c>
      <c r="B47" s="152" t="str">
        <f t="shared" si="11"/>
        <v>Arkansas</v>
      </c>
      <c r="C47" s="152" t="str">
        <f t="shared" si="7"/>
        <v>High Point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140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2">
        <f>_xlfn.XLOOKUP(G47,Teams!$C:$C,Teams!$E:$E,,0,1)</f>
        <v>#VALUE!</v>
      </c>
      <c r="L47" s="82">
        <v>0.34</v>
      </c>
      <c r="M47" s="82" t="e" vm="103">
        <f>_xlfn.XLOOKUP(I47,Teams!$C:$C,Teams!$E:$E,,0,1)</f>
        <v>#VALUE!</v>
      </c>
      <c r="N47" s="82">
        <v>0.66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Gonzaga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0.62</v>
      </c>
      <c r="M48" s="82" t="e" vm="107">
        <f>_xlfn.XLOOKUP(I48,Teams!$C:$C,Teams!$E:$E,,0,1)</f>
        <v>#VALUE!</v>
      </c>
      <c r="N48" s="82">
        <v>0.38</v>
      </c>
      <c r="O48" s="189" t="str">
        <f t="shared" si="9"/>
        <v>Brigham Young</v>
      </c>
      <c r="P48" s="204" t="e" vm="105">
        <f>_xlfn.XLOOKUP(O48,Teams!$C:$C,Teams!$E:$E,,0,1)</f>
        <v>#VALUE!</v>
      </c>
      <c r="Q48" s="223" t="s">
        <v>1173</v>
      </c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Purdue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0.53</v>
      </c>
      <c r="M49" s="139" t="e" vm="111">
        <f>_xlfn.XLOOKUP(I49,Teams!$C:$C,Teams!$E:$E,,0,1)</f>
        <v>#VALUE!</v>
      </c>
      <c r="N49" s="139">
        <v>0.47</v>
      </c>
      <c r="O49" s="195" t="str">
        <f t="shared" si="9"/>
        <v>Miami (FL)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Miami (OH)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0.35</v>
      </c>
      <c r="M52" s="83" t="e" vm="123">
        <f>_xlfn.XLOOKUP(I52,Teams!$C:$C,Teams!$E:$E,,0,1)</f>
        <v>#VALUE!</v>
      </c>
      <c r="N52" s="83">
        <v>0.65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South Florida</v>
      </c>
      <c r="B56" s="91" t="str">
        <f t="shared" ref="B56:B62" si="16">I56</f>
        <v>UCLA</v>
      </c>
      <c r="C56" s="91" t="str">
        <f t="shared" si="12"/>
        <v>South Florida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885</v>
      </c>
      <c r="H56" s="182" t="s">
        <v>9</v>
      </c>
      <c r="I56" s="137" t="s">
        <v>134</v>
      </c>
      <c r="J56" s="138" cm="1">
        <f t="array" ref="J56">_xlfn.XLOOKUP(I56,Teams[[#All],[Team]],Teams[[#All],[Seed]],0,0,1)</f>
        <v>7</v>
      </c>
      <c r="K56" s="139" t="e" vm="74">
        <f>_xlfn.XLOOKUP(G56,Teams!$C:$C,Teams!$E:$E,,0,1)</f>
        <v>#VALUE!</v>
      </c>
      <c r="L56" s="139">
        <v>0.47</v>
      </c>
      <c r="M56" s="139" t="e" vm="77">
        <f>_xlfn.XLOOKUP(I56,Teams!$C:$C,Teams!$E:$E,,0,1)</f>
        <v>#VALUE!</v>
      </c>
      <c r="N56" s="139">
        <v>0.53</v>
      </c>
      <c r="O56" s="195" t="str">
        <f t="shared" si="14"/>
        <v>UCLA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Brigham Young</v>
      </c>
      <c r="B60" s="152" t="str">
        <f t="shared" si="16"/>
        <v>Miami (FL)</v>
      </c>
      <c r="C60" s="152" t="str">
        <f t="shared" si="12"/>
        <v>Miami (FL)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58</v>
      </c>
      <c r="H60" s="182" t="s">
        <v>9</v>
      </c>
      <c r="I60" s="137" t="s">
        <v>585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0.53</v>
      </c>
      <c r="M60" s="139" t="e" vm="109">
        <f>_xlfn.XLOOKUP(I60,Teams!$C:$C,Teams!$E:$E,,0,1)</f>
        <v>#VALUE!</v>
      </c>
      <c r="N60" s="139">
        <v>0.47</v>
      </c>
      <c r="O60" s="195" t="str">
        <f t="shared" si="14"/>
        <v>Brigham Young</v>
      </c>
      <c r="P60" s="210" t="e" vm="105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Virginia</v>
      </c>
      <c r="B62" s="91" t="str">
        <f t="shared" si="16"/>
        <v>Iowa State</v>
      </c>
      <c r="C62" s="91" t="str">
        <f t="shared" si="12"/>
        <v>Virginia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1059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3">
        <f>_xlfn.XLOOKUP(G62,Teams!$C:$C,Teams!$E:$E,,0,1)</f>
        <v>#VALUE!</v>
      </c>
      <c r="L62" s="151">
        <v>0.32</v>
      </c>
      <c r="M62" s="151" t="e" vm="127">
        <f>_xlfn.XLOOKUP(I62,Teams!$C:$C,Teams!$E:$E,,0,1)</f>
        <v>#VALUE!</v>
      </c>
      <c r="N62" s="151">
        <v>0.68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UCLA</v>
      </c>
      <c r="C64" s="91" t="str">
        <f>IF(O64="","",IF(A64=O64,B64,A64))</f>
        <v>UCLA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134</v>
      </c>
      <c r="J64" s="157" cm="1">
        <f t="array" ref="J64">_xlfn.XLOOKUP(I64,Teams[[#All],[Team]],Teams[[#All],[Seed]],0,0,1)</f>
        <v>7</v>
      </c>
      <c r="K64" s="158" t="e" vm="65">
        <f>_xlfn.XLOOKUP(G64,Teams!$C:$C,Teams!$E:$E,,0,1)</f>
        <v>#VALUE!</v>
      </c>
      <c r="L64" s="158">
        <v>0.84</v>
      </c>
      <c r="M64" s="158" t="e" vm="77">
        <f>_xlfn.XLOOKUP(I64,Teams!$C:$C,Teams!$E:$E,,0,1)</f>
        <v>#VALUE!</v>
      </c>
      <c r="N64" s="158">
        <v>0.16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Brigham Young</v>
      </c>
      <c r="C66" s="91" t="str">
        <f>IF(O66="","",IF(A66=O66,B66,A66))</f>
        <v>Brigham Young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58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0.82</v>
      </c>
      <c r="M66" s="158" t="e" vm="105">
        <f>_xlfn.XLOOKUP(I66,Teams!$C:$C,Teams!$E:$E,,0,1)</f>
        <v>#VALUE!</v>
      </c>
      <c r="N66" s="158">
        <v>0.18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0.43</v>
      </c>
      <c r="M72" s="158" t="e" vm="97">
        <f>_xlfn.XLOOKUP(I72,Teams!$C:$C,Teams!$E:$E,,0,1)</f>
        <v>#VALUE!</v>
      </c>
      <c r="N72" s="158">
        <v>0.56999999999999995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F29" sqref="F29:F30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0.8</v>
      </c>
      <c r="AI5" s="247" t="e" vm="97">
        <f>_xlfn.XLOOKUP(AJ5,Teams!$C:$C,Teams!$E:$E,,0,1)</f>
        <v>#VALUE!</v>
      </c>
      <c r="AJ5" s="256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0.81</v>
      </c>
      <c r="AF7" s="247" t="e" vm="97">
        <f>_xlfn.XLOOKUP(AG7,Teams!$C:$C,Teams!$E:$E,,0,1)</f>
        <v>#VALUE!</v>
      </c>
      <c r="AG7" s="256" t="str">
        <f>Games!O46</f>
        <v>Arizona</v>
      </c>
      <c r="AH7" s="55"/>
      <c r="AI7" s="51"/>
      <c r="AJ7" s="276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56" t="str">
        <f>Games!O6</f>
        <v>TCU</v>
      </c>
      <c r="G9" s="259" t="e" vm="68">
        <f>_xlfn.XLOOKUP(F9,Teams!$C:$C,Teams!$E:$E,,0,1)</f>
        <v>#VALUE!</v>
      </c>
      <c r="H9" s="261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</v>
      </c>
      <c r="AI9" s="247" t="e" vm="99">
        <f>_xlfn.XLOOKUP(AJ9,Teams!$C:$C,Teams!$E:$E,,0,1)</f>
        <v>#VALUE!</v>
      </c>
      <c r="AJ9" s="256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0.84</v>
      </c>
      <c r="O11" s="25"/>
      <c r="P11" s="25"/>
      <c r="R11" s="25"/>
      <c r="S11" s="25"/>
      <c r="T11" s="282" t="e" vm="97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0.82</v>
      </c>
      <c r="AC11" s="249" t="e" vm="97">
        <f>_xlfn.XLOOKUP(AD11,Teams!$C:$C,Teams!$E:$E,,0,1)</f>
        <v>#VALUE!</v>
      </c>
      <c r="AD11" s="256" t="str">
        <f>Games!O59</f>
        <v>Arizona</v>
      </c>
      <c r="AE11" s="56"/>
      <c r="AG11" s="255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56" t="str">
        <f>Games!O7</f>
        <v>St. John's (NY)</v>
      </c>
      <c r="G13" s="259" t="e" vm="69">
        <f>_xlfn.XLOOKUP(F13,Teams!$C:$C,Teams!$E:$E,,0,1)</f>
        <v>#VALUE!</v>
      </c>
      <c r="H13" s="251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0.34</v>
      </c>
      <c r="AI13" s="249" t="e" vm="102">
        <f>_xlfn.XLOOKUP(AJ13,Teams!$C:$C,Teams!$E:$E,,0,1)</f>
        <v>#VALUE!</v>
      </c>
      <c r="AJ13" s="256" t="str">
        <f>Games!O23</f>
        <v>High Point</v>
      </c>
      <c r="AK13" s="58">
        <f>Games!L23</f>
        <v>0.49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76">
        <f>IF($AU$5=TRUE,F7+1,"")</f>
        <v>34</v>
      </c>
      <c r="G15" s="14"/>
      <c r="H15" s="49"/>
      <c r="I15" s="265" t="str">
        <f>Games!O39</f>
        <v>Kansas</v>
      </c>
      <c r="J15" s="259" t="e" vm="71">
        <f>_xlfn.XLOOKUP(I15,Teams!$C:$C,Teams!$E:$E,,0,1)</f>
        <v>#VALUE!</v>
      </c>
      <c r="K15" s="261">
        <f>Games!N55</f>
        <v>0.4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0.19</v>
      </c>
      <c r="AF15" s="249" t="e" vm="103">
        <f>_xlfn.XLOOKUP(AG15,Teams!$C:$C,Teams!$E:$E,,0,1)</f>
        <v>#VALUE!</v>
      </c>
      <c r="AG15" s="256" t="str">
        <f>Games!O47</f>
        <v>Arkansas</v>
      </c>
      <c r="AH15" s="55"/>
      <c r="AI15" s="51"/>
      <c r="AJ15" s="276">
        <f>IF($AU$5=TRUE,AJ7+1,"")</f>
        <v>42</v>
      </c>
      <c r="AK15" s="59">
        <f>Games!N23</f>
        <v>0.51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56" t="str">
        <f>Games!O8</f>
        <v>Kansas</v>
      </c>
      <c r="G17" s="259" t="e" vm="71">
        <f>_xlfn.XLOOKUP(F17,Teams!$C:$C,Teams!$E:$E,,0,1)</f>
        <v>#VALUE!</v>
      </c>
      <c r="H17" s="261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0.66</v>
      </c>
      <c r="AI17" s="249" t="e" vm="103">
        <f>_xlfn.XLOOKUP(AJ17,Teams!$C:$C,Teams!$E:$E,,0,1)</f>
        <v>#VALUE!</v>
      </c>
      <c r="AJ17" s="256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58" t="s">
        <v>3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0.43</v>
      </c>
      <c r="R19" s="25"/>
      <c r="S19" s="25"/>
      <c r="T19" s="288"/>
      <c r="U19" s="289"/>
      <c r="V19" s="290"/>
      <c r="W19" s="25"/>
      <c r="X19" s="25"/>
      <c r="Y19" s="251">
        <f>Games!L70</f>
        <v>0.63</v>
      </c>
      <c r="Z19" s="249" t="e" vm="97">
        <f>_xlfn.XLOOKUP(AA19,Teams!$C:$C,Teams!$E:$E,,0,1)</f>
        <v>#VALUE!</v>
      </c>
      <c r="AA19" s="256" t="str">
        <f>Games!O66</f>
        <v>Arizona</v>
      </c>
      <c r="AB19" s="56"/>
      <c r="AD19" s="258" t="s">
        <v>4</v>
      </c>
      <c r="AE19" s="258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56" t="str">
        <f>Games!O9</f>
        <v>South Florida</v>
      </c>
      <c r="G21" s="259" t="e" vm="74">
        <f>_xlfn.XLOOKUP(F21,Teams!$C:$C,Teams!$E:$E,,0,1)</f>
        <v>#VALUE!</v>
      </c>
      <c r="H21" s="251">
        <f>Games!L40</f>
        <v>0.62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0.62</v>
      </c>
      <c r="AI21" s="249" t="e" vm="105">
        <f>_xlfn.XLOOKUP(AJ21,Teams!$C:$C,Teams!$E:$E,,0,1)</f>
        <v>#VALUE!</v>
      </c>
      <c r="AJ21" s="256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76">
        <f>IF($AU$5=TRUE,F15+1,"")</f>
        <v>35</v>
      </c>
      <c r="G23" s="14"/>
      <c r="H23" s="49"/>
      <c r="I23" s="265" t="str">
        <f>Games!O40</f>
        <v>South Florida</v>
      </c>
      <c r="J23" s="259" t="e" vm="74">
        <f>_xlfn.XLOOKUP(I23,Teams!$C:$C,Teams!$E:$E,,0,1)</f>
        <v>#VALUE!</v>
      </c>
      <c r="K23" s="251">
        <f>Games!L56</f>
        <v>0.47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0.53</v>
      </c>
      <c r="AF23" s="249" t="e" vm="105">
        <f>_xlfn.XLOOKUP(AG23,Teams!$C:$C,Teams!$E:$E,,0,1)</f>
        <v>#VALUE!</v>
      </c>
      <c r="AG23" s="256" t="str">
        <f>Games!O48</f>
        <v>Brigham Young</v>
      </c>
      <c r="AH23" s="55"/>
      <c r="AI23" s="51"/>
      <c r="AJ23" s="276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0.3</v>
      </c>
      <c r="F25" s="256" t="str">
        <f>Games!O10</f>
        <v>North Dakota State</v>
      </c>
      <c r="G25" s="259" t="e" vm="76">
        <f>_xlfn.XLOOKUP(F25,Teams!$C:$C,Teams!$E:$E,,0,1)</f>
        <v>#VALUE!</v>
      </c>
      <c r="H25" s="261">
        <f>Games!N40</f>
        <v>0.38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0.38</v>
      </c>
      <c r="AI25" s="249" t="e" vm="107">
        <f>_xlfn.XLOOKUP(AJ25,Teams!$C:$C,Teams!$E:$E,,0,1)</f>
        <v>#VALUE!</v>
      </c>
      <c r="AJ25" s="256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0.7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UCLA</v>
      </c>
      <c r="M27" s="259" t="e" vm="77">
        <f>_xlfn.XLOOKUP(L27,Teams!$C:$C,Teams!$E:$E,,0,1)</f>
        <v>#VALUE!</v>
      </c>
      <c r="N27" s="261">
        <f>Games!N64</f>
        <v>0.16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0.43</v>
      </c>
      <c r="W27" s="24"/>
      <c r="X27" s="25"/>
      <c r="Y27" s="56"/>
      <c r="AA27" s="25"/>
      <c r="AB27" s="253">
        <f>Games!N66</f>
        <v>0.18</v>
      </c>
      <c r="AC27" s="249" t="e" vm="105">
        <f>_xlfn.XLOOKUP(AD27,Teams!$C:$C,Teams!$E:$E,,0,1)</f>
        <v>#VALUE!</v>
      </c>
      <c r="AD27" s="256" t="str">
        <f>Games!O60</f>
        <v>Brigham Young</v>
      </c>
      <c r="AE27" s="56"/>
      <c r="AG27" s="255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56" t="str">
        <f>Games!O11</f>
        <v>UCLA</v>
      </c>
      <c r="G29" s="259" t="e" vm="77">
        <f>_xlfn.XLOOKUP(F29,Teams!$C:$C,Teams!$E:$E,,0,1)</f>
        <v>#VALUE!</v>
      </c>
      <c r="H29" s="251">
        <f>Games!L41</f>
        <v>0.61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0.53</v>
      </c>
      <c r="AI29" s="249" t="e" vm="109">
        <f>_xlfn.XLOOKUP(AJ29,Teams!$C:$C,Teams!$E:$E,,0,1)</f>
        <v>#VALUE!</v>
      </c>
      <c r="AJ29" s="256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76">
        <f>IF($AU$5=TRUE,F23+1,"")</f>
        <v>36</v>
      </c>
      <c r="G31" s="14"/>
      <c r="H31" s="49"/>
      <c r="I31" s="265" t="str">
        <f>Games!O41</f>
        <v>UCLA</v>
      </c>
      <c r="J31" s="259" t="e" vm="77">
        <f>_xlfn.XLOOKUP(I31,Teams!$C:$C,Teams!$E:$E,,0,1)</f>
        <v>#VALUE!</v>
      </c>
      <c r="K31" s="261">
        <f>Games!N56</f>
        <v>0.53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0.47</v>
      </c>
      <c r="AF31" s="249" t="e" vm="109">
        <f>_xlfn.XLOOKUP(AG31,Teams!$C:$C,Teams!$E:$E,,0,1)</f>
        <v>#VALUE!</v>
      </c>
      <c r="AG31" s="256" t="str">
        <f>Games!O49</f>
        <v>Miami (FL)</v>
      </c>
      <c r="AH31" s="55"/>
      <c r="AI31" s="51"/>
      <c r="AJ31" s="276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56" t="str">
        <f>Games!O12</f>
        <v>Connecticut</v>
      </c>
      <c r="G33" s="259" t="e" vm="79">
        <f>_xlfn.XLOOKUP(F33,Teams!$C:$C,Teams!$E:$E,,0,1)</f>
        <v>#VALUE!</v>
      </c>
      <c r="H33" s="261">
        <f>Games!N41</f>
        <v>0.39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0.47</v>
      </c>
      <c r="AI33" s="249" t="e" vm="111">
        <f>_xlfn.XLOOKUP(AJ33,Teams!$C:$C,Teams!$E:$E,,0,1)</f>
        <v>#VALUE!</v>
      </c>
      <c r="AJ33" s="256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0.79</v>
      </c>
      <c r="L39" s="25"/>
      <c r="M39" s="25"/>
      <c r="O39" s="25"/>
      <c r="P39" s="25"/>
      <c r="Q39" s="50"/>
      <c r="R39" s="25"/>
      <c r="S39" s="25"/>
      <c r="T39" s="273">
        <f>Games!N72</f>
        <v>0.56999999999999995</v>
      </c>
      <c r="U39" s="267" t="e" vm="97">
        <f>_xlfn.XLOOKUP(V39,Teams!$C:$C,Teams!$E:$E,,0,1)</f>
        <v>#VALUE!</v>
      </c>
      <c r="V39" s="256" t="str">
        <f>Games!O70</f>
        <v>Arizona</v>
      </c>
      <c r="W39" s="256"/>
      <c r="X39" s="269"/>
      <c r="Y39" s="56"/>
      <c r="AA39" s="25"/>
      <c r="AD39" s="25"/>
      <c r="AE39" s="253">
        <f>Games!L61</f>
        <v>0.35</v>
      </c>
      <c r="AF39" s="249" t="e" vm="113">
        <f>_xlfn.XLOOKUP(AG39,Teams!$C:$C,Teams!$E:$E,,0,1)</f>
        <v>#VALUE!</v>
      </c>
      <c r="AG39" s="256" t="str">
        <f>Games!O50</f>
        <v>Michigan</v>
      </c>
      <c r="AH39" s="55"/>
      <c r="AI39" s="51"/>
      <c r="AJ39" s="276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56" t="str">
        <f>Games!O14</f>
        <v>Iowa</v>
      </c>
      <c r="G41" s="259" t="e" vm="84">
        <f>_xlfn.XLOOKUP(F41,Teams!$C:$C,Teams!$E:$E,,0,1)</f>
        <v>#VALUE!</v>
      </c>
      <c r="H41" s="261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6">
        <f>_xlfn.XLOOKUP(AJ41,Teams!$C:$C,Teams!$E:$E,,0,1)</f>
        <v>#VALUE!</v>
      </c>
      <c r="AJ41" s="256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0.73</v>
      </c>
      <c r="AC43" s="249" t="e" vm="117">
        <f>_xlfn.XLOOKUP(AD43,Teams!$C:$C,Teams!$E:$E,,0,1)</f>
        <v>#VALUE!</v>
      </c>
      <c r="AD43" s="263" t="str">
        <f>Games!O61</f>
        <v>Texas Tech</v>
      </c>
      <c r="AE43" s="56"/>
      <c r="AG43" s="255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56" t="str">
        <f>Games!O15</f>
        <v>Vanderbilt</v>
      </c>
      <c r="G45" s="259" t="e" vm="85">
        <f>_xlfn.XLOOKUP(F45,Teams!$C:$C,Teams!$E:$E,,0,1)</f>
        <v>#VALUE!</v>
      </c>
      <c r="H45" s="251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0.69</v>
      </c>
      <c r="AI45" s="249" t="e" vm="117">
        <f>_xlfn.XLOOKUP(AJ45,Teams!$C:$C,Teams!$E:$E,,0,1)</f>
        <v>#VALUE!</v>
      </c>
      <c r="AJ45" s="256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76">
        <f>IF($AU$5=TRUE,F39+1,"")</f>
        <v>38</v>
      </c>
      <c r="G47" s="14"/>
      <c r="H47" s="49"/>
      <c r="I47" s="265" t="str">
        <f>Games!O43</f>
        <v>Nebraska</v>
      </c>
      <c r="J47" s="259" t="e" vm="87">
        <f>_xlfn.XLOOKUP(I47,Teams!$C:$C,Teams!$E:$E,,0,1)</f>
        <v>#VALUE!</v>
      </c>
      <c r="K47" s="261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0.65</v>
      </c>
      <c r="AF47" s="249" t="e" vm="117">
        <f>_xlfn.XLOOKUP(AG47,Teams!$C:$C,Teams!$E:$E,,0,1)</f>
        <v>#VALUE!</v>
      </c>
      <c r="AG47" s="256" t="str">
        <f>Games!O51</f>
        <v>Texas Tech</v>
      </c>
      <c r="AH47" s="55"/>
      <c r="AI47" s="51"/>
      <c r="AJ47" s="276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56" t="str">
        <f>Games!O16</f>
        <v>Nebraska</v>
      </c>
      <c r="G49" s="259" t="e" vm="87">
        <f>_xlfn.XLOOKUP(F49,Teams!$C:$C,Teams!$E:$E,,0,1)</f>
        <v>#VALUE!</v>
      </c>
      <c r="H49" s="261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0.31</v>
      </c>
      <c r="AI49" s="249" t="e" vm="119">
        <f>_xlfn.XLOOKUP(AJ49,Teams!$C:$C,Teams!$E:$E,,0,1)</f>
        <v>#VALUE!</v>
      </c>
      <c r="AJ49" s="256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58" t="s">
        <v>15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0.56999999999999995</v>
      </c>
      <c r="R51" s="25"/>
      <c r="S51" s="25"/>
      <c r="T51" s="25"/>
      <c r="U51" s="75"/>
      <c r="V51" s="25"/>
      <c r="W51" s="25"/>
      <c r="X51" s="25"/>
      <c r="Y51" s="253">
        <f>Games!N70</f>
        <v>0.37</v>
      </c>
      <c r="Z51" s="249" t="e" vm="117">
        <f>_xlfn.XLOOKUP(AA51,Teams!$C:$C,Teams!$E:$E,,0,1)</f>
        <v>#VALUE!</v>
      </c>
      <c r="AA51" s="256" t="str">
        <f>Games!O67</f>
        <v>Texas Tech</v>
      </c>
      <c r="AB51" s="56"/>
      <c r="AD51" s="258" t="s">
        <v>14</v>
      </c>
      <c r="AE51" s="258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56" t="str">
        <f>Games!O17</f>
        <v>North Carolina</v>
      </c>
      <c r="G53" s="259" t="e" vm="89">
        <f>_xlfn.XLOOKUP(F53,Teams!$C:$C,Teams!$E:$E,,0,1)</f>
        <v>#VALUE!</v>
      </c>
      <c r="H53" s="251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0.35</v>
      </c>
      <c r="AI53" s="249" t="e" vm="122">
        <f>_xlfn.XLOOKUP(AJ53,Teams!$C:$C,Teams!$E:$E,,0,1)</f>
        <v>#VALUE!</v>
      </c>
      <c r="AJ53" s="256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76">
        <f>IF($AU$5=TRUE,F47+1,"")</f>
        <v>39</v>
      </c>
      <c r="G55" s="14"/>
      <c r="H55" s="49"/>
      <c r="I55" s="265" t="str">
        <f>Games!O44</f>
        <v>Illinois</v>
      </c>
      <c r="J55" s="259" t="e" vm="91">
        <f>_xlfn.XLOOKUP(I55,Teams!$C:$C,Teams!$E:$E,,0,1)</f>
        <v>#VALUE!</v>
      </c>
      <c r="K55" s="251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0.32</v>
      </c>
      <c r="AF55" s="249" t="e" vm="123">
        <f>_xlfn.XLOOKUP(AG55,Teams!$C:$C,Teams!$E:$E,,0,1)</f>
        <v>#VALUE!</v>
      </c>
      <c r="AG55" s="256" t="str">
        <f>Games!O52</f>
        <v>Virginia</v>
      </c>
      <c r="AH55" s="55"/>
      <c r="AI55" s="51"/>
      <c r="AJ55" s="276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56" t="str">
        <f>Games!O18</f>
        <v>Illinois</v>
      </c>
      <c r="G57" s="259" t="e" vm="91">
        <f>_xlfn.XLOOKUP(F57,Teams!$C:$C,Teams!$E:$E,,0,1)</f>
        <v>#VALUE!</v>
      </c>
      <c r="H57" s="261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0.65</v>
      </c>
      <c r="AI57" s="249" t="e" vm="123">
        <f>_xlfn.XLOOKUP(AJ57,Teams!$C:$C,Teams!$E:$E,,0,1)</f>
        <v>#VALUE!</v>
      </c>
      <c r="AJ57" s="256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Saint Mary's (CA)</v>
      </c>
      <c r="M59" s="259" t="e" vm="93">
        <f>_xlfn.XLOOKUP(L59,Teams!$C:$C,Teams!$E:$E,,0,1)</f>
        <v>#VALUE!</v>
      </c>
      <c r="N59" s="261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0.27</v>
      </c>
      <c r="AC59" s="249" t="e" vm="127">
        <f>_xlfn.XLOOKUP(AD59,Teams!$C:$C,Teams!$E:$E,,0,1)</f>
        <v>#VALUE!</v>
      </c>
      <c r="AD59" s="256" t="str">
        <f>Games!O62</f>
        <v>Iowa State</v>
      </c>
      <c r="AE59" s="56"/>
      <c r="AG59" s="255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56" t="str">
        <f>Games!O19</f>
        <v>Saint Mary's (CA)</v>
      </c>
      <c r="G61" s="259" t="e" vm="93">
        <f>_xlfn.XLOOKUP(F61,Teams!$C:$C,Teams!$E:$E,,0,1)</f>
        <v>#VALUE!</v>
      </c>
      <c r="H61" s="251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0.25</v>
      </c>
      <c r="AI61" s="249" t="e" vm="125">
        <f>_xlfn.XLOOKUP(AJ61,Teams!$C:$C,Teams!$E:$E,,0,1)</f>
        <v>#VALUE!</v>
      </c>
      <c r="AJ61" s="256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76">
        <f>IF($AU$5=TRUE,F55+1,"")</f>
        <v>40</v>
      </c>
      <c r="G63" s="14"/>
      <c r="H63" s="49"/>
      <c r="I63" s="265" t="str">
        <f>Games!O45</f>
        <v>Saint Mary's (CA)</v>
      </c>
      <c r="J63" s="259" t="e" vm="93">
        <f>_xlfn.XLOOKUP(I63,Teams!$C:$C,Teams!$E:$E,,0,1)</f>
        <v>#VALUE!</v>
      </c>
      <c r="K63" s="261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0.68</v>
      </c>
      <c r="AF63" s="249" t="e" vm="127">
        <f>_xlfn.XLOOKUP(AG63,Teams!$C:$C,Teams!$E:$E,,0,1)</f>
        <v>#VALUE!</v>
      </c>
      <c r="AG63" s="256" t="str">
        <f>Games!O53</f>
        <v>Iowa State</v>
      </c>
      <c r="AH63" s="55"/>
      <c r="AI63" s="51"/>
      <c r="AJ63" s="276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56" t="str">
        <f>Games!O20</f>
        <v>Houston</v>
      </c>
      <c r="G65" s="259" t="e" vm="95">
        <f>_xlfn.XLOOKUP(F65,Teams!$C:$C,Teams!$E:$E,,0,1)</f>
        <v>#VALUE!</v>
      </c>
      <c r="H65" s="261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0.75</v>
      </c>
      <c r="AI65" s="249" t="e" vm="127">
        <f>_xlfn.XLOOKUP(AJ65,Teams!$C:$C,Teams!$E:$E,,0,1)</f>
        <v>#VALUE!</v>
      </c>
      <c r="AJ65" s="256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