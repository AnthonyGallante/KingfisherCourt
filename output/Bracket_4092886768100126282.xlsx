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517BE312-B3D2-40C0-9C9A-3F4E05F2D930}" xr6:coauthVersionLast="47" xr6:coauthVersionMax="47" xr10:uidLastSave="{00000000-0000-0000-0000-000000000000}"/>
  <bookViews>
    <workbookView xWindow="1920" yWindow="1920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<sst xmlns="http://schemas.openxmlformats.org/spreadsheetml/2006/main" count="1526" uniqueCount="1194">
  <si>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</si>
  <si>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</si>
  <si>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</si>
  <si>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</si>
  <si>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</si>
  <si>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</si>
  <si>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</si>
  <si>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</si>
  <si>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</si>
  <si>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</si>
  <si>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</si>
  <si>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</si>
  <si>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</si>
  <si>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</si>
  <si>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</si>
  <si>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</si>
  <si>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</si>
  <si>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</si>
  <si>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</si>
  <si>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</si>
  <si>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</si>
  <si>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</si>
  <si>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</si>
  <si>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</si>
  <si>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</si>
  <si>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</si>
  <si>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</si>
  <si>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</si>
  <si>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</si>
  <si>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</si>
  <si>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</si>
  <si>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</si>
  <si>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</si>
  <si>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</si>
  <si>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</si>
  <si>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</si>
  <si>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</si>
  <si>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</si>
  <si>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</si>
  <si>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</si>
  <si>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</si>
  <si>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</si>
  <si>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</si>
  <si>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</si>
  <si>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</si>
  <si>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</si>
  <si>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</si>
  <si>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</si>
  <si>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</si>
  <si>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</si>
  <si>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</si>
  <si>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</si>
  <si>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</si>
  <si>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</si>
  <si>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</si>
  <si>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</si>
  <si>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</si>
  <si>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</si>
  <si>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</si>
  <si>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</si>
  <si>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</si>
  <si>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</si>
  <si>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</si>
  <si>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</si>
  <si>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</si>
  <si>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</si>
  <si>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</si>
  <si>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</si>
  <si>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</si>
  <si>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</si>
  <si>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</si>
  <si>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</si>
  <si>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</si>
  <si>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</si>
  <si>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</si>
  <si>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</si>
  <si>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</si>
  <si>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</si>
  <si>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</si>
  <si>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</si>
  <si>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</si>
  <si>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</si>
  <si>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</si>
  <si>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</si>
  <si>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</si>
  <si>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</si>
  <si>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</si>
  <si>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</si>
  <si>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</si>
  <si>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</si>
  <si>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</si>
  <si>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</si>
  <si>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</si>
  <si>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</si>
  <si>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</si>
  <si>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</si>
  <si>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</si>
  <si>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</si>
  <si>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</si>
  <si>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</si>
  <si>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</si>
  <si>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</si>
  <si>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</si>
  <si>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</si>
  <si>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</si>
  <si>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</si>
  <si>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</si>
  <si>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</si>
  <si>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</si>
  <si>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</si>
  <si>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</si>
  <si>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</si>
  <si>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</si>
  <si>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</si>
  <si>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</si>
  <si>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</si>
  <si>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</si>
  <si>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</si>
  <si>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</si>
  <si>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</si>
  <si>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</si>
  <si>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</si>
  <si>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</si>
  <si>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</si>
  <si>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</si>
  <si>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</si>
  <si>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</si>
  <si>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</si>
  <si>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</si>
  <si>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</si>
  <si>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</si>
  <si>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</si>
  <si>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</si>
  <si>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</si>
  <si>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</si>
  <si>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</si>
  <si>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</si>
  <si>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</si>
  <si>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</si>
  <si>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</si>
  <si>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</si>
  <si>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</si>
  <si>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</si>
  <si>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</si>
  <si>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</si>
  <si>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</si>
  <si>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</si>
  <si>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</si>
  <si>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</si>
  <si>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</si>
  <si>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</si>
  <si>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</si>
  <si>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</si>
  <si>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</si>
  <si>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</si>
  <si>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</si>
  <si>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</si>
  <si>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</si>
  <si>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</si>
  <si>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</si>
  <si>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</si>
  <si>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</si>
  <si>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</si>
  <si>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</si>
  <si>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</si>
  <si>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</si>
  <si>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</si>
  <si>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</si>
  <si>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</si>
  <si>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</si>
  <si>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</si>
  <si>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</si>
  <si>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</si>
  <si>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</si>
  <si>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</si>
  <si>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</si>
  <si>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</si>
  <si>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</si>
  <si>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</si>
  <si>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</si>
  <si>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</si>
  <si>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</si>
  <si>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</si>
  <si>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</si>
  <si>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</si>
  <si>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</si>
  <si>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</si>
  <si>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</si>
  <si>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</si>
  <si>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</si>
  <si>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</si>
  <si>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</si>
  <si>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</si>
  <si>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</si>
  <si>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</si>
  <si>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</si>
  <si>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</si>
  <si>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</si>
  <si>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</si>
  <si>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</si>
  <si>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</si>
  <si>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</si>
  <si>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</si>
  <si>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</si>
  <si>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</si>
  <si>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</si>
  <si>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</si>
  <si>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</si>
  <si>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</si>
  <si>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</si>
  <si>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</si>
  <si>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</si>
  <si>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</si>
  <si>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</si>
  <si>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</si>
  <si>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</si>
  <si>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</si>
  <si>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</si>
  <si>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</si>
  <si>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</si>
  <si>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</si>
  <si>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</si>
  <si>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</si>
  <si>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</si>
  <si>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</si>
  <si>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</si>
  <si>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</si>
  <si>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</si>
  <si>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</si>
  <si>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</si>
  <si>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</si>
  <si>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</si>
  <si>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</si>
  <si>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</si>
  <si>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</si>
  <si>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</si>
  <si>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</si>
  <si>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</si>
  <si>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</si>
  <si>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</si>
  <si>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</si>
  <si>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</si>
  <si>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</si>
  <si>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</si>
  <si>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</si>
  <si>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</si>
  <si>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</si>
  <si>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</si>
  <si>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</si>
  <si>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</si>
  <si>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</si>
  <si>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</si>
  <si>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</si>
  <si>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</si>
  <si>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</si>
  <si>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</si>
  <si>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</si>
  <si>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</si>
  <si>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</si>
  <si>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</si>
  <si>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</si>
  <si>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</si>
  <si>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</si>
  <si>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</si>
  <si>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</si>
  <si>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</si>
  <si>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</si>
  <si>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</si>
  <si>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</si>
  <si>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</si>
  <si>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</si>
  <si>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</si>
  <si>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</si>
  <si>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</si>
  <si>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</si>
  <si>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</si>
  <si>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</si>
  <si>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</si>
  <si>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</si>
  <si>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</si>
  <si>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</si>
  <si>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</si>
  <si>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</si>
  <si>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</si>
  <si>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</si>
  <si>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</si>
  <si>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</si>
  <si>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</si>
  <si>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</si>
  <si>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</si>
  <si>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</si>
  <si>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</si>
  <si>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</si>
  <si>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</si>
  <si>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</si>
  <si>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</si>
  <si>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</si>
  <si>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</si>
  <si>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</si>
  <si>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</si>
  <si>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</si>
  <si>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</si>
  <si>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</si>
  <si>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</si>
  <si>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</si>
  <si>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</si>
  <si>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</si>
  <si>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</si>
  <si>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</si>
  <si>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</si>
  <si>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</si>
  <si>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</si>
  <si>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</si>
  <si>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</si>
  <si>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</si>
  <si>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</si>
  <si>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</si>
  <si>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</si>
  <si>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</si>
  <si>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</si>
  <si>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</si>
  <si>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</si>
  <si>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</si>
  <si>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</si>
  <si>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</si>
  <si>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</si>
  <si>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</si>
  <si>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</si>
  <si>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</si>
  <si>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</si>
  <si>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</si>
  <si>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</si>
  <si>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</si>
  <si>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</si>
  <si>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</si>
  <si>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</si>
  <si>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</si>
  <si>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</si>
  <si>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</si>
  <si>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</si>
  <si>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</si>
  <si>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</si>
  <si>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</si>
  <si>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</si>
  <si>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</si>
  <si>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</si>
  <si>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</si>
  <si>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</si>
  <si>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</si>
  <si>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</si>
  <si>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</si>
  <si>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</si>
  <si>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</si>
  <si>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</si>
  <si>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</si>
  <si>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</si>
  <si>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</si>
  <si>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</si>
  <si>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</si>
  <si>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</si>
  <si>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</si>
  <si>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</si>
  <si>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</si>
  <si>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</si>
  <si>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</si>
  <si>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</si>
  <si>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</si>
  <si>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</si>
  <si>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</si>
  <si>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</si>
  <si>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</si>
  <si>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</si>
  <si>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</si>
  <si>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</si>
  <si>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</si>
  <si>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</si>
  <si>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</si>
  <si>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</si>
  <si>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</si>
  <si>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</si>
  <si>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</si>
  <si>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</si>
  <si>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</si>
  <si>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</si>
  <si>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</si>
  <si>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</si>
  <si>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</si>
  <si>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</si>
  <si>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</si>
  <si>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</si>
  <si>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</si>
  <si>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</si>
  <si>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</si>
  <si>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</si>
  <si>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</si>
  <si>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</si>
  <si>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</si>
  <si>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</si>
  <si>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</si>
  <si>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</si>
  <si>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</si>
  <si>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</si>
  <si>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</si>
  <si>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</si>
  <si>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</si>
  <si>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</si>
  <si>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</si>
  <si>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</si>
  <si>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</si>
  <si>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</si>
  <si>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</si>
  <si>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</si>
  <si>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</si>
  <si>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</si>
  <si>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</si>
  <si>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</si>
  <si>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</si>
  <si>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</si>
  <si>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</si>
  <si>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</si>
  <si>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</si>
  <si>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</si>
  <si>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</si>
  <si>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</si>
  <si>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</si>
  <si>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</si>
  <si>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</si>
  <si>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</si>
  <si>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</si>
  <si>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</si>
  <si>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</si>
  <si>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</si>
  <si>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</si>
  <si>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</si>
  <si>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</si>
  <si>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</si>
  <si>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</si>
  <si>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</si>
  <si>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</si>
  <si>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</si>
  <si>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</si>
  <si>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</si>
  <si>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</si>
  <si>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</si>
  <si>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</si>
  <si>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</si>
  <si>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</si>
  <si>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</si>
  <si>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</si>
  <si>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</si>
  <si>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</si>
  <si>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</si>
  <si>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</si>
  <si>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</si>
  <si>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</si>
  <si>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</si>
  <si>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</si>
  <si>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</si>
  <si>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</si>
  <si>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</si>
  <si>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</si>
  <si>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</si>
  <si>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</si>
  <si>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</si>
  <si>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</si>
  <si>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</si>
  <si>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</si>
  <si>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</si>
  <si>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</si>
  <si>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</si>
  <si>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</si>
  <si>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</si>
  <si>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</si>
  <si>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</si>
  <si>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</si>
  <si>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</si>
  <si>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</si>
  <si>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</si>
  <si>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</si>
  <si>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</si>
  <si>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</si>
  <si>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</si>
  <si>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</si>
  <si>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</si>
  <si>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</si>
  <si>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</si>
  <si>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</si>
  <si>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</si>
  <si>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</si>
  <si>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</si>
  <si>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</si>
  <si>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</si>
  <si>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</si>
  <si>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</si>
  <si>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</si>
  <si>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</si>
  <si>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</si>
  <si>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</si>
  <si>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</si>
  <si>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</si>
  <si>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</si>
  <si>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</si>
  <si>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</si>
  <si>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</si>
  <si>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</si>
  <si>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</si>
  <si>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</si>
  <si>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</si>
  <si>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</si>
  <si>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</si>
  <si>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</si>
  <si>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</si>
  <si>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</si>
  <si>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</si>
  <si>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</si>
  <si>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</si>
  <si>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</si>
  <si>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</si>
  <si>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</si>
  <si>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</si>
  <si>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</si>
  <si>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</si>
  <si>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</si>
  <si>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</si>
  <si>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</si>
  <si>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</si>
  <si>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</si>
  <si>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</si>
  <si>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</si>
  <si>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</si>
  <si>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</si>
  <si>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</si>
  <si>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</si>
  <si>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</si>
  <si>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</si>
  <si>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</si>
  <si>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</si>
  <si>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</si>
  <si>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</si>
  <si>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</si>
  <si>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</si>
  <si>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</si>
  <si>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</si>
  <si>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</si>
  <si>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</si>
  <si>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</si>
  <si>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</si>
  <si>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</si>
  <si>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</si>
  <si>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</si>
  <si>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</si>
  <si>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</si>
  <si>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</si>
  <si>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</si>
  <si>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</si>
  <si>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</si>
  <si>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</si>
  <si>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</si>
  <si>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</si>
  <si>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</si>
  <si>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</si>
  <si>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</si>
  <si>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</si>
  <si>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</si>
  <si>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</si>
  <si>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</si>
  <si>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</si>
  <si>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</si>
  <si>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</si>
  <si>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</si>
  <si>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</si>
  <si>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</si>
  <si>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</si>
  <si>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</si>
  <si>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</si>
  <si>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</si>
  <si>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</si>
  <si>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</si>
  <si>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</si>
  <si>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</si>
  <si>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</si>
  <si>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</si>
  <si>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</si>
  <si>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</si>
  <si>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</si>
  <si>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</si>
  <si>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</si>
  <si>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</si>
  <si>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</si>
  <si>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</si>
  <si>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</si>
  <si>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</si>
  <si>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</si>
  <si>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</si>
  <si>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</si>
  <si>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</si>
  <si>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</si>
  <si>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</si>
  <si>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</si>
  <si>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</si>
  <si>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</si>
  <si>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</si>
  <si>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</si>
  <si>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</si>
  <si>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</si>
  <si>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</si>
  <si>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</si>
  <si>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</si>
  <si>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</si>
  <si>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</si>
  <si>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</si>
  <si>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</si>
  <si>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</si>
  <si>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</si>
  <si>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</si>
  <si>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</si>
  <si>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</si>
  <si>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</si>
  <si>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</si>
  <si>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</si>
  <si>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</si>
  <si>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</si>
  <si>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</si>
  <si>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</si>
  <si>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</si>
  <si>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</si>
  <si>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</si>
  <si>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</si>
  <si>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</si>
  <si>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</si>
  <si>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</si>
  <si>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</si>
  <si>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</si>
  <si>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</si>
  <si>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</si>
  <si>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</si>
  <si>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</si>
  <si>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</si>
  <si>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</si>
  <si>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</si>
  <si>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</si>
  <si>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</si>
  <si>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</si>
  <si>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</si>
  <si>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</si>
  <si>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</si>
  <si>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</si>
  <si>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</si>
  <si>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</si>
  <si>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</si>
  <si>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</si>
  <si>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</si>
  <si>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</si>
  <si>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</si>
  <si>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</si>
  <si>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</si>
  <si>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</si>
  <si>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</si>
  <si>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</si>
  <si>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</si>
  <si>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</si>
  <si>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</si>
  <si>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</si>
  <si>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</si>
  <si>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</si>
  <si>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</si>
  <si>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</si>
  <si>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</si>
  <si>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</si>
  <si>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</si>
  <si>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</si>
  <si>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</si>
  <si>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</si>
  <si>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</si>
  <si>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</si>
  <si>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</si>
  <si>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</si>
  <si>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</si>
  <si>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</si>
  <si>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</si>
  <si>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</si>
  <si>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</si>
  <si>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</si>
  <si>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</si>
  <si>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</si>
  <si>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</si>
  <si>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</si>
  <si>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</si>
  <si>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</si>
  <si>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</si>
  <si>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</si>
  <si>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</si>
  <si>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</si>
  <si>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</si>
  <si>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</si>
  <si>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</si>
  <si>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</si>
  <si>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</si>
  <si>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</si>
  <si>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</si>
  <si>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</si>
  <si>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</si>
  <si>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</si>
  <si>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</si>
  <si>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</si>
  <si>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</si>
  <si>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</si>
  <si>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</si>
  <si>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</si>
  <si>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</si>
  <si>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</si>
  <si>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</si>
  <si>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</si>
  <si>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</si>
  <si>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</si>
  <si>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</si>
  <si>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</si>
  <si>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</si>
  <si>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</si>
  <si>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</si>
  <si>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</si>
  <si>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</si>
  <si>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</si>
  <si>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</si>
  <si>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</si>
  <si>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</si>
  <si>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</si>
  <si>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</si>
  <si>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</si>
  <si>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</si>
  <si>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</si>
  <si>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</si>
  <si>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</si>
  <si>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</si>
  <si>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</si>
  <si>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</si>
  <si>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</si>
  <si>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</si>
  <si>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</si>
  <si>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</si>
  <si>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</si>
  <si>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</si>
  <si>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</si>
  <si>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</si>
  <si>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</si>
  <si>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</si>
  <si>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</si>
  <si>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</si>
  <si>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</si>
  <si>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</si>
  <si>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</si>
  <si>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</si>
  <si>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</si>
  <si>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</si>
  <si>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</si>
  <si>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</si>
  <si>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</si>
  <si>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</si>
  <si>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</si>
  <si>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</si>
  <si>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</si>
  <si>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</si>
  <si>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</si>
  <si>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</si>
  <si>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</si>
  <si>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</si>
  <si>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</si>
  <si>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</si>
  <si>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</si>
  <si>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</si>
  <si>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</si>
  <si>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</si>
  <si>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</si>
  <si>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</si>
  <si>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</si>
  <si>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</si>
  <si>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</si>
  <si>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</si>
  <si>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</si>
  <si>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</si>
  <si>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</si>
  <si>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</si>
  <si>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</si>
  <si>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</si>
  <si>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</si>
  <si>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</si>
  <si>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</si>
  <si>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</si>
  <si>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</si>
  <si>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</si>
  <si>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</si>
  <si>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</si>
  <si>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</si>
  <si>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</si>
  <si>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</si>
  <si>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</si>
  <si>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</si>
  <si>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</si>
  <si>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</si>
  <si>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</si>
  <si>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</si>
  <si>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</si>
  <si>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</si>
  <si>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</si>
  <si>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</si>
  <si>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</si>
  <si>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</si>
  <si>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</si>
  <si>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</si>
  <si>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</si>
  <si>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</si>
  <si>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</si>
  <si>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</si>
  <si>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</si>
  <si>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</si>
  <si>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</si>
  <si>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</si>
  <si>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</si>
  <si>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</si>
  <si>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</si>
  <si>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</si>
  <si>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</si>
  <si>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</si>
  <si>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</si>
  <si>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</si>
  <si>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</si>
  <si>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</si>
  <si>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</si>
  <si>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</si>
  <si>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</si>
  <si>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</si>
  <si>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</si>
  <si>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</si>
  <si>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</si>
  <si>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</si>
  <si>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</si>
  <si>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</si>
  <si>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</si>
  <si>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</si>
  <si>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</si>
  <si>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</si>
  <si>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</si>
  <si>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</si>
  <si>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</si>
  <si>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</si>
  <si>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</si>
  <si>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</si>
  <si>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</si>
  <si>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</si>
  <si>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</si>
  <si>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</si>
  <si>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</si>
  <si>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</si>
  <si>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</si>
  <si>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</si>
  <si>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</si>
  <si>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</si>
  <si>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</si>
  <si>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</si>
  <si>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</si>
  <si>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</si>
  <si>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</si>
  <si>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</si>
  <si>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</si>
  <si>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</si>
  <si>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</si>
  <si>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</si>
  <si>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</si>
  <si>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</si>
  <si>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</si>
  <si>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</si>
  <si>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</si>
  <si>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</si>
  <si>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</si>
  <si>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</si>
  <si>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</si>
  <si>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</si>
  <si>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</si>
  <si>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</si>
  <si>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</si>
  <si>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</si>
  <si>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</si>
  <si>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</si>
  <si>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</si>
  <si>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</si>
  <si>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</si>
  <si>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</si>
  <si>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</si>
  <si>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</si>
  <si>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</si>
  <si>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</si>
  <si>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</si>
  <si>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</si>
  <si>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</si>
  <si>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</si>
  <si>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</si>
  <si>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</si>
  <si>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</si>
  <si>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</si>
  <si>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</si>
  <si>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</si>
  <si>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</si>
  <si>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</si>
  <si>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</si>
  <si>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</si>
  <si>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</si>
  <si>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</si>
  <si>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</si>
  <si>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</si>
  <si>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</si>
  <si>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</si>
  <si>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</si>
  <si>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</si>
  <si>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</si>
  <si>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</si>
  <si>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</si>
  <si>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</si>
  <si>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</si>
  <si>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</si>
  <si>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</si>
  <si>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</si>
  <si>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</si>
  <si>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</si>
  <si>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</si>
  <si>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</si>
  <si>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</si>
  <si>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</si>
  <si>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</si>
  <si>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</si>
  <si>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</si>
  <si>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</si>
  <si>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</si>
  <si>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</si>
  <si>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</si>
  <si>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</si>
  <si>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</si>
  <si>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</si>
  <si>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</si>
  <si>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</si>
  <si>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</si>
  <si>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</si>
  <si>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</si>
  <si>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</si>
  <si>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</si>
  <si>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</si>
  <si>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</si>
  <si>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</si>
  <si>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</si>
  <si>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</si>
  <si>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</si>
  <si>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</si>
  <si>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</si>
  <si>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</si>
  <si>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</si>
  <si>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</si>
  <si>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</si>
  <si>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</si>
  <si>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</si>
  <si>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</si>
  <si>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</si>
  <si>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</si>
  <si>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</si>
  <si>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</si>
  <si>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</si>
  <si>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</si>
  <si>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</si>
  <si>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</si>
  <si>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</si>
  <si>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</si>
  <si>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</si>
  <si>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</si>
  <si>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</si>
  <si>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</si>
  <si>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</si>
  <si>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</si>
  <si>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</si>
  <si>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</si>
  <si>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</si>
  <si>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</si>
  <si>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</si>
  <si>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</si>
  <si>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</si>
  <si>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</si>
  <si>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</si>
  <si>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</si>
  <si>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</si>
  <si>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</si>
  <si>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</si>
  <si>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</si>
  <si>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</si>
  <si>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</si>
  <si>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</si>
  <si>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</si>
  <si>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</si>
  <si>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</si>
  <si>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</si>
  <si>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</si>
  <si>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</si>
  <si>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</si>
  <si>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</si>
  <si>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</si>
  <si>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</si>
  <si>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</si>
  <si>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</si>
  <si>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</si>
  <si>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</si>
  <si>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</si>
  <si>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</si>
  <si>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</si>
  <si>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</si>
  <si>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</si>
  <si>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</si>
  <si>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</si>
  <si>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</si>
  <si>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</si>
  <si>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</si>
  <si>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</si>
  <si>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</si>
  <si>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</si>
  <si>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</si>
  <si>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</si>
  <si>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</si>
  <si>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</si>
  <si>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</si>
  <si>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</si>
  <si>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</si>
  <si>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</si>
  <si>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</si>
  <si>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</si>
  <si>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</si>
  <si>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</si>
  <si>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</si>
  <si>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</si>
  <si>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</si>
  <si>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</si>
  <si>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</si>
  <si>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</si>
  <si>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</si>
  <si>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</si>
  <si>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</si>
  <si>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</si>
  <si>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</si>
  <si>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</si>
  <si>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</si>
  <si>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</si>
  <si>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</si>
  <si>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</si>
  <si>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</si>
  <si>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</si>
  <si>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</si>
  <si>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</si>
  <si>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</si>
  <si>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</si>
  <si>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</si>
  <si>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</si>
  <si>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</si>
  <si>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</si>
  <si>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</si>
  <si>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</si>
  <si>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</si>
  <si>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</si>
  <si>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</si>
  <si>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</si>
  <si>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</si>
  <si>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</si>
  <si>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</si>
  <si>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</si>
  <si>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</si>
  <si>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</si>
  <si>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</si>
  <si>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</si>
  <si>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</si>
  <si>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</si>
  <si>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</si>
  <si>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</si>
  <si>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</si>
  <si>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</si>
  <si>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</si>
  <si>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</si>
  <si>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</si>
  <si>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</si>
  <si>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</si>
  <si>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</si>
  <si>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</si>
  <si>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</si>
  <si>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</si>
  <si>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</si>
  <si>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</si>
  <si>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</si>
  <si>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</si>
  <si>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</si>
  <si>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</si>
  <si>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</si>
  <si>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</si>
  <si>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</si>
  <si>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</si>
  <si>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</si>
  <si>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</si>
  <si>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</si>
  <si>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</si>
  <si>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</si>
  <si>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</si>
  <si>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</si>
  <si>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</si>
  <si>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</si>
  <si>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</si>
  <si>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</si>
  <si>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</si>
  <si>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</si>
  <si>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</si>
  <si>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</si>
  <si>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</si>
  <si>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</si>
  <si>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</si>
  <si>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</si>
  <si>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</si>
  <si>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</si>
  <si>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</si>
  <si>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</si>
  <si>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</si>
  <si>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</si>
  <si>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</si>
  <si>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</si>
  <si>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</si>
  <si>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</si>
  <si>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</si>
  <si>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</si>
  <si>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</si>
  <si>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</si>
  <si>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</si>
  <si>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</si>
  <si>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</si>
  <si>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</si>
  <si>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UPSET! Normal winner is 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</si>
  <si>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</si>
  <si>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</si>
  <si>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</si>
  <si>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</si>
  <si>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</si>
  <si>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</si>
  <si>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Ball State: 69 - 432 :Baylor</t>
  </si>
  <si>
    <t>Bellarmine: 79 - 422 :Belmont</t>
  </si>
  <si>
    <t>Bethune-Cookman: 418 - 83 :Binghamton</t>
  </si>
  <si>
    <t>Boise State: 409 - 92 :Boston College</t>
  </si>
  <si>
    <t>Drake: 4 - 497 :Duke</t>
  </si>
  <si>
    <t>Bradley: 85 - 416 :Brigham Young</t>
  </si>
  <si>
    <t>Brown: 301 - 200 :Bryant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</si>
  <si>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</si>
  <si>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</si>
  <si>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</si>
  <si>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</si>
  <si>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</si>
  <si>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</si>
  <si>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UPSET! Normal winner is Arkansas</t>
  </si>
  <si>
    <t>Arkansas-Pine Bluff: 371 - 130 :Army</t>
  </si>
  <si>
    <t>Chattanooga: 375 - 126 :Chicago State</t>
  </si>
  <si>
    <t>UPSET! Normal winner is Cincinnati</t>
  </si>
  <si>
    <t>UPSET! Normal winner is 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</si>
  <si>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</si>
  <si>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</si>
  <si>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</si>
  <si>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</si>
  <si>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</si>
  <si>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</si>
  <si>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Bakersfield: 30 - 471 :Cal State Northridge</t>
  </si>
  <si>
    <t>UPSET! Normal winner is Central Arkansas</t>
  </si>
  <si>
    <t>UPSET! Normal winner is Charleston Southern</t>
  </si>
  <si>
    <t>Auburn: 279 - 222 :Baylor</t>
  </si>
  <si>
    <t>Belmont: 310 - 191 :Bethune-Cookman</t>
  </si>
  <si>
    <t>Boise State: 34 - 467 :Duke</t>
  </si>
  <si>
    <t>Brigham Young: 490 - 11 :Brown</t>
  </si>
  <si>
    <t>Abilene Christian: 1 - 500 :Alabama</t>
  </si>
  <si>
    <t>Alabama A&amp;M: 204 - 297 :Albany (NY)</t>
  </si>
  <si>
    <t>Appalachian State: 23 - 478 :Arizona</t>
  </si>
  <si>
    <t>UPSET! Normal winner is Arkansas State</t>
  </si>
  <si>
    <t>Chattanooga: 73 - 428 :Clemson</t>
  </si>
  <si>
    <t>Cleveland State: 24 - 477 :College of Charleston</t>
  </si>
  <si>
    <t>UPSET! Normal winner is Connecticut</t>
  </si>
  <si>
    <t>Cornell: 181 - 320 :Creighton</t>
  </si>
  <si>
    <t>Butler: 221 - 280 :Cal State Northridge</t>
  </si>
  <si>
    <t>Campbell: 409 - 92 :Central Michigan</t>
  </si>
  <si>
    <t>UPSET! Normal winner is Auburn</t>
  </si>
  <si>
    <t>Duke: 356 - 145 :Brigham Young</t>
  </si>
  <si>
    <t>Alabama: 490 - 11 :Albany (NY)</t>
  </si>
  <si>
    <t>Arizona: 498 - 3 :Arkansas-Pine Bluff</t>
  </si>
  <si>
    <t>Clemson: 181 - 320 :College of Charleston</t>
  </si>
  <si>
    <t>UPSET! Normal winner is Colorado</t>
  </si>
  <si>
    <t>Cal State Northridge: 297 - 204 :Campbell</t>
  </si>
  <si>
    <t>Belmont: 48 - 453 :Duke</t>
  </si>
  <si>
    <t>Alabama: 116 - 385 :Arizona</t>
  </si>
  <si>
    <t>College of Charleston: 395 - 106 :Creighton</t>
  </si>
  <si>
    <t>Duke: 438 - 63 :Cal State Northridge</t>
  </si>
  <si>
    <t>Arizona: 464 - 37 :College of Charleston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</si>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</sst>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0.8</v>
      </c>
      <c r="M7" s="82" t="e" vm="70">
        <f>_xlfn.XLOOKUP(I7,Teams!$C:$C,Teams!$E:$E,,0,1)</f>
        <v>#VALUE!</v>
      </c>
      <c r="N7" s="82">
        <v>0.2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</v>
      </c>
      <c r="M27" s="82" t="e" vm="110">
        <f>_xlfn.XLOOKUP(I27,Teams!$C:$C,Teams!$E:$E,,0,1)</f>
        <v>#VALUE!</v>
      </c>
      <c r="N27" s="82">
        <v>0.9</v>
      </c>
      <c r="O27" s="189" t="str">
        <f t="shared" si="3"/>
        <v>Arkansas State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Clemson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0.06</v>
      </c>
      <c r="M39" s="82" t="e" vm="71">
        <f>_xlfn.XLOOKUP(I39,Teams!$C:$C,Teams!$E:$E,,0,1)</f>
        <v>#VALUE!</v>
      </c>
      <c r="N39" s="82">
        <v>0.94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0.57999999999999996</v>
      </c>
      <c r="M41" s="139" t="e" vm="79">
        <f>_xlfn.XLOOKUP(I41,Teams!$C:$C,Teams!$E:$E,,0,1)</f>
        <v>#VALUE!</v>
      </c>
      <c r="N41" s="139">
        <v>0.42</v>
      </c>
      <c r="O41" s="195" t="str">
        <f t="shared" si="9"/>
        <v>Central Michigan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 State</v>
      </c>
      <c r="B49" s="152" t="str">
        <f t="shared" si="11"/>
        <v>Arkansas-Pine Bluff</v>
      </c>
      <c r="C49" s="152" t="str">
        <f t="shared" si="7"/>
        <v>Arkansas State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42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0.26</v>
      </c>
      <c r="M49" s="139" t="e" vm="111">
        <f>_xlfn.XLOOKUP(I49,Teams!$C:$C,Teams!$E:$E,,0,1)</f>
        <v>#VALUE!</v>
      </c>
      <c r="N49" s="139">
        <v>0.74</v>
      </c>
      <c r="O49" s="195" t="str">
        <f t="shared" si="9"/>
        <v>Arkansas-Pine Bluff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Clemson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80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0.15</v>
      </c>
      <c r="M50" s="145" t="e" vm="116">
        <f>_xlfn.XLOOKUP(I50,Teams!$C:$C,Teams!$E:$E,,0,1)</f>
        <v>#VALUE!</v>
      </c>
      <c r="N50" s="145">
        <v>0.85</v>
      </c>
      <c r="O50" s="196" t="str">
        <f t="shared" si="9"/>
        <v>Clemson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College of Charleston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7">
        <f>_xlfn.XLOOKUP(G51,Teams!$C:$C,Teams!$E:$E,,0,1)</f>
        <v>#VALUE!</v>
      </c>
      <c r="L51" s="83">
        <v>0.05</v>
      </c>
      <c r="M51" s="83" t="e" vm="120">
        <f>_xlfn.XLOOKUP(I51,Teams!$C:$C,Teams!$E:$E,,0,1)</f>
        <v>#VALUE!</v>
      </c>
      <c r="N51" s="83">
        <v>0.95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Connecticut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0.82</v>
      </c>
      <c r="M52" s="83" t="e" vm="124">
        <f>_xlfn.XLOOKUP(I52,Teams!$C:$C,Teams!$E:$E,,0,1)</f>
        <v>#VALUE!</v>
      </c>
      <c r="N52" s="83">
        <v>0.18</v>
      </c>
      <c r="O52" s="192" t="str">
        <f t="shared" si="9"/>
        <v>Colorado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Central Michigan</v>
      </c>
      <c r="C56" s="91" t="str">
        <f t="shared" si="12"/>
        <v>Central Michigan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74</v>
      </c>
      <c r="J56" s="138" cm="1">
        <f t="array" ref="J56">_xlfn.XLOOKUP(I56,Teams[[#All],[Team]],Teams[[#All],[Seed]],0,0,1)</f>
        <v>10</v>
      </c>
      <c r="K56" s="139" t="e" vm="74">
        <f>_xlfn.XLOOKUP(G56,Teams!$C:$C,Teams!$E:$E,,0,1)</f>
        <v>#VALUE!</v>
      </c>
      <c r="L56" s="139">
        <v>0.82</v>
      </c>
      <c r="M56" s="139" t="e" vm="78">
        <f>_xlfn.XLOOKUP(I56,Teams!$C:$C,Teams!$E:$E,,0,1)</f>
        <v>#VALUE!</v>
      </c>
      <c r="N56" s="139">
        <v>0.18</v>
      </c>
      <c r="O56" s="195" t="str">
        <f t="shared" si="14"/>
        <v>Campbell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Auburn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0.41</v>
      </c>
      <c r="M57" s="145" t="e" vm="86">
        <f>_xlfn.XLOOKUP(I57,Teams!$C:$C,Teams!$E:$E,,0,1)</f>
        <v>#VALUE!</v>
      </c>
      <c r="N57" s="145">
        <v>0.59</v>
      </c>
      <c r="O57" s="196" t="str">
        <f t="shared" si="14"/>
        <v>Belmont</v>
      </c>
      <c r="P57" s="211" t="e" vm="86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100">
        <f>_xlfn.XLOOKUP(G59,Teams!$C:$C,Teams!$E:$E,,0,1)</f>
        <v>#VALUE!</v>
      </c>
      <c r="L59" s="84">
        <v>0.98</v>
      </c>
      <c r="M59" s="84" t="e" vm="103">
        <f>_xlfn.XLOOKUP(I59,Teams!$C:$C,Teams!$E:$E,,0,1)</f>
        <v>#VALUE!</v>
      </c>
      <c r="N59" s="84">
        <v>0.02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Arkansas-Pine Bluff</v>
      </c>
      <c r="C60" s="152" t="str">
        <f t="shared" si="12"/>
        <v>Arkansas-Pine Bluff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43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0.99</v>
      </c>
      <c r="M60" s="139" t="e" vm="111">
        <f>_xlfn.XLOOKUP(I60,Teams!$C:$C,Teams!$E:$E,,0,1)</f>
        <v>#VALUE!</v>
      </c>
      <c r="N60" s="139">
        <v>0.01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Clemson</v>
      </c>
      <c r="B61" s="91" t="str">
        <f t="shared" si="16"/>
        <v>College of Charleston</v>
      </c>
      <c r="C61" s="91" t="str">
        <f t="shared" si="12"/>
        <v>Clemson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80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6">
        <f>_xlfn.XLOOKUP(G61,Teams!$C:$C,Teams!$E:$E,,0,1)</f>
        <v>#VALUE!</v>
      </c>
      <c r="L61" s="145">
        <v>0.36</v>
      </c>
      <c r="M61" s="145" t="e" vm="120">
        <f>_xlfn.XLOOKUP(I61,Teams!$C:$C,Teams!$E:$E,,0,1)</f>
        <v>#VALUE!</v>
      </c>
      <c r="N61" s="145">
        <v>0.64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Creighton</v>
      </c>
      <c r="C62" s="91" t="str">
        <f t="shared" si="12"/>
        <v>Colorado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0.42</v>
      </c>
      <c r="M62" s="151" t="e" vm="127">
        <f>_xlfn.XLOOKUP(I62,Teams!$C:$C,Teams!$E:$E,,0,1)</f>
        <v>#VALUE!</v>
      </c>
      <c r="N62" s="151">
        <v>0.57999999999999996</v>
      </c>
      <c r="O62" s="197" t="str">
        <f t="shared" si="14"/>
        <v>Creighton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Campbell</v>
      </c>
      <c r="C64" s="91" t="str">
        <f>IF(O64="","",IF(A64=O64,B64,A64))</f>
        <v>Campbell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70</v>
      </c>
      <c r="J64" s="157" cm="1">
        <f t="array" ref="J64">_xlfn.XLOOKUP(I64,Teams[[#All],[Team]],Teams[[#All],[Seed]],0,0,1)</f>
        <v>11</v>
      </c>
      <c r="K64" s="158" t="e" vm="71">
        <f>_xlfn.XLOOKUP(G64,Teams!$C:$C,Teams!$E:$E,,0,1)</f>
        <v>#VALUE!</v>
      </c>
      <c r="L64" s="158">
        <v>0.59</v>
      </c>
      <c r="M64" s="158" t="e" vm="74">
        <f>_xlfn.XLOOKUP(I64,Teams!$C:$C,Teams!$E:$E,,0,1)</f>
        <v>#VALUE!</v>
      </c>
      <c r="N64" s="158">
        <v>0.41</v>
      </c>
      <c r="O64" s="198" t="str">
        <f>IF(L64&gt;N64,G64,I64)</f>
        <v>Cal State Northridge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Belmont</v>
      </c>
      <c r="B65" s="91" t="str">
        <f>I65</f>
        <v>Duke</v>
      </c>
      <c r="C65" s="91" t="str">
        <f>IF(O65="","",IF(A65=O65,B65,A65))</f>
        <v>Belmont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12</v>
      </c>
      <c r="G65" s="161" t="s">
        <v>50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6">
        <f>_xlfn.XLOOKUP(G65,Teams!$C:$C,Teams!$E:$E,,0,1)</f>
        <v>#VALUE!</v>
      </c>
      <c r="L65" s="164">
        <v>0.1</v>
      </c>
      <c r="M65" s="164" t="e" vm="92">
        <f>_xlfn.XLOOKUP(I65,Teams!$C:$C,Teams!$E:$E,,0,1)</f>
        <v>#VALUE!</v>
      </c>
      <c r="N65" s="164">
        <v>0.9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Creighton</v>
      </c>
      <c r="C67" s="91" t="str">
        <f>IF(O67="","",IF(A67=O67,B67,A67))</f>
        <v>Creighton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91</v>
      </c>
      <c r="J67" s="163" cm="1">
        <f t="array" ref="J67">_xlfn.XLOOKUP(I67,Teams[[#All],[Team]],Teams[[#All],[Seed]],0,0,1)</f>
        <v>2</v>
      </c>
      <c r="K67" s="164" t="e" vm="120">
        <f>_xlfn.XLOOKUP(G67,Teams!$C:$C,Teams!$E:$E,,0,1)</f>
        <v>#VALUE!</v>
      </c>
      <c r="L67" s="164">
        <v>0.79</v>
      </c>
      <c r="M67" s="164" t="e" vm="127">
        <f>_xlfn.XLOOKUP(I67,Teams!$C:$C,Teams!$E:$E,,0,1)</f>
        <v>#VALUE!</v>
      </c>
      <c r="N67" s="164">
        <v>0.21</v>
      </c>
      <c r="O67" s="199" t="str">
        <f>IF(L67&gt;N67,G67,I67)</f>
        <v>College of Charleston</v>
      </c>
      <c r="P67" s="207" t="e" vm="120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Cal State Northridge</v>
      </c>
      <c r="B69" s="91" t="str">
        <f>I69</f>
        <v>Duke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67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1">
        <f>_xlfn.XLOOKUP(G69,Teams!$C:$C,Teams!$E:$E,,0,1)</f>
        <v>#VALUE!</v>
      </c>
      <c r="L69" s="170">
        <v>0.87</v>
      </c>
      <c r="M69" s="170" t="e" vm="92">
        <f>_xlfn.XLOOKUP(I69,Teams!$C:$C,Teams!$E:$E,,0,1)</f>
        <v>#VALUE!</v>
      </c>
      <c r="N69" s="170">
        <v>0.13</v>
      </c>
      <c r="O69" s="200" t="str">
        <f>IF(L69&gt;N69,G69,I69)</f>
        <v>Cal State Northridge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College of Charleston</v>
      </c>
      <c r="C70" s="91" t="str">
        <f>IF(O70="","",IF(A70=O70,B70,A70))</f>
        <v>College of Charleston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84</v>
      </c>
      <c r="J70" s="163" cm="1">
        <f t="array" ref="J70">_xlfn.XLOOKUP(I70,Teams[[#All],[Team]],Teams[[#All],[Seed]],0,0,1)</f>
        <v>13</v>
      </c>
      <c r="K70" s="164" t="e" vm="107">
        <f>_xlfn.XLOOKUP(G70,Teams!$C:$C,Teams!$E:$E,,0,1)</f>
        <v>#VALUE!</v>
      </c>
      <c r="L70" s="164">
        <v>0.93</v>
      </c>
      <c r="M70" s="164" t="e" vm="120">
        <f>_xlfn.XLOOKUP(I70,Teams!$C:$C,Teams!$E:$E,,0,1)</f>
        <v>#VALUE!</v>
      </c>
      <c r="N70" s="164">
        <v>7.0000000000000007E-2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0.65</v>
      </c>
      <c r="M72" s="158" t="e" vm="107">
        <f>_xlfn.XLOOKUP(I72,Teams!$C:$C,Teams!$E:$E,,0,1)</f>
        <v>#VALUE!</v>
      </c>
      <c r="N72" s="158">
        <v>0.35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0.98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0.59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0.8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0.06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0.02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Cal State Northridge</v>
      </c>
      <c r="P19" s="247" t="e" vm="71">
        <f>_xlfn.XLOOKUP(O19,Teams!$C:$C,Teams!$E:$E,,0,1)</f>
        <v>#VALUE!</v>
      </c>
      <c r="Q19" s="264">
        <f>Games!L69</f>
        <v>0.87</v>
      </c>
      <c r="R19" s="25"/>
      <c r="S19" s="25"/>
      <c r="T19" s="257"/>
      <c r="U19" s="258"/>
      <c r="V19" s="259"/>
      <c r="W19" s="25"/>
      <c r="X19" s="25"/>
      <c r="Y19" s="264">
        <f>Games!L70</f>
        <v>0.93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0.82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0.99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Campbell</v>
      </c>
      <c r="M27" s="247" t="e" vm="74">
        <f>_xlfn.XLOOKUP(L27,Teams!$C:$C,Teams!$E:$E,,0,1)</f>
        <v>#VALUE!</v>
      </c>
      <c r="N27" s="277">
        <f>Games!N64</f>
        <v>0.41</v>
      </c>
      <c r="O27" s="25"/>
      <c r="P27" s="25"/>
      <c r="Q27" s="50"/>
      <c r="R27" s="279" t="str">
        <f>Games!O69</f>
        <v>Cal State Northridge</v>
      </c>
      <c r="S27" s="262"/>
      <c r="T27" s="262"/>
      <c r="U27" s="289" t="e" vm="71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0.57999999999999996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0.26</v>
      </c>
      <c r="AI29" s="249" t="e" vm="110">
        <f>_xlfn.XLOOKUP(AJ29,Teams!$C:$C,Teams!$E:$E,,0,1)</f>
        <v>#VALUE!</v>
      </c>
      <c r="AJ29" s="262" t="str">
        <f>Games!O27</f>
        <v>Arkansas State</v>
      </c>
      <c r="AK29" s="58">
        <f>Games!L27</f>
        <v>0.1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Central Michigan</v>
      </c>
      <c r="J31" s="247" t="e" vm="78">
        <f>_xlfn.XLOOKUP(I31,Teams!$C:$C,Teams!$E:$E,,0,1)</f>
        <v>#VALUE!</v>
      </c>
      <c r="K31" s="277">
        <f>Games!N56</f>
        <v>0.18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0.01</v>
      </c>
      <c r="AF31" s="249" t="e" vm="111">
        <f>_xlfn.XLOOKUP(AG31,Teams!$C:$C,Teams!$E:$E,,0,1)</f>
        <v>#VALUE!</v>
      </c>
      <c r="AG31" s="262" t="str">
        <f>Games!O49</f>
        <v>Arkansas-Pine Bluff</v>
      </c>
      <c r="AH31" s="55"/>
      <c r="AI31" s="51"/>
      <c r="AJ31" s="282">
        <f>IF($AU$5=TRUE,AJ23+1,"")</f>
        <v>44</v>
      </c>
      <c r="AK31" s="59">
        <f>Games!N27</f>
        <v>0.9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0.42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0.74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0.15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0.41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0.36</v>
      </c>
      <c r="AF39" s="249" t="e" vm="116">
        <f>_xlfn.XLOOKUP(AG39,Teams!$C:$C,Teams!$E:$E,,0,1)</f>
        <v>#VALUE!</v>
      </c>
      <c r="AG39" s="262" t="str">
        <f>Games!O50</f>
        <v>Clemson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0.85</v>
      </c>
      <c r="AI41" s="249" t="e" vm="116">
        <f>_xlfn.XLOOKUP(AJ41,Teams!$C:$C,Teams!$E:$E,,0,1)</f>
        <v>#VALUE!</v>
      </c>
      <c r="AJ41" s="262" t="str">
        <f>Games!O30</f>
        <v>Clemson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Belmont</v>
      </c>
      <c r="M43" s="247" t="e" vm="86">
        <f>_xlfn.XLOOKUP(L43,Teams!$C:$C,Teams!$E:$E,,0,1)</f>
        <v>#VALUE!</v>
      </c>
      <c r="N43" s="264">
        <f>Games!L65</f>
        <v>0.1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0.79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0.05</v>
      </c>
      <c r="AI45" s="249" t="e" vm="117">
        <f>_xlfn.XLOOKUP(AJ45,Teams!$C:$C,Teams!$E:$E,,0,1)</f>
        <v>#VALUE!</v>
      </c>
      <c r="AJ45" s="262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0.59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0.64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0.95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0.13</v>
      </c>
      <c r="R51" s="25"/>
      <c r="S51" s="25"/>
      <c r="T51" s="25"/>
      <c r="U51" s="75"/>
      <c r="V51" s="25"/>
      <c r="W51" s="25"/>
      <c r="X51" s="25"/>
      <c r="Y51" s="269">
        <f>Games!N70</f>
        <v>7.0000000000000007E-2</v>
      </c>
      <c r="Z51" s="249" t="e" vm="120">
        <f>_xlfn.XLOOKUP(AA51,Teams!$C:$C,Teams!$E:$E,,0,1)</f>
        <v>#VALUE!</v>
      </c>
      <c r="AA51" s="262" t="str">
        <f>Games!O67</f>
        <v>College of Charleston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0.82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0.42</v>
      </c>
      <c r="AF55" s="249" t="e" vm="121">
        <f>_xlfn.XLOOKUP(AG55,Teams!$C:$C,Teams!$E:$E,,0,1)</f>
        <v>#VALUE!</v>
      </c>
      <c r="AG55" s="262" t="str">
        <f>Games!O52</f>
        <v>Colorado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0.18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0.9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0.21</v>
      </c>
      <c r="AC59" s="249" t="e" vm="127">
        <f>_xlfn.XLOOKUP(AD59,Teams!$C:$C,Teams!$E:$E,,0,1)</f>
        <v>#VALUE!</v>
      </c>
      <c r="AD59" s="262" t="str">
        <f>Games!O62</f>
        <v>Creighton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0.57999999999999996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