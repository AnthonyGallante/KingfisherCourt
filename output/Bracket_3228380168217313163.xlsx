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25DC60FF-223C-44C6-A5AE-E5FE571092A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<sst xmlns="http://schemas.openxmlformats.org/spreadsheetml/2006/main" count="1526" uniqueCount="1194">
  <si>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</si>
  <si>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</si>
  <si>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</si>
  <si>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</si>
  <si>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</si>
  <si>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</si>
  <si>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</si>
  <si>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</si>
  <si>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</si>
  <si>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</si>
  <si>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</si>
  <si>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</si>
  <si>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</si>
  <si>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</si>
  <si>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</si>
  <si>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</si>
  <si>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</si>
  <si>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</si>
  <si>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</si>
  <si>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</si>
  <si>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</si>
  <si>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</si>
  <si>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</si>
  <si>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</si>
  <si>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</si>
  <si>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</si>
  <si>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</si>
  <si>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</si>
  <si>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</si>
  <si>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</si>
  <si>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</si>
  <si>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</si>
  <si>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</si>
  <si>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</si>
  <si>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</si>
  <si>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</si>
  <si>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</si>
  <si>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</si>
  <si>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</si>
  <si>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</si>
  <si>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</si>
  <si>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</si>
  <si>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</si>
  <si>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</si>
  <si>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</si>
  <si>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</si>
  <si>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</si>
  <si>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</si>
  <si>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</si>
  <si>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</si>
  <si>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</si>
  <si>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</si>
  <si>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</si>
  <si>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</si>
  <si>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</si>
  <si>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</si>
  <si>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</si>
  <si>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</si>
  <si>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</si>
  <si>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</si>
  <si>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</si>
  <si>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</si>
  <si>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</si>
  <si>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</si>
  <si>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</si>
  <si>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</si>
  <si>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</si>
  <si>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</si>
  <si>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</si>
  <si>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</si>
  <si>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</si>
  <si>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</si>
  <si>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</si>
  <si>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</si>
  <si>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</si>
  <si>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</si>
  <si>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</si>
  <si>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</si>
  <si>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</si>
  <si>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</si>
  <si>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</si>
  <si>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</si>
  <si>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</si>
  <si>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</si>
  <si>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</si>
  <si>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</si>
  <si>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</si>
  <si>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</si>
  <si>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</si>
  <si>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</si>
  <si>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</si>
  <si>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</si>
  <si>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</si>
  <si>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</si>
  <si>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</si>
  <si>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</si>
  <si>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</si>
  <si>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</si>
  <si>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</si>
  <si>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</si>
  <si>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</si>
  <si>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</si>
  <si>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</si>
  <si>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</si>
  <si>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</si>
  <si>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</si>
  <si>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</si>
  <si>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</si>
  <si>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</si>
  <si>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</si>
  <si>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</si>
  <si>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</si>
  <si>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</si>
  <si>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</si>
  <si>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</si>
  <si>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</si>
  <si>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</si>
  <si>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</si>
  <si>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</si>
  <si>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</si>
  <si>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</si>
  <si>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</si>
  <si>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</si>
  <si>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</si>
  <si>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</si>
  <si>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</si>
  <si>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</si>
  <si>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</si>
  <si>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</si>
  <si>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</si>
  <si>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</si>
  <si>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</si>
  <si>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</si>
  <si>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</si>
  <si>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</si>
  <si>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</si>
  <si>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</si>
  <si>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</si>
  <si>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</si>
  <si>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</si>
  <si>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</si>
  <si>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</si>
  <si>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</si>
  <si>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</si>
  <si>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</si>
  <si>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</si>
  <si>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</si>
  <si>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</si>
  <si>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</si>
  <si>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</si>
  <si>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</si>
  <si>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</si>
  <si>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</si>
  <si>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</si>
  <si>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</si>
  <si>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</si>
  <si>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</si>
  <si>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</si>
  <si>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</si>
  <si>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</si>
  <si>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</si>
  <si>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</si>
  <si>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</si>
  <si>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</si>
  <si>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</si>
  <si>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</si>
  <si>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</si>
  <si>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</si>
  <si>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</si>
  <si>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</si>
  <si>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</si>
  <si>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</si>
  <si>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</si>
  <si>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</si>
  <si>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</si>
  <si>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</si>
  <si>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</si>
  <si>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</si>
  <si>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</si>
  <si>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</si>
  <si>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</si>
  <si>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</si>
  <si>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</si>
  <si>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</si>
  <si>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</si>
  <si>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</si>
  <si>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</si>
  <si>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</si>
  <si>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</si>
  <si>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</si>
  <si>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</si>
  <si>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</si>
  <si>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</si>
  <si>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</si>
  <si>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</si>
  <si>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</si>
  <si>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</si>
  <si>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</si>
  <si>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</si>
  <si>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</si>
  <si>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</si>
  <si>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</si>
  <si>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</si>
  <si>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</si>
  <si>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</si>
  <si>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</si>
  <si>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</si>
  <si>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</si>
  <si>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</si>
  <si>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</si>
  <si>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</si>
  <si>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</si>
  <si>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</si>
  <si>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</si>
  <si>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</si>
  <si>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</si>
  <si>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</si>
  <si>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</si>
  <si>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</si>
  <si>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</si>
  <si>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</si>
  <si>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</si>
  <si>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</si>
  <si>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</si>
  <si>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</si>
  <si>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</si>
  <si>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</si>
  <si>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</si>
  <si>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</si>
  <si>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</si>
  <si>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</si>
  <si>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</si>
  <si>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</si>
  <si>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</si>
  <si>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</si>
  <si>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</si>
  <si>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</si>
  <si>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</si>
  <si>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</si>
  <si>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</si>
  <si>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</si>
  <si>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</si>
  <si>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</si>
  <si>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</si>
  <si>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</si>
  <si>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</si>
  <si>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</si>
  <si>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</si>
  <si>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</si>
  <si>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</si>
  <si>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</si>
  <si>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</si>
  <si>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</si>
  <si>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</si>
  <si>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</si>
  <si>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</si>
  <si>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</si>
  <si>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</si>
  <si>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</si>
  <si>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</si>
  <si>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</si>
  <si>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</si>
  <si>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</si>
  <si>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</si>
  <si>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</si>
  <si>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</si>
  <si>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</si>
  <si>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</si>
  <si>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</si>
  <si>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</si>
  <si>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</si>
  <si>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</si>
  <si>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</si>
  <si>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</si>
  <si>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</si>
  <si>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</si>
  <si>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</si>
  <si>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</si>
  <si>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</si>
  <si>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</si>
  <si>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</si>
  <si>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</si>
  <si>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</si>
  <si>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</si>
  <si>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</si>
  <si>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</si>
  <si>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</si>
  <si>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</si>
  <si>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</si>
  <si>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</si>
  <si>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</si>
  <si>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</si>
  <si>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</si>
  <si>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</si>
  <si>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</si>
  <si>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</si>
  <si>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</si>
  <si>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</si>
  <si>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</si>
  <si>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</si>
  <si>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</si>
  <si>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</si>
  <si>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</si>
  <si>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</si>
  <si>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</si>
  <si>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</si>
  <si>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</si>
  <si>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</si>
  <si>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</si>
  <si>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</si>
  <si>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</si>
  <si>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</si>
  <si>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</si>
  <si>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</si>
  <si>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</si>
  <si>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</si>
  <si>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</si>
  <si>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</si>
  <si>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</si>
  <si>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</si>
  <si>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</si>
  <si>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</si>
  <si>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</si>
  <si>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</si>
  <si>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</si>
  <si>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</si>
  <si>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</si>
  <si>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</si>
  <si>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</si>
  <si>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</si>
  <si>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</si>
  <si>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</si>
  <si>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</si>
  <si>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</si>
  <si>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</si>
  <si>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</si>
  <si>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</si>
  <si>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</si>
  <si>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</si>
  <si>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</si>
  <si>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</si>
  <si>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</si>
  <si>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</si>
  <si>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</si>
  <si>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</si>
  <si>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</si>
  <si>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</si>
  <si>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</si>
  <si>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</si>
  <si>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</si>
  <si>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</si>
  <si>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</si>
  <si>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</si>
  <si>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</si>
  <si>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</si>
  <si>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</si>
  <si>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</si>
  <si>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</si>
  <si>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</si>
  <si>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</si>
  <si>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</si>
  <si>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</si>
  <si>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</si>
  <si>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</si>
  <si>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</si>
  <si>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</si>
  <si>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</si>
  <si>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</si>
  <si>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</si>
  <si>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</si>
  <si>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</si>
  <si>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</si>
  <si>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</si>
  <si>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</si>
  <si>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</si>
  <si>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</si>
  <si>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</si>
  <si>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</si>
  <si>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</si>
  <si>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</si>
  <si>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</si>
  <si>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</si>
  <si>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</si>
  <si>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</si>
  <si>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</si>
  <si>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</si>
  <si>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</si>
  <si>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</si>
  <si>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</si>
  <si>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</si>
  <si>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</si>
  <si>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</si>
  <si>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</si>
  <si>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</si>
  <si>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</si>
  <si>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</si>
  <si>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</si>
  <si>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</si>
  <si>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</si>
  <si>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</si>
  <si>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</si>
  <si>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</si>
  <si>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</si>
  <si>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</si>
  <si>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</si>
  <si>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</si>
  <si>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</si>
  <si>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</si>
  <si>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</si>
  <si>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</si>
  <si>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</si>
  <si>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</si>
  <si>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</si>
  <si>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</si>
  <si>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</si>
  <si>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</si>
  <si>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</si>
  <si>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</si>
  <si>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</si>
  <si>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</si>
  <si>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</si>
  <si>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</si>
  <si>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</si>
  <si>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</si>
  <si>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</si>
  <si>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</si>
  <si>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</si>
  <si>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</si>
  <si>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</si>
  <si>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</si>
  <si>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</si>
  <si>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</si>
  <si>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</si>
  <si>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</si>
  <si>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</si>
  <si>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</si>
  <si>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</si>
  <si>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</si>
  <si>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</si>
  <si>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</si>
  <si>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</si>
  <si>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</si>
  <si>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</si>
  <si>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</si>
  <si>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</si>
  <si>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</si>
  <si>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</si>
  <si>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</si>
  <si>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</si>
  <si>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</si>
  <si>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</si>
  <si>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</si>
  <si>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</si>
  <si>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</si>
  <si>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</si>
  <si>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</si>
  <si>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</si>
  <si>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</si>
  <si>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</si>
  <si>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</si>
  <si>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</si>
  <si>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</si>
  <si>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</si>
  <si>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</si>
  <si>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</si>
  <si>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</si>
  <si>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</si>
  <si>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</si>
  <si>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</si>
  <si>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</si>
  <si>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</si>
  <si>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</si>
  <si>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</si>
  <si>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</si>
  <si>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</si>
  <si>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</si>
  <si>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</si>
  <si>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</si>
  <si>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</si>
  <si>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</si>
  <si>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</si>
  <si>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</si>
  <si>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</si>
  <si>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</si>
  <si>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</si>
  <si>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</si>
  <si>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</si>
  <si>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</si>
  <si>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</si>
  <si>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</si>
  <si>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</si>
  <si>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</si>
  <si>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</si>
  <si>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</si>
  <si>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</si>
  <si>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</si>
  <si>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</si>
  <si>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</si>
  <si>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</si>
  <si>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</si>
  <si>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</si>
  <si>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</si>
  <si>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</si>
  <si>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</si>
  <si>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</si>
  <si>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</si>
  <si>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</si>
  <si>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</si>
  <si>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</si>
  <si>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</si>
  <si>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</si>
  <si>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</si>
  <si>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</si>
  <si>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</si>
  <si>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</si>
  <si>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</si>
  <si>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</si>
  <si>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</si>
  <si>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</si>
  <si>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</si>
  <si>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</si>
  <si>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</si>
  <si>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</si>
  <si>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</si>
  <si>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</si>
  <si>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</si>
  <si>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</si>
  <si>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</si>
  <si>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</si>
  <si>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</si>
  <si>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</si>
  <si>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</si>
  <si>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</si>
  <si>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</si>
  <si>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</si>
  <si>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</si>
  <si>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</si>
  <si>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</si>
  <si>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</si>
  <si>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</si>
  <si>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</si>
  <si>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</si>
  <si>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</si>
  <si>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</si>
  <si>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</si>
  <si>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</si>
  <si>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</si>
  <si>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</si>
  <si>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</si>
  <si>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</si>
  <si>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</si>
  <si>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</si>
  <si>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</si>
  <si>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</si>
  <si>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</si>
  <si>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</si>
  <si>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</si>
  <si>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</si>
  <si>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</si>
  <si>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</si>
  <si>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</si>
  <si>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</si>
  <si>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</si>
  <si>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</si>
  <si>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</si>
  <si>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</si>
  <si>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</si>
  <si>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</si>
  <si>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</si>
  <si>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</si>
  <si>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</si>
  <si>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</si>
  <si>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</si>
  <si>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</si>
  <si>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</si>
  <si>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</si>
  <si>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</si>
  <si>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</si>
  <si>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</si>
  <si>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</si>
  <si>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</si>
  <si>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</si>
  <si>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</si>
  <si>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</si>
  <si>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</si>
  <si>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</si>
  <si>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</si>
  <si>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</si>
  <si>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</si>
  <si>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</si>
  <si>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</si>
  <si>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</si>
  <si>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</si>
  <si>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</si>
  <si>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</si>
  <si>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</si>
  <si>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</si>
  <si>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</si>
  <si>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</si>
  <si>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</si>
  <si>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</si>
  <si>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</si>
  <si>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</si>
  <si>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</si>
  <si>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</si>
  <si>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</si>
  <si>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</si>
  <si>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</si>
  <si>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</si>
  <si>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</si>
  <si>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</si>
  <si>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</si>
  <si>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</si>
  <si>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</si>
  <si>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</si>
  <si>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</si>
  <si>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</si>
  <si>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</si>
  <si>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</si>
  <si>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</si>
  <si>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</si>
  <si>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</si>
  <si>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</si>
  <si>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</si>
  <si>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</si>
  <si>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</si>
  <si>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</si>
  <si>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</si>
  <si>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</si>
  <si>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</si>
  <si>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</si>
  <si>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</si>
  <si>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</si>
  <si>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</si>
  <si>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</si>
  <si>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</si>
  <si>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</si>
  <si>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</si>
  <si>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</si>
  <si>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</si>
  <si>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</si>
  <si>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</si>
  <si>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</si>
  <si>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</si>
  <si>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</si>
  <si>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</si>
  <si>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</si>
  <si>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</si>
  <si>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</si>
  <si>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</si>
  <si>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</si>
  <si>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</si>
  <si>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</si>
  <si>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</si>
  <si>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</si>
  <si>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</si>
  <si>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</si>
  <si>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</si>
  <si>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</si>
  <si>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</si>
  <si>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</si>
  <si>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</si>
  <si>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</si>
  <si>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</si>
  <si>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</si>
  <si>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</si>
  <si>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</si>
  <si>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</si>
  <si>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</si>
  <si>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</si>
  <si>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</si>
  <si>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</si>
  <si>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</si>
  <si>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</si>
  <si>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</si>
  <si>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</si>
  <si>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</si>
  <si>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</si>
  <si>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</si>
  <si>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</si>
  <si>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</si>
  <si>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</si>
  <si>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</si>
  <si>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</si>
  <si>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</si>
  <si>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</si>
  <si>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</si>
  <si>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</si>
  <si>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</si>
  <si>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</si>
  <si>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</si>
  <si>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</si>
  <si>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</si>
  <si>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</si>
  <si>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</si>
  <si>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</si>
  <si>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</si>
  <si>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</si>
  <si>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</si>
  <si>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</si>
  <si>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</si>
  <si>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</si>
  <si>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</si>
  <si>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</si>
  <si>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</si>
  <si>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</si>
  <si>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</si>
  <si>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</si>
  <si>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</si>
  <si>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</si>
  <si>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</si>
  <si>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</si>
  <si>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</si>
  <si>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</si>
  <si>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</si>
  <si>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</si>
  <si>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</si>
  <si>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</si>
  <si>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</si>
  <si>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</si>
  <si>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</si>
  <si>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</si>
  <si>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</si>
  <si>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</si>
  <si>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</si>
  <si>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</si>
  <si>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</si>
  <si>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</si>
  <si>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</si>
  <si>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</si>
  <si>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</si>
  <si>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</si>
  <si>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</si>
  <si>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</si>
  <si>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</si>
  <si>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</si>
  <si>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</si>
  <si>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</si>
  <si>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</si>
  <si>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</si>
  <si>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</si>
  <si>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</si>
  <si>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</si>
  <si>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</si>
  <si>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</si>
  <si>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</si>
  <si>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</si>
  <si>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</si>
  <si>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</si>
  <si>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</si>
  <si>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</si>
  <si>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</si>
  <si>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</si>
  <si>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</si>
  <si>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</si>
  <si>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</si>
  <si>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</si>
  <si>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</si>
  <si>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</si>
  <si>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</si>
  <si>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</si>
  <si>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</si>
  <si>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</si>
  <si>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</si>
  <si>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</si>
  <si>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</si>
  <si>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</si>
  <si>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</si>
  <si>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</si>
  <si>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</si>
  <si>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</si>
  <si>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</si>
  <si>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</si>
  <si>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</si>
  <si>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</si>
  <si>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</si>
  <si>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</si>
  <si>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</si>
  <si>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</si>
  <si>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</si>
  <si>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</si>
  <si>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</si>
  <si>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</si>
  <si>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</si>
  <si>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</si>
  <si>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</si>
  <si>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</si>
  <si>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</si>
  <si>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</si>
  <si>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</si>
  <si>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</si>
  <si>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</si>
  <si>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</si>
  <si>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</si>
  <si>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</si>
  <si>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</si>
  <si>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</si>
  <si>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</si>
  <si>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</si>
  <si>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</si>
  <si>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</si>
  <si>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</si>
  <si>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</si>
  <si>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</si>
  <si>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</si>
  <si>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</si>
  <si>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</si>
  <si>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</si>
  <si>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</si>
  <si>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</si>
  <si>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</si>
  <si>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</si>
  <si>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</si>
  <si>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</si>
  <si>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</si>
  <si>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</si>
  <si>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</si>
  <si>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</si>
  <si>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</si>
  <si>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</si>
  <si>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</si>
  <si>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</si>
  <si>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</si>
  <si>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</si>
  <si>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</si>
  <si>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</si>
  <si>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</si>
  <si>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</si>
  <si>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</si>
  <si>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</si>
  <si>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</si>
  <si>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</si>
  <si>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</si>
  <si>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</si>
  <si>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</si>
  <si>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</si>
  <si>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</si>
  <si>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</si>
  <si>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</si>
  <si>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</si>
  <si>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</si>
  <si>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</si>
  <si>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</si>
  <si>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</si>
  <si>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</si>
  <si>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</si>
  <si>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</si>
  <si>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</si>
  <si>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</si>
  <si>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</si>
  <si>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</si>
  <si>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</si>
  <si>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</si>
  <si>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</si>
  <si>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</si>
  <si>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</si>
  <si>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</si>
  <si>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</si>
  <si>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</si>
  <si>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</si>
  <si>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</si>
  <si>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</si>
  <si>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</si>
  <si>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</si>
  <si>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</si>
  <si>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</si>
  <si>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</si>
  <si>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</si>
  <si>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</si>
  <si>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</si>
  <si>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</si>
  <si>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</si>
  <si>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</si>
  <si>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</si>
  <si>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</si>
  <si>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</si>
  <si>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</si>
  <si>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</si>
  <si>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</si>
  <si>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</si>
  <si>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</si>
  <si>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</si>
  <si>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</si>
  <si>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</si>
  <si>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</si>
  <si>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</si>
  <si>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</si>
  <si>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</si>
  <si>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</si>
  <si>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</si>
  <si>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</si>
  <si>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</si>
  <si>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</si>
  <si>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</si>
  <si>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</si>
  <si>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</si>
  <si>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</si>
  <si>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</si>
  <si>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</si>
  <si>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</si>
  <si>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</si>
  <si>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</si>
  <si>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</si>
  <si>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</si>
  <si>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</si>
  <si>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</si>
  <si>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</si>
  <si>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</si>
  <si>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</si>
  <si>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</si>
  <si>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</si>
  <si>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</si>
  <si>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</si>
  <si>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</si>
  <si>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</si>
  <si>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</si>
  <si>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</si>
  <si>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</si>
  <si>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</si>
  <si>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</si>
  <si>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</si>
  <si>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</si>
  <si>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</si>
  <si>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</si>
  <si>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</si>
  <si>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</si>
  <si>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</si>
  <si>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</si>
  <si>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</si>
  <si>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</si>
  <si>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</si>
  <si>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</si>
  <si>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</si>
  <si>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</si>
  <si>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</si>
  <si>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</si>
  <si>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</si>
  <si>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</si>
  <si>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</si>
  <si>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</si>
  <si>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</si>
  <si>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</si>
  <si>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</si>
  <si>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</si>
  <si>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</si>
  <si>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</si>
  <si>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</si>
  <si>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</si>
  <si>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</si>
  <si>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</si>
  <si>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</si>
  <si>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</si>
  <si>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</si>
  <si>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</si>
  <si>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</si>
  <si>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</si>
  <si>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</si>
  <si>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</si>
  <si>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</si>
  <si>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</si>
  <si>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</si>
  <si>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</si>
  <si>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</si>
  <si>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</si>
  <si>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</si>
  <si>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</si>
  <si>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</si>
  <si>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</si>
  <si>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</si>
  <si>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</si>
  <si>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</si>
  <si>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</si>
  <si>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</si>
  <si>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</si>
  <si>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</si>
  <si>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</si>
  <si>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</si>
  <si>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</si>
  <si>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</si>
  <si>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</si>
  <si>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</si>
  <si>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</si>
  <si>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</si>
  <si>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</si>
  <si>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</si>
  <si>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</si>
  <si>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</si>
  <si>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</si>
  <si>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</si>
  <si>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</si>
  <si>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</si>
  <si>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</si>
  <si>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</si>
  <si>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</si>
  <si>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</si>
  <si>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</si>
  <si>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</si>
  <si>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</si>
  <si>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</si>
  <si>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</si>
  <si>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</si>
  <si>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</si>
  <si>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</si>
  <si>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</si>
  <si>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</si>
  <si>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</si>
  <si>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</si>
  <si>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</si>
  <si>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</si>
  <si>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</si>
  <si>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</si>
  <si>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</si>
  <si>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</si>
  <si>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</si>
  <si>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</si>
  <si>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</si>
  <si>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</si>
  <si>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</si>
  <si>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</si>
  <si>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</si>
  <si>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</si>
  <si>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</si>
  <si>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</si>
  <si>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</si>
  <si>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</si>
  <si>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</si>
  <si>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</si>
  <si>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</si>
  <si>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</si>
  <si>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</si>
  <si>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</si>
  <si>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</si>
  <si>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</si>
  <si>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</si>
  <si>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</si>
  <si>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</si>
  <si>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</si>
  <si>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</si>
  <si>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</si>
  <si>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</si>
  <si>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</si>
  <si>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</si>
  <si>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</si>
  <si>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</si>
  <si>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</si>
  <si>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</si>
  <si>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</si>
  <si>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</si>
  <si>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</si>
  <si>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</si>
  <si>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</si>
  <si>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</si>
  <si>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</si>
  <si>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</si>
  <si>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</si>
  <si>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</si>
  <si>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</si>
  <si>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</si>
  <si>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</si>
  <si>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</si>
  <si>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</si>
  <si>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</si>
  <si>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</si>
  <si>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</si>
  <si>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</si>
  <si>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</si>
  <si>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</si>
  <si>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</si>
  <si>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</si>
  <si>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</si>
  <si>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</si>
  <si>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</si>
  <si>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</si>
  <si>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</si>
  <si>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</si>
  <si>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</si>
  <si>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</si>
  <si>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</si>
  <si>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</si>
  <si>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</si>
  <si>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</si>
  <si>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</si>
  <si>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</si>
  <si>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</si>
  <si>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</si>
  <si>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</si>
  <si>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</si>
  <si>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</si>
  <si>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</si>
  <si>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</si>
  <si>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</si>
  <si>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</si>
  <si>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</si>
  <si>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</si>
  <si>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</si>
  <si>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</si>
  <si>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</si>
  <si>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</si>
  <si>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</si>
  <si>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</si>
  <si>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</si>
  <si>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</si>
  <si>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</si>
  <si>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</si>
  <si>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</si>
  <si>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</si>
  <si>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</si>
  <si>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</si>
  <si>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</si>
  <si>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</si>
  <si>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</si>
  <si>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</si>
  <si>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</si>
  <si>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</si>
  <si>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</si>
  <si>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</si>
  <si>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</si>
  <si>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</si>
  <si>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</si>
  <si>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</si>
  <si>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</si>
  <si>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</si>
  <si>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</si>
  <si>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</si>
  <si>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</si>
  <si>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</si>
  <si>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</si>
  <si>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</si>
  <si>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</si>
  <si>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</si>
  <si>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</si>
  <si>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</si>
  <si>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</si>
  <si>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</si>
  <si>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</si>
  <si>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UPSET! Normal winner is 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</si>
  <si>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</si>
  <si>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</si>
  <si>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</si>
  <si>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</si>
  <si>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Ball State: 69 - 432 :Baylor</t>
  </si>
  <si>
    <t>Bellarmine: 79 - 422 :Belmont</t>
  </si>
  <si>
    <t>Bethune-Cookman: 418 - 83 :Binghamton</t>
  </si>
  <si>
    <t>Boise State: 409 - 92 :Boston College</t>
  </si>
  <si>
    <t>Drake: 4 - 497 :Duke</t>
  </si>
  <si>
    <t>UPSET! Normal winner is Brigham Young</t>
  </si>
  <si>
    <t>Brown: 301 - 200 :Bryant</t>
  </si>
  <si>
    <t>UPSET! Normal winner is Abilene Christian</t>
  </si>
  <si>
    <t>Akron: 154 - 347 :Alabama</t>
  </si>
  <si>
    <t>UPSET! Normal winner is Alabama A&amp;M</t>
  </si>
  <si>
    <t>UPSET! Normal winner is Albany (NY)</t>
  </si>
  <si>
    <t>American: 42 - 459 :Appalachian State</t>
  </si>
  <si>
    <t>Arizona: 491 - 10 :Arizona State</t>
  </si>
  <si>
    <t>UPSET! Normal winner is Arkansas</t>
  </si>
  <si>
    <t>Arkansas-Pine Bluff: 371 - 130 :Army</t>
  </si>
  <si>
    <t>UPSET! Normal winner is Chattanooga</t>
  </si>
  <si>
    <t>Cincinnati: 303 - 198 :Clemson</t>
  </si>
  <si>
    <t>Cleveland State: 59 - 442 :Coastal Carolina</t>
  </si>
  <si>
    <t>UPSET! Normal winner is College of Charleston</t>
  </si>
  <si>
    <t>UPSET! Normal winner is Colorado</t>
  </si>
  <si>
    <t>Columbia: 18 - 483 :Connecticut</t>
  </si>
  <si>
    <t>Coppin State: 26 - 475 :Cornell</t>
  </si>
  <si>
    <t>Creighton: 337 - 164 :Dartmouth</t>
  </si>
  <si>
    <t>Buffalo: 246 - 255 :Butler</t>
  </si>
  <si>
    <t>Cal State Fullerton: 127 - 374 :Cal State Northridge</t>
  </si>
  <si>
    <t>California Baptist: 113 - 388 :Central Arkansas</t>
  </si>
  <si>
    <t>Central Michigan: 210 - 291 :Charleston Southern</t>
  </si>
  <si>
    <t>Auburn: 279 - 222 :Baylor</t>
  </si>
  <si>
    <t>Belmont: 310 - 191 :Bethune-Cookman</t>
  </si>
  <si>
    <t>Boise State: 34 - 467 :Duke</t>
  </si>
  <si>
    <t>Bradley: 424 - 77 :Brown</t>
  </si>
  <si>
    <t>Air Force: 0 - 501 :Alabama</t>
  </si>
  <si>
    <t>Alabama State: 215 - 286 :Alcorn State</t>
  </si>
  <si>
    <t>Appalachian State: 23 - 478 :Arizona</t>
  </si>
  <si>
    <t>UPSET! Normal winner is Arkansas State</t>
  </si>
  <si>
    <t>Chicago State: 8 - 493 :Cincinnati</t>
  </si>
  <si>
    <t>Coastal Carolina: 357 - 144 :Colgate</t>
  </si>
  <si>
    <t>Colorado State: 53 - 448 :Connecticut</t>
  </si>
  <si>
    <t>Cornell: 181 - 320 :Creighton</t>
  </si>
  <si>
    <t>Butler: 221 - 280 :Cal State Northridge</t>
  </si>
  <si>
    <t>Central Arkansas: 416 - 85 :Charleston Southern</t>
  </si>
  <si>
    <t>Auburn: 298 - 203 :Belmont</t>
  </si>
  <si>
    <t>Duke: 463 - 38 :Bradley</t>
  </si>
  <si>
    <t>Alabama: 495 - 6 :Alcorn State</t>
  </si>
  <si>
    <t>Arizona: 498 - 3 :Arkansas-Pine Bluff</t>
  </si>
  <si>
    <t>Cincinnati: 285 - 216 :Coastal Carolina</t>
  </si>
  <si>
    <t>Connecticut: 437 - 64 :Creighton</t>
  </si>
  <si>
    <t>Cal State Northridge: 182 - 319 :Central Arkansas</t>
  </si>
  <si>
    <t>Auburn: 82 - 419 :Duke</t>
  </si>
  <si>
    <t>Alabama: 116 - 385 :Arizona</t>
  </si>
  <si>
    <t>UPSET! Normal winner is Connecticut</t>
  </si>
  <si>
    <t>Duke: 398 - 103 :Central Arkansas</t>
  </si>
  <si>
    <t>Arizona: 476 - 25 :Cincinnati</t>
  </si>
  <si>
    <t>UPSET! Normal winner is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</si>
</sst>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0.64</v>
      </c>
      <c r="M9" s="82" t="e" vm="74">
        <f>_xlfn.XLOOKUP(I9,Teams!$C:$C,Teams!$E:$E,,0,1)</f>
        <v>#VALUE!</v>
      </c>
      <c r="N9" s="82">
        <v>0.36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0.83</v>
      </c>
      <c r="M19" s="83" t="e" vm="94">
        <f>_xlfn.XLOOKUP(I19,Teams!$C:$C,Teams!$E:$E,,0,1)</f>
        <v>#VALUE!</v>
      </c>
      <c r="N19" s="83">
        <v>0.17</v>
      </c>
      <c r="O19" s="192" t="str">
        <f t="shared" si="3"/>
        <v>Bradley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Abilene Christian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0.12</v>
      </c>
      <c r="M21" s="97" t="e" vm="98">
        <f>_xlfn.XLOOKUP(I21,Teams!$C:$C,Teams!$E:$E,,0,1)</f>
        <v>#VALUE!</v>
      </c>
      <c r="N21" s="97">
        <v>0.88</v>
      </c>
      <c r="O21" s="188" t="str">
        <f t="shared" si="3"/>
        <v>Air Force</v>
      </c>
      <c r="P21" s="203" t="e" vm="98">
        <f>_xlfn.XLOOKUP(O21,Teams!$C:$C,Teams!$E:$E,,0,1)</f>
        <v>#VALUE!</v>
      </c>
      <c r="Q21" s="228" t="s">
        <v>1147</v>
      </c>
      <c r="R21" s="6" t="b">
        <f t="shared" si="5"/>
        <v>1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0.35</v>
      </c>
      <c r="M23" s="82" t="e" vm="102">
        <f>_xlfn.XLOOKUP(I23,Teams!$C:$C,Teams!$E:$E,,0,1)</f>
        <v>#VALUE!</v>
      </c>
      <c r="N23" s="82">
        <v>0.65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0.34</v>
      </c>
      <c r="M24" s="82" t="e" vm="104">
        <f>_xlfn.XLOOKUP(I24,Teams!$C:$C,Teams!$E:$E,,0,1)</f>
        <v>#VALUE!</v>
      </c>
      <c r="N24" s="82">
        <v>0.66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</v>
      </c>
      <c r="M27" s="82" t="e" vm="110">
        <f>_xlfn.XLOOKUP(I27,Teams!$C:$C,Teams!$E:$E,,0,1)</f>
        <v>#VALUE!</v>
      </c>
      <c r="N27" s="82">
        <v>0.9</v>
      </c>
      <c r="O27" s="189" t="str">
        <f t="shared" si="3"/>
        <v>Arkansas State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0.25</v>
      </c>
      <c r="M29" s="115" t="e" vm="114">
        <f>_xlfn.XLOOKUP(I29,Teams!$C:$C,Teams!$E:$E,,0,1)</f>
        <v>#VALUE!</v>
      </c>
      <c r="N29" s="115">
        <v>0.75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 t="s">
        <v>1155</v>
      </c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0.82</v>
      </c>
      <c r="M32" s="83" t="e" vm="120">
        <f>_xlfn.XLOOKUP(I32,Teams!$C:$C,Teams!$E:$E,,0,1)</f>
        <v>#VALUE!</v>
      </c>
      <c r="N32" s="83">
        <v>0.18</v>
      </c>
      <c r="O32" s="192" t="str">
        <f t="shared" si="3"/>
        <v>Colgate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0.46</v>
      </c>
      <c r="M33" s="83" t="e" vm="122">
        <f>_xlfn.XLOOKUP(I33,Teams!$C:$C,Teams!$E:$E,,0,1)</f>
        <v>#VALUE!</v>
      </c>
      <c r="N33" s="83">
        <v>0.54</v>
      </c>
      <c r="O33" s="192" t="str">
        <f t="shared" si="3"/>
        <v>Colorado State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Central Arkansas</v>
      </c>
      <c r="C40" s="91" t="str">
        <f t="shared" si="7"/>
        <v>California Baptist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3">
        <f>_xlfn.XLOOKUP(G40,Teams!$C:$C,Teams!$E:$E,,0,1)</f>
        <v>#VALUE!</v>
      </c>
      <c r="L40" s="82">
        <v>0.23</v>
      </c>
      <c r="M40" s="82" t="e" vm="76">
        <f>_xlfn.XLOOKUP(I40,Teams!$C:$C,Teams!$E:$E,,0,1)</f>
        <v>#VALUE!</v>
      </c>
      <c r="N40" s="82">
        <v>0.77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0.42</v>
      </c>
      <c r="M41" s="139" t="e" vm="79">
        <f>_xlfn.XLOOKUP(I41,Teams!$C:$C,Teams!$E:$E,,0,1)</f>
        <v>#VALUE!</v>
      </c>
      <c r="N41" s="139">
        <v>0.57999999999999996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0.85</v>
      </c>
      <c r="M45" s="151" t="e" vm="95">
        <f>_xlfn.XLOOKUP(I45,Teams!$C:$C,Teams!$E:$E,,0,1)</f>
        <v>#VALUE!</v>
      </c>
      <c r="N45" s="151">
        <v>0.15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Air Force</v>
      </c>
      <c r="B46" s="152" t="str">
        <f t="shared" si="11"/>
        <v>Alabama</v>
      </c>
      <c r="C46" s="152" t="str">
        <f t="shared" si="7"/>
        <v>Air Force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16</v>
      </c>
      <c r="G46" s="131" t="s">
        <v>30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8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State</v>
      </c>
      <c r="B47" s="152" t="str">
        <f t="shared" si="11"/>
        <v>Alcorn State</v>
      </c>
      <c r="C47" s="152" t="str">
        <f t="shared" si="7"/>
        <v>Alabama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34</v>
      </c>
      <c r="H47" s="176" t="s">
        <v>9</v>
      </c>
      <c r="I47" s="102" t="s">
        <v>36</v>
      </c>
      <c r="J47" s="103" cm="1">
        <f t="array" ref="J47">_xlfn.XLOOKUP(I47,Teams[[#All],[Team]],Teams[[#All],[Seed]],0,0,1)</f>
        <v>13</v>
      </c>
      <c r="K47" s="82" t="e" vm="102">
        <f>_xlfn.XLOOKUP(G47,Teams!$C:$C,Teams!$E:$E,,0,1)</f>
        <v>#VALUE!</v>
      </c>
      <c r="L47" s="82">
        <v>0.43</v>
      </c>
      <c r="M47" s="82" t="e" vm="104">
        <f>_xlfn.XLOOKUP(I47,Teams!$C:$C,Teams!$E:$E,,0,1)</f>
        <v>#VALUE!</v>
      </c>
      <c r="N47" s="82">
        <v>0.56999999999999995</v>
      </c>
      <c r="O47" s="189" t="str">
        <f t="shared" si="9"/>
        <v>Alcorn State</v>
      </c>
      <c r="P47" s="204" t="e" vm="104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 State</v>
      </c>
      <c r="B49" s="152" t="str">
        <f t="shared" si="11"/>
        <v>Arkansas-Pine Bluff</v>
      </c>
      <c r="C49" s="152" t="str">
        <f t="shared" si="7"/>
        <v>Arkansas State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42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0.26</v>
      </c>
      <c r="M49" s="139" t="e" vm="111">
        <f>_xlfn.XLOOKUP(I49,Teams!$C:$C,Teams!$E:$E,,0,1)</f>
        <v>#VALUE!</v>
      </c>
      <c r="N49" s="139">
        <v>0.74</v>
      </c>
      <c r="O49" s="195" t="str">
        <f t="shared" si="9"/>
        <v>Arkansas-Pine Bluff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4">
        <f>_xlfn.XLOOKUP(G50,Teams!$C:$C,Teams!$E:$E,,0,1)</f>
        <v>#VALUE!</v>
      </c>
      <c r="L50" s="145">
        <v>0.02</v>
      </c>
      <c r="M50" s="145" t="e" vm="115">
        <f>_xlfn.XLOOKUP(I50,Teams!$C:$C,Teams!$E:$E,,0,1)</f>
        <v>#VALUE!</v>
      </c>
      <c r="N50" s="145">
        <v>0.98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0.71</v>
      </c>
      <c r="M51" s="83" t="e" vm="119">
        <f>_xlfn.XLOOKUP(I51,Teams!$C:$C,Teams!$E:$E,,0,1)</f>
        <v>#VALUE!</v>
      </c>
      <c r="N51" s="83">
        <v>0.28999999999999998</v>
      </c>
      <c r="O51" s="192" t="str">
        <f t="shared" si="9"/>
        <v>Coastal Carolina</v>
      </c>
      <c r="P51" s="207" t="e" vm="118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 State</v>
      </c>
      <c r="B52" s="91" t="str">
        <f t="shared" si="11"/>
        <v>Connecticut</v>
      </c>
      <c r="C52" s="91" t="str">
        <f t="shared" si="7"/>
        <v>Colorado State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86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2">
        <f>_xlfn.XLOOKUP(G52,Teams!$C:$C,Teams!$E:$E,,0,1)</f>
        <v>#VALUE!</v>
      </c>
      <c r="L52" s="83">
        <v>0.11</v>
      </c>
      <c r="M52" s="83" t="e" vm="124">
        <f>_xlfn.XLOOKUP(I52,Teams!$C:$C,Teams!$E:$E,,0,1)</f>
        <v>#VALUE!</v>
      </c>
      <c r="N52" s="83">
        <v>0.89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Charleston Southern</v>
      </c>
      <c r="C56" s="91" t="str">
        <f t="shared" si="12"/>
        <v>Charleston Southern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0.83</v>
      </c>
      <c r="M56" s="139" t="e" vm="79">
        <f>_xlfn.XLOOKUP(I56,Teams!$C:$C,Teams!$E:$E,,0,1)</f>
        <v>#VALUE!</v>
      </c>
      <c r="N56" s="139">
        <v>0.17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92">
        <f>_xlfn.XLOOKUP(G58,Teams!$C:$C,Teams!$E:$E,,0,1)</f>
        <v>#VALUE!</v>
      </c>
      <c r="L58" s="151">
        <v>0.92</v>
      </c>
      <c r="M58" s="151" t="e" vm="93">
        <f>_xlfn.XLOOKUP(I58,Teams!$C:$C,Teams!$E:$E,,0,1)</f>
        <v>#VALUE!</v>
      </c>
      <c r="N58" s="151">
        <v>0.08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Alcorn State</v>
      </c>
      <c r="C59" s="152" t="str">
        <f t="shared" si="12"/>
        <v>Alcorn State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36</v>
      </c>
      <c r="J59" s="133" cm="1">
        <f t="array" ref="J59">_xlfn.XLOOKUP(I59,Teams[[#All],[Team]],Teams[[#All],[Seed]],0,0,1)</f>
        <v>13</v>
      </c>
      <c r="K59" s="84" t="e" vm="100">
        <f>_xlfn.XLOOKUP(G59,Teams!$C:$C,Teams!$E:$E,,0,1)</f>
        <v>#VALUE!</v>
      </c>
      <c r="L59" s="84">
        <v>0.99</v>
      </c>
      <c r="M59" s="84" t="e" vm="104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Arkansas-Pine Bluff</v>
      </c>
      <c r="C60" s="152" t="str">
        <f t="shared" si="12"/>
        <v>Arkansas-Pine Bluff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43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0.99</v>
      </c>
      <c r="M60" s="139" t="e" vm="111">
        <f>_xlfn.XLOOKUP(I60,Teams!$C:$C,Teams!$E:$E,,0,1)</f>
        <v>#VALUE!</v>
      </c>
      <c r="N60" s="139">
        <v>0.01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Coastal Carolina</v>
      </c>
      <c r="C61" s="91" t="str">
        <f t="shared" si="12"/>
        <v>Coastal Carolina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5">
        <f>_xlfn.XLOOKUP(G61,Teams!$C:$C,Teams!$E:$E,,0,1)</f>
        <v>#VALUE!</v>
      </c>
      <c r="L61" s="145">
        <v>0.56999999999999995</v>
      </c>
      <c r="M61" s="145" t="e" vm="118">
        <f>_xlfn.XLOOKUP(I61,Teams!$C:$C,Teams!$E:$E,,0,1)</f>
        <v>#VALUE!</v>
      </c>
      <c r="N61" s="145">
        <v>0.43</v>
      </c>
      <c r="O61" s="196" t="str">
        <f t="shared" si="14"/>
        <v>Cincinnati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Cal State Northridge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0.36</v>
      </c>
      <c r="M64" s="158" t="e" vm="76">
        <f>_xlfn.XLOOKUP(I64,Teams!$C:$C,Teams!$E:$E,,0,1)</f>
        <v>#VALUE!</v>
      </c>
      <c r="N64" s="158">
        <v>0.64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Auburn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0.16</v>
      </c>
      <c r="M65" s="164" t="e" vm="92">
        <f>_xlfn.XLOOKUP(I65,Teams!$C:$C,Teams!$E:$E,,0,1)</f>
        <v>#VALUE!</v>
      </c>
      <c r="N65" s="164">
        <v>0.84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Cincinnati</v>
      </c>
      <c r="B67" s="91" t="str">
        <f>I67</f>
        <v>Connecticut</v>
      </c>
      <c r="C67" s="91" t="str">
        <f>IF(O67="","",IF(A67=O67,B67,A67))</f>
        <v>Connecticut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79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5">
        <f>_xlfn.XLOOKUP(G67,Teams!$C:$C,Teams!$E:$E,,0,1)</f>
        <v>#VALUE!</v>
      </c>
      <c r="L67" s="164">
        <v>0.67</v>
      </c>
      <c r="M67" s="164" t="e" vm="124">
        <f>_xlfn.XLOOKUP(I67,Teams!$C:$C,Teams!$E:$E,,0,1)</f>
        <v>#VALUE!</v>
      </c>
      <c r="N67" s="164">
        <v>0.33</v>
      </c>
      <c r="O67" s="199" t="str">
        <f>IF(L67&gt;N67,G67,I67)</f>
        <v>Cincinnati</v>
      </c>
      <c r="P67" s="207" t="e" vm="115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Duke</v>
      </c>
      <c r="C69" s="91" t="str">
        <f>IF(O69="","",IF(A69=O69,B69,A69))</f>
        <v>Central Arkansas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6">
        <f>_xlfn.XLOOKUP(G69,Teams!$C:$C,Teams!$E:$E,,0,1)</f>
        <v>#VALUE!</v>
      </c>
      <c r="L69" s="170">
        <v>0.21</v>
      </c>
      <c r="M69" s="170" t="e" vm="92">
        <f>_xlfn.XLOOKUP(I69,Teams!$C:$C,Teams!$E:$E,,0,1)</f>
        <v>#VALUE!</v>
      </c>
      <c r="N69" s="170">
        <v>0.79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Cincinnati</v>
      </c>
      <c r="C70" s="91" t="str">
        <f>IF(O70="","",IF(A70=O70,B70,A70))</f>
        <v>Cincinnati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79</v>
      </c>
      <c r="J70" s="163" cm="1">
        <f t="array" ref="J70">_xlfn.XLOOKUP(I70,Teams[[#All],[Team]],Teams[[#All],[Seed]],0,0,1)</f>
        <v>8</v>
      </c>
      <c r="K70" s="164" t="e" vm="107">
        <f>_xlfn.XLOOKUP(G70,Teams!$C:$C,Teams!$E:$E,,0,1)</f>
        <v>#VALUE!</v>
      </c>
      <c r="L70" s="164">
        <v>0.95</v>
      </c>
      <c r="M70" s="164" t="e" vm="115">
        <f>_xlfn.XLOOKUP(I70,Teams!$C:$C,Teams!$E:$E,,0,1)</f>
        <v>#VALUE!</v>
      </c>
      <c r="N70" s="164">
        <v>0.05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0.65</v>
      </c>
      <c r="M72" s="158" t="e" vm="107">
        <f>_xlfn.XLOOKUP(I72,Teams!$C:$C,Teams!$E:$E,,0,1)</f>
        <v>#VALUE!</v>
      </c>
      <c r="N72" s="158">
        <v>0.35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8">
        <f>_xlfn.XLOOKUP(AJ5,Teams!$C:$C,Teams!$E:$E,,0,1)</f>
        <v>#VALUE!</v>
      </c>
      <c r="AJ5" s="262" t="str">
        <f>Games!O21</f>
        <v>Air Force</v>
      </c>
      <c r="AK5" s="58">
        <f>Games!L21</f>
        <v>0.12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0.88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0.43</v>
      </c>
      <c r="AI13" s="249" t="e" vm="102">
        <f>_xlfn.XLOOKUP(AJ13,Teams!$C:$C,Teams!$E:$E,,0,1)</f>
        <v>#VALUE!</v>
      </c>
      <c r="AJ13" s="262" t="str">
        <f>Games!O23</f>
        <v>Alabama State</v>
      </c>
      <c r="AK13" s="58">
        <f>Games!L23</f>
        <v>0.35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4">
        <f>_xlfn.XLOOKUP(AG15,Teams!$C:$C,Teams!$E:$E,,0,1)</f>
        <v>#VALUE!</v>
      </c>
      <c r="AG15" s="262" t="str">
        <f>Games!O47</f>
        <v>Alcorn State</v>
      </c>
      <c r="AH15" s="55"/>
      <c r="AI15" s="51"/>
      <c r="AJ15" s="282">
        <f>IF($AU$5=TRUE,AJ7+1,"")</f>
        <v>42</v>
      </c>
      <c r="AK15" s="59">
        <f>Games!N23</f>
        <v>0.65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0.56999999999999995</v>
      </c>
      <c r="AI17" s="249" t="e" vm="104">
        <f>_xlfn.XLOOKUP(AJ17,Teams!$C:$C,Teams!$E:$E,,0,1)</f>
        <v>#VALUE!</v>
      </c>
      <c r="AJ17" s="262" t="str">
        <f>Games!O24</f>
        <v>Alcorn State</v>
      </c>
      <c r="AK17" s="58">
        <f>Games!L24</f>
        <v>0.34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0.21</v>
      </c>
      <c r="R19" s="25"/>
      <c r="S19" s="25"/>
      <c r="T19" s="257"/>
      <c r="U19" s="258"/>
      <c r="V19" s="259"/>
      <c r="W19" s="25"/>
      <c r="X19" s="25"/>
      <c r="Y19" s="264">
        <f>Games!L70</f>
        <v>0.95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0.66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0.64</v>
      </c>
      <c r="F21" s="262" t="str">
        <f>Games!O9</f>
        <v>California Baptist</v>
      </c>
      <c r="G21" s="247" t="e" vm="73">
        <f>_xlfn.XLOOKUP(F21,Teams!$C:$C,Teams!$E:$E,,0,1)</f>
        <v>#VALUE!</v>
      </c>
      <c r="H21" s="264">
        <f>Games!L40</f>
        <v>0.23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0.36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0.99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0.77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0.26</v>
      </c>
      <c r="AI29" s="249" t="e" vm="110">
        <f>_xlfn.XLOOKUP(AJ29,Teams!$C:$C,Teams!$E:$E,,0,1)</f>
        <v>#VALUE!</v>
      </c>
      <c r="AJ29" s="262" t="str">
        <f>Games!O27</f>
        <v>Arkansas State</v>
      </c>
      <c r="AK29" s="58">
        <f>Games!L27</f>
        <v>0.1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0.17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0.01</v>
      </c>
      <c r="AF31" s="249" t="e" vm="111">
        <f>_xlfn.XLOOKUP(AG31,Teams!$C:$C,Teams!$E:$E,,0,1)</f>
        <v>#VALUE!</v>
      </c>
      <c r="AG31" s="262" t="str">
        <f>Games!O49</f>
        <v>Arkansas-Pine Bluff</v>
      </c>
      <c r="AH31" s="55"/>
      <c r="AI31" s="51"/>
      <c r="AJ31" s="282">
        <f>IF($AU$5=TRUE,AJ23+1,"")</f>
        <v>44</v>
      </c>
      <c r="AK31" s="59">
        <f>Games!N27</f>
        <v>0.9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0.57999999999999996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0.74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0.02</v>
      </c>
      <c r="AI37" s="249" t="e" vm="114">
        <f>_xlfn.XLOOKUP(AJ37,Teams!$C:$C,Teams!$E:$E,,0,1)</f>
        <v>#VALUE!</v>
      </c>
      <c r="AJ37" s="262" t="str">
        <f>Games!O29</f>
        <v>Chicago State</v>
      </c>
      <c r="AK37" s="58">
        <f>Games!L29</f>
        <v>0.25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0.56999999999999995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0.75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0.67</v>
      </c>
      <c r="AC43" s="249" t="e" vm="115">
        <f>_xlfn.XLOOKUP(AD43,Teams!$C:$C,Teams!$E:$E,,0,1)</f>
        <v>#VALUE!</v>
      </c>
      <c r="AD43" s="291" t="str">
        <f>Games!O61</f>
        <v>Cincinnati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0.71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0.43</v>
      </c>
      <c r="AF47" s="249" t="e" vm="118">
        <f>_xlfn.XLOOKUP(AG47,Teams!$C:$C,Teams!$E:$E,,0,1)</f>
        <v>#VALUE!</v>
      </c>
      <c r="AG47" s="262" t="str">
        <f>Games!O51</f>
        <v>Coastal Carolina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0.28999999999999998</v>
      </c>
      <c r="AI49" s="249" t="e" vm="119">
        <f>_xlfn.XLOOKUP(AJ49,Teams!$C:$C,Teams!$E:$E,,0,1)</f>
        <v>#VALUE!</v>
      </c>
      <c r="AJ49" s="262" t="str">
        <f>Games!O32</f>
        <v>Colgate</v>
      </c>
      <c r="AK49" s="58">
        <f>Games!L32</f>
        <v>0.82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0.79</v>
      </c>
      <c r="R51" s="25"/>
      <c r="S51" s="25"/>
      <c r="T51" s="25"/>
      <c r="U51" s="75"/>
      <c r="V51" s="25"/>
      <c r="W51" s="25"/>
      <c r="X51" s="25"/>
      <c r="Y51" s="269">
        <f>Games!N70</f>
        <v>0.05</v>
      </c>
      <c r="Z51" s="249" t="e" vm="115">
        <f>_xlfn.XLOOKUP(AA51,Teams!$C:$C,Teams!$E:$E,,0,1)</f>
        <v>#VALUE!</v>
      </c>
      <c r="AA51" s="262" t="str">
        <f>Games!O67</f>
        <v>Cincinnati</v>
      </c>
      <c r="AB51" s="56"/>
      <c r="AD51" s="266" t="s">
        <v>14</v>
      </c>
      <c r="AE51" s="266"/>
      <c r="AF51" s="20"/>
      <c r="AG51" s="24"/>
      <c r="AJ51" s="24"/>
      <c r="AK51" s="59">
        <f>Games!N32</f>
        <v>0.18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0.11</v>
      </c>
      <c r="AI53" s="249" t="e" vm="122">
        <f>_xlfn.XLOOKUP(AJ53,Teams!$C:$C,Teams!$E:$E,,0,1)</f>
        <v>#VALUE!</v>
      </c>
      <c r="AJ53" s="262" t="str">
        <f>Games!O33</f>
        <v>Colorado State</v>
      </c>
      <c r="AK53" s="58">
        <f>Games!L33</f>
        <v>0.46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0.92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0.54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0.89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0.33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0.83</v>
      </c>
      <c r="F61" s="262" t="str">
        <f>Games!O19</f>
        <v>Bradley</v>
      </c>
      <c r="G61" s="247" t="e" vm="93">
        <f>_xlfn.XLOOKUP(F61,Teams!$C:$C,Teams!$E:$E,,0,1)</f>
        <v>#VALUE!</v>
      </c>
      <c r="H61" s="264">
        <f>Games!L45</f>
        <v>0.85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0.17</v>
      </c>
      <c r="F63" s="282">
        <f>IF($AU$5=TRUE,F55+1,"")</f>
        <v>40</v>
      </c>
      <c r="G63" s="14"/>
      <c r="H63" s="49"/>
      <c r="I63" s="279" t="str">
        <f>Games!O45</f>
        <v>Bradley</v>
      </c>
      <c r="J63" s="247" t="e" vm="93">
        <f>_xlfn.XLOOKUP(I63,Teams!$C:$C,Teams!$E:$E,,0,1)</f>
        <v>#VALUE!</v>
      </c>
      <c r="K63" s="277">
        <f>Games!N58</f>
        <v>0.08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0.15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2026-03-10T02:42:34Z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