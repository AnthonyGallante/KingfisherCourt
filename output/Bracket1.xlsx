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840" yWindow="3840" windowWidth="23040" windowHeight="12120" tabRatio="600" firstSheet="0" activeTab="2" autoFilterDateGrouping="1"/>
  </bookViews>
  <sheets>
    <sheet xmlns:r="http://schemas.openxmlformats.org/officeDocument/2006/relationships" name="Team_Links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Games" sheetId="3" state="visible" r:id="rId3"/>
    <sheet xmlns:r="http://schemas.openxmlformats.org/officeDocument/2006/relationships" name="Bracket" sheetId="4" state="visible" r:id="rId4"/>
  </sheets>
  <externalReferences>
    <externalReference xmlns:r="http://schemas.openxmlformats.org/officeDocument/2006/relationships" r:id="rId5"/>
  </externalReferences>
  <definedNames>
    <definedName name="All_Teams">OFFSET(Games!#REF!,0,0,COUNTA(Games!#REF!)-1,1)</definedName>
    <definedName name="Method">Games!#REF!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  <definedName name="ExternalData_1" localSheetId="0" hidden="1">Team_Links!$A$1:$D$366</definedName>
    <definedName name="_xlnm.Print_Area" localSheetId="2">'Games'!$A$1:$O$72</definedName>
    <definedName name="_xlnm.Print_Area" localSheetId="3">'Bracket'!$B$1:$AN$67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5">
    <font>
      <name val="Arial"/>
      <family val="2"/>
      <color theme="1"/>
      <sz val="10"/>
    </font>
    <font>
      <name val="Arial"/>
      <family val="2"/>
      <b val="1"/>
      <color indexed="8"/>
      <sz val="11"/>
    </font>
    <font>
      <name val="Arial"/>
      <family val="2"/>
      <color indexed="8"/>
      <sz val="8"/>
    </font>
    <font>
      <name val="Arial"/>
      <family val="2"/>
      <b val="1"/>
      <color indexed="8"/>
      <sz val="12"/>
    </font>
    <font>
      <name val="Tahoma"/>
      <family val="2"/>
      <color indexed="81"/>
      <sz val="8"/>
    </font>
    <font>
      <name val="Arial"/>
      <family val="2"/>
      <color indexed="8"/>
      <sz val="10"/>
    </font>
    <font>
      <name val="Arial"/>
      <family val="2"/>
      <color indexed="12"/>
      <sz val="10"/>
      <u val="single"/>
    </font>
    <font>
      <name val="Arial"/>
      <family val="2"/>
      <sz val="10"/>
    </font>
    <font>
      <name val="Arial"/>
      <family val="2"/>
      <b val="1"/>
      <color theme="3"/>
      <sz val="10"/>
    </font>
    <font>
      <name val="Arial"/>
      <family val="2"/>
      <color theme="3"/>
      <sz val="10"/>
    </font>
    <font>
      <name val="Arial"/>
      <family val="2"/>
      <b val="1"/>
      <color theme="1"/>
      <sz val="10"/>
    </font>
    <font>
      <name val="Arial"/>
      <family val="2"/>
      <sz val="8"/>
    </font>
    <font>
      <name val="Georgia Pro Light"/>
      <family val="1"/>
      <color theme="1"/>
      <sz val="10"/>
    </font>
    <font>
      <name val="Lucida Bright"/>
      <family val="1"/>
      <i val="1"/>
      <color indexed="8"/>
      <sz val="11"/>
    </font>
    <font>
      <name val="Lucida Bright"/>
      <family val="1"/>
      <i val="1"/>
      <color rgb="FF003E64"/>
      <sz val="11"/>
    </font>
    <font>
      <name val="Georgia Pro Semibold"/>
      <family val="1"/>
      <b val="1"/>
      <color rgb="FF003E64"/>
      <sz val="18"/>
    </font>
    <font>
      <name val="Arial"/>
      <family val="2"/>
      <color rgb="FFFCF7F2"/>
      <sz val="10"/>
    </font>
    <font>
      <name val="Georgia Pro Semibold"/>
      <family val="1"/>
      <color rgb="FF003E64"/>
      <sz val="28"/>
    </font>
    <font>
      <name val="Georgia Pro Semibold"/>
      <family val="1"/>
      <b val="1"/>
      <sz val="16"/>
    </font>
    <font>
      <name val="Arial"/>
      <family val="2"/>
      <color indexed="8"/>
      <sz val="11"/>
    </font>
    <font>
      <name val="Arial"/>
      <family val="2"/>
      <color theme="1"/>
      <sz val="11"/>
    </font>
    <font>
      <name val="Arial"/>
      <family val="2"/>
      <color indexed="23"/>
      <sz val="11"/>
    </font>
    <font>
      <name val="Garamond"/>
      <family val="1"/>
      <color indexed="8"/>
      <sz val="11"/>
    </font>
    <font>
      <name val="Lucida Bright"/>
      <family val="1"/>
      <color rgb="FF003E64"/>
      <sz val="11"/>
    </font>
    <font>
      <name val="Arial"/>
      <family val="2"/>
      <color indexed="12"/>
      <sz val="11"/>
      <u val="single"/>
    </font>
    <font>
      <name val="Arial"/>
      <family val="2"/>
      <color theme="1"/>
      <sz val="12"/>
    </font>
    <font>
      <name val="Arial"/>
      <family val="2"/>
      <color indexed="23"/>
      <sz val="12"/>
    </font>
    <font>
      <name val="Georgia Pro Light"/>
      <family val="1"/>
      <color theme="1"/>
      <sz val="12"/>
    </font>
    <font>
      <name val="Georgia Pro Light"/>
      <family val="1"/>
      <color indexed="23"/>
      <sz val="12"/>
    </font>
    <font>
      <name val="Georgia Pro Light"/>
      <family val="1"/>
      <sz val="12"/>
    </font>
    <font>
      <name val="Lucida Bright"/>
      <family val="1"/>
      <i val="1"/>
      <color indexed="8"/>
      <sz val="14"/>
    </font>
    <font>
      <name val="Lucida Bright"/>
      <family val="1"/>
      <i val="1"/>
      <color rgb="FF003E64"/>
      <sz val="14"/>
    </font>
    <font>
      <name val="Arial"/>
      <family val="2"/>
      <color theme="1"/>
      <sz val="14"/>
    </font>
    <font>
      <name val="Georgia Pro Light"/>
      <family val="1"/>
      <color theme="1"/>
      <sz val="14"/>
    </font>
    <font>
      <name val="Georgia Pro Semibold"/>
      <family val="1"/>
      <color indexed="8"/>
      <sz val="10.5"/>
    </font>
    <font>
      <name val="Georgia Pro Semibold"/>
      <family val="1"/>
      <color theme="1"/>
      <sz val="10.5"/>
    </font>
    <font>
      <name val="Georgia Pro Semibold"/>
      <family val="1"/>
      <b val="1"/>
      <color indexed="8"/>
      <sz val="11"/>
    </font>
    <font>
      <name val="Georgia Pro Semibold"/>
      <family val="1"/>
      <color theme="1"/>
      <sz val="11"/>
    </font>
    <font>
      <name val="Georgia Pro Semibold"/>
      <family val="1"/>
      <color theme="1"/>
      <sz val="10"/>
    </font>
    <font>
      <name val="Lucida Bright"/>
      <family val="1"/>
      <b val="1"/>
      <color indexed="9"/>
      <sz val="14"/>
    </font>
    <font>
      <name val="Lucida Bright"/>
      <family val="1"/>
      <color indexed="9"/>
      <sz val="14"/>
    </font>
    <font>
      <name val="Lucida Bright"/>
      <family val="1"/>
      <color theme="1"/>
      <sz val="14"/>
    </font>
    <font>
      <name val="Lucida Bright"/>
      <family val="1"/>
      <b val="1"/>
      <color theme="3"/>
      <sz val="14"/>
    </font>
    <font>
      <name val="Lucida Bright"/>
      <family val="1"/>
      <sz val="14"/>
    </font>
    <font>
      <name val="Georgia Pro"/>
      <family val="1"/>
      <color rgb="FFFCF7F2"/>
      <sz val="10"/>
    </font>
    <font>
      <name val="Georgia Pro"/>
      <family val="1"/>
      <color rgb="FFFCF7F2"/>
      <sz val="16"/>
    </font>
    <font>
      <name val="Georgia Pro"/>
      <family val="1"/>
      <b val="1"/>
      <color indexed="9"/>
      <sz val="11"/>
    </font>
    <font>
      <name val="Georgia Pro"/>
      <family val="1"/>
      <b val="1"/>
      <color indexed="9"/>
      <sz val="14"/>
    </font>
    <font>
      <name val="Georgia Pro"/>
      <family val="1"/>
      <color theme="1"/>
      <sz val="10"/>
    </font>
    <font>
      <name val="Arial"/>
      <family val="2"/>
      <color rgb="FFF67008"/>
      <sz val="12"/>
    </font>
    <font>
      <name val="Courier New"/>
      <family val="3"/>
      <color rgb="FFE6E8F0"/>
      <sz val="8"/>
    </font>
    <font>
      <name val="Georgia Pro"/>
      <family val="1"/>
      <b val="1"/>
      <color theme="1"/>
      <sz val="10"/>
    </font>
    <font>
      <name val="Georgia Pro"/>
      <family val="1"/>
      <color theme="1"/>
      <sz val="8"/>
    </font>
    <font>
      <name val="Georgia Pro"/>
      <family val="1"/>
      <color theme="1" tint="0.1499984740745262"/>
      <sz val="9"/>
    </font>
    <font>
      <name val="Georgia Pro"/>
      <family val="1"/>
      <b val="1"/>
      <color theme="1" tint="0.1499984740745262"/>
      <sz val="11"/>
    </font>
  </fonts>
  <fills count="10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/>
      <diagonal/>
    </border>
    <border>
      <left style="medium">
        <color indexed="64"/>
      </left>
      <right style="dotted">
        <color indexed="55"/>
      </right>
      <top/>
      <bottom/>
      <diagonal/>
    </border>
    <border>
      <left style="dotted">
        <color indexed="55"/>
      </left>
      <right style="medium">
        <color indexed="64"/>
      </right>
      <top/>
      <bottom/>
      <diagonal/>
    </border>
    <border>
      <left style="dotted">
        <color indexed="55"/>
      </left>
      <right style="dotted">
        <color indexed="55"/>
      </right>
      <top style="dotted">
        <color theme="5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Alignment="1" applyProtection="1">
      <alignment vertical="top"/>
      <protection locked="0" hidden="0"/>
    </xf>
  </cellStyleXfs>
  <cellXfs count="31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6" borderId="0" pivotButton="0" quotePrefix="0" xfId="0"/>
    <xf numFmtId="0" fontId="0" fillId="6" borderId="0" applyAlignment="1" pivotButton="0" quotePrefix="0" xfId="0">
      <alignment horizontal="center"/>
    </xf>
    <xf numFmtId="0" fontId="1" fillId="6" borderId="5" pivotButton="0" quotePrefix="0" xfId="0"/>
    <xf numFmtId="0" fontId="1" fillId="6" borderId="6" pivotButton="0" quotePrefix="0" xfId="0"/>
    <xf numFmtId="0" fontId="0" fillId="6" borderId="0" applyAlignment="1" pivotButton="0" quotePrefix="0" xfId="0">
      <alignment vertical="center"/>
    </xf>
    <xf numFmtId="0" fontId="7" fillId="6" borderId="0" applyAlignment="1" pivotButton="0" quotePrefix="0" xfId="0">
      <alignment horizontal="center" vertical="center"/>
    </xf>
    <xf numFmtId="0" fontId="5" fillId="6" borderId="0" pivotButton="0" quotePrefix="0" xfId="0"/>
    <xf numFmtId="0" fontId="8" fillId="6" borderId="0" applyAlignment="1" pivotButton="0" quotePrefix="0" xfId="0">
      <alignment vertical="center"/>
    </xf>
    <xf numFmtId="0" fontId="9" fillId="6" borderId="0" applyAlignment="1" pivotButton="0" quotePrefix="0" xfId="0">
      <alignment vertical="top" wrapText="1"/>
    </xf>
    <xf numFmtId="0" fontId="10" fillId="6" borderId="1" applyAlignment="1" pivotButton="0" quotePrefix="0" xfId="0">
      <alignment horizontal="center" vertical="center"/>
    </xf>
    <xf numFmtId="0" fontId="12" fillId="6" borderId="0" pivotButton="0" quotePrefix="0" xfId="0"/>
    <xf numFmtId="0" fontId="13" fillId="6" borderId="0" applyAlignment="1" pivotButton="0" quotePrefix="0" xfId="0">
      <alignment horizontal="center" vertical="center"/>
    </xf>
    <xf numFmtId="0" fontId="14" fillId="6" borderId="3" applyAlignment="1" pivotButton="0" quotePrefix="0" xfId="0">
      <alignment horizontal="center"/>
    </xf>
    <xf numFmtId="0" fontId="14" fillId="6" borderId="0" applyAlignment="1" pivotButton="0" quotePrefix="0" xfId="0">
      <alignment horizontal="center"/>
    </xf>
    <xf numFmtId="0" fontId="14" fillId="6" borderId="0" applyAlignment="1" pivotButton="0" quotePrefix="0" xfId="0">
      <alignment horizontal="left"/>
    </xf>
    <xf numFmtId="0" fontId="14" fillId="6" borderId="0" applyAlignment="1" pivotButton="0" quotePrefix="0" xfId="0">
      <alignment horizontal="center" vertical="center"/>
    </xf>
    <xf numFmtId="0" fontId="14" fillId="6" borderId="0" pivotButton="0" quotePrefix="0" xfId="0"/>
    <xf numFmtId="0" fontId="13" fillId="6" borderId="0" applyAlignment="1" pivotButton="0" quotePrefix="0" xfId="0">
      <alignment horizontal="center"/>
    </xf>
    <xf numFmtId="0" fontId="15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/>
    </xf>
    <xf numFmtId="0" fontId="19" fillId="6" borderId="0" applyAlignment="1" pivotButton="0" quotePrefix="0" xfId="0">
      <alignment horizontal="center"/>
    </xf>
    <xf numFmtId="0" fontId="20" fillId="6" borderId="0" applyAlignment="1" pivotButton="0" quotePrefix="0" xfId="0">
      <alignment horizontal="center"/>
    </xf>
    <xf numFmtId="0" fontId="20" fillId="6" borderId="0" pivotButton="0" quotePrefix="0" xfId="0"/>
    <xf numFmtId="0" fontId="21" fillId="6" borderId="0" applyAlignment="1" pivotButton="0" quotePrefix="0" xfId="0">
      <alignment horizontal="right"/>
    </xf>
    <xf numFmtId="0" fontId="22" fillId="8" borderId="10" applyAlignment="1" pivotButton="0" quotePrefix="0" xfId="0">
      <alignment horizontal="center"/>
    </xf>
    <xf numFmtId="0" fontId="22" fillId="6" borderId="0" applyAlignment="1" pivotButton="0" quotePrefix="0" xfId="0">
      <alignment horizontal="center"/>
    </xf>
    <xf numFmtId="0" fontId="23" fillId="6" borderId="0" pivotButton="0" quotePrefix="0" xfId="0"/>
    <xf numFmtId="0" fontId="20" fillId="6" borderId="5" pivotButton="0" quotePrefix="0" xfId="0"/>
    <xf numFmtId="0" fontId="20" fillId="6" borderId="6" pivotButton="0" quotePrefix="0" xfId="0"/>
    <xf numFmtId="0" fontId="22" fillId="8" borderId="13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26" fillId="6" borderId="0" pivotButton="0" quotePrefix="0" xfId="0"/>
    <xf numFmtId="0" fontId="25" fillId="6" borderId="0" pivotButton="0" quotePrefix="0" xfId="0"/>
    <xf numFmtId="0" fontId="27" fillId="6" borderId="10" applyAlignment="1" pivotButton="0" quotePrefix="0" xfId="0">
      <alignment horizontal="left" indent="1"/>
    </xf>
    <xf numFmtId="0" fontId="27" fillId="6" borderId="10" applyAlignment="1" pivotButton="0" quotePrefix="0" xfId="0">
      <alignment horizontal="right" shrinkToFit="1" indent="1"/>
    </xf>
    <xf numFmtId="0" fontId="28" fillId="6" borderId="0" applyAlignment="1" pivotButton="0" quotePrefix="0" xfId="0">
      <alignment horizontal="left" indent="1"/>
    </xf>
    <xf numFmtId="0" fontId="28" fillId="6" borderId="0" applyAlignment="1" pivotButton="0" quotePrefix="0" xfId="0">
      <alignment horizontal="right" shrinkToFit="1" indent="1"/>
    </xf>
    <xf numFmtId="0" fontId="27" fillId="6" borderId="10" applyAlignment="1" pivotButton="0" quotePrefix="0" xfId="0">
      <alignment horizontal="left" shrinkToFit="1" indent="1"/>
    </xf>
    <xf numFmtId="0" fontId="29" fillId="6" borderId="10" applyAlignment="1" pivotButton="0" quotePrefix="0" xfId="0">
      <alignment horizontal="left" indent="1"/>
    </xf>
    <xf numFmtId="0" fontId="27" fillId="6" borderId="0" pivotButton="0" quotePrefix="0" xfId="0"/>
    <xf numFmtId="0" fontId="31" fillId="6" borderId="0" applyAlignment="1" pivotButton="0" quotePrefix="0" xfId="0">
      <alignment horizontal="center" vertical="center"/>
    </xf>
    <xf numFmtId="0" fontId="34" fillId="6" borderId="0" applyAlignment="1" pivotButton="0" quotePrefix="0" xfId="0">
      <alignment horizontal="center"/>
    </xf>
    <xf numFmtId="0" fontId="35" fillId="6" borderId="0" applyAlignment="1" pivotButton="0" quotePrefix="0" xfId="0">
      <alignment horizontal="center"/>
    </xf>
    <xf numFmtId="0" fontId="35" fillId="6" borderId="10" applyAlignment="1" pivotButton="0" quotePrefix="0" xfId="0">
      <alignment horizontal="center" vertical="center" shrinkToFit="1"/>
    </xf>
    <xf numFmtId="0" fontId="34" fillId="6" borderId="4" applyAlignment="1" pivotButton="0" quotePrefix="0" xfId="0">
      <alignment horizontal="right"/>
    </xf>
    <xf numFmtId="0" fontId="35" fillId="6" borderId="11" applyAlignment="1" pivotButton="0" quotePrefix="0" xfId="0">
      <alignment horizontal="center" vertical="center" shrinkToFit="1"/>
    </xf>
    <xf numFmtId="0" fontId="35" fillId="6" borderId="4" applyAlignment="1" pivotButton="0" quotePrefix="0" xfId="0">
      <alignment horizontal="center"/>
    </xf>
    <xf numFmtId="0" fontId="35" fillId="6" borderId="6" applyAlignment="1" pivotButton="0" quotePrefix="0" xfId="0">
      <alignment horizontal="center"/>
    </xf>
    <xf numFmtId="0" fontId="35" fillId="6" borderId="3" applyAlignment="1" pivotButton="0" quotePrefix="0" xfId="0">
      <alignment horizontal="center"/>
    </xf>
    <xf numFmtId="0" fontId="36" fillId="6" borderId="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5" fillId="6" borderId="2" applyAlignment="1" pivotButton="0" quotePrefix="0" xfId="0">
      <alignment horizontal="center"/>
    </xf>
    <xf numFmtId="0" fontId="35" fillId="6" borderId="5" applyAlignment="1" pivotButton="0" quotePrefix="0" xfId="0">
      <alignment horizontal="center"/>
    </xf>
    <xf numFmtId="0" fontId="35" fillId="6" borderId="0" pivotButton="0" quotePrefix="0" xfId="0"/>
    <xf numFmtId="0" fontId="35" fillId="6" borderId="10" applyAlignment="1" pivotButton="0" quotePrefix="0" xfId="0">
      <alignment horizontal="center" shrinkToFit="1"/>
    </xf>
    <xf numFmtId="0" fontId="35" fillId="6" borderId="12" applyAlignment="1" pivotButton="0" quotePrefix="0" xfId="0">
      <alignment horizontal="center" shrinkToFit="1"/>
    </xf>
    <xf numFmtId="0" fontId="30" fillId="7" borderId="0" applyAlignment="1" pivotButton="0" quotePrefix="0" xfId="0">
      <alignment horizontal="center" vertical="center"/>
    </xf>
    <xf numFmtId="0" fontId="39" fillId="7" borderId="0" applyAlignment="1" pivotButton="0" quotePrefix="0" xfId="0">
      <alignment horizontal="center" vertical="center"/>
    </xf>
    <xf numFmtId="0" fontId="40" fillId="7" borderId="0" applyAlignment="1" pivotButton="0" quotePrefix="0" xfId="0">
      <alignment horizontal="center" vertical="center"/>
    </xf>
    <xf numFmtId="0" fontId="41" fillId="6" borderId="0" pivotButton="0" quotePrefix="0" xfId="0"/>
    <xf numFmtId="0" fontId="42" fillId="6" borderId="0" applyAlignment="1" pivotButton="0" quotePrefix="0" xfId="0">
      <alignment vertical="center"/>
    </xf>
    <xf numFmtId="0" fontId="43" fillId="6" borderId="0" applyAlignment="1" pivotButton="0" quotePrefix="0" xfId="0">
      <alignment horizontal="center" vertical="center"/>
    </xf>
    <xf numFmtId="0" fontId="50" fillId="0" borderId="0" pivotButton="0" quotePrefix="0" xfId="0"/>
    <xf numFmtId="0" fontId="46" fillId="7" borderId="46" applyAlignment="1" pivotButton="0" quotePrefix="0" xfId="0">
      <alignment horizontal="center" vertical="center"/>
    </xf>
    <xf numFmtId="0" fontId="46" fillId="7" borderId="47" applyAlignment="1" pivotButton="0" quotePrefix="0" xfId="0">
      <alignment horizontal="center" vertical="center"/>
    </xf>
    <xf numFmtId="0" fontId="26" fillId="6" borderId="0" applyAlignment="1" pivotButton="0" quotePrefix="0" xfId="0">
      <alignment horizontal="center"/>
    </xf>
    <xf numFmtId="0" fontId="27" fillId="6" borderId="1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0" fontId="27" fillId="6" borderId="0" applyAlignment="1" pivotButton="0" quotePrefix="0" xfId="0">
      <alignment horizontal="center"/>
    </xf>
    <xf numFmtId="0" fontId="25" fillId="6" borderId="0" applyAlignment="1" pivotButton="0" quotePrefix="0" xfId="0">
      <alignment horizontal="center"/>
    </xf>
    <xf numFmtId="0" fontId="36" fillId="6" borderId="0" applyAlignment="1" pivotButton="0" quotePrefix="0" xfId="0">
      <alignment horizontal="center" vertical="center"/>
    </xf>
    <xf numFmtId="0" fontId="20" fillId="6" borderId="0" applyAlignment="1" pivotButton="0" quotePrefix="0" xfId="0">
      <alignment vertical="center"/>
    </xf>
    <xf numFmtId="0" fontId="37" fillId="6" borderId="0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4" fillId="6" borderId="0" applyAlignment="1" pivotButton="0" quotePrefix="0" xfId="0">
      <alignment horizontal="center" vertical="center"/>
    </xf>
    <xf numFmtId="0" fontId="35" fillId="6" borderId="0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8" fillId="6" borderId="0" applyAlignment="1" pivotButton="0" quotePrefix="0" xfId="0">
      <alignment horizontal="center" vertical="center"/>
    </xf>
    <xf numFmtId="0" fontId="48" fillId="5" borderId="1" applyAlignment="1" pivotButton="0" quotePrefix="0" xfId="0">
      <alignment horizontal="center" vertical="center" shrinkToFit="1"/>
    </xf>
    <xf numFmtId="0" fontId="48" fillId="3" borderId="1" applyAlignment="1" pivotButton="0" quotePrefix="0" xfId="0">
      <alignment horizontal="center" vertical="center" shrinkToFit="1"/>
    </xf>
    <xf numFmtId="0" fontId="48" fillId="5" borderId="30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vertical="center"/>
    </xf>
    <xf numFmtId="0" fontId="45" fillId="6" borderId="0" applyAlignment="1" pivotButton="0" quotePrefix="0" xfId="0">
      <alignment horizontal="left" vertical="center"/>
    </xf>
    <xf numFmtId="0" fontId="44" fillId="6" borderId="0" applyAlignment="1" pivotButton="0" quotePrefix="0" xfId="0">
      <alignment vertical="center"/>
    </xf>
    <xf numFmtId="0" fontId="44" fillId="6" borderId="0" applyAlignment="1" pivotButton="0" quotePrefix="0" xfId="0">
      <alignment horizontal="right" vertical="center"/>
    </xf>
    <xf numFmtId="0" fontId="16" fillId="6" borderId="0" applyAlignment="1" pivotButton="0" quotePrefix="0" xfId="0">
      <alignment vertical="center"/>
    </xf>
    <xf numFmtId="0" fontId="44" fillId="6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48" fillId="5" borderId="48" applyAlignment="1" pivotButton="0" quotePrefix="0" xfId="0">
      <alignment horizontal="center" vertical="center"/>
    </xf>
    <xf numFmtId="0" fontId="48" fillId="5" borderId="49" applyAlignment="1" pivotButton="0" quotePrefix="0" xfId="0">
      <alignment horizontal="center" vertical="center"/>
    </xf>
    <xf numFmtId="0" fontId="48" fillId="5" borderId="50" applyAlignment="1" pivotButton="0" quotePrefix="0" xfId="0">
      <alignment horizontal="right" vertical="center" shrinkToFit="1"/>
    </xf>
    <xf numFmtId="0" fontId="48" fillId="5" borderId="52" applyAlignment="1" pivotButton="0" quotePrefix="0" xfId="0">
      <alignment horizontal="left" vertical="center" shrinkToFit="1"/>
    </xf>
    <xf numFmtId="0" fontId="48" fillId="5" borderId="51" applyAlignment="1" pivotButton="0" quotePrefix="0" xfId="0">
      <alignment horizontal="center" vertical="center" shrinkToFit="1"/>
    </xf>
    <xf numFmtId="0" fontId="48" fillId="5" borderId="53" applyAlignment="1" pivotButton="0" quotePrefix="0" xfId="0">
      <alignment horizontal="center" vertical="center" shrinkToFit="1"/>
    </xf>
    <xf numFmtId="0" fontId="49" fillId="6" borderId="0" applyAlignment="1" pivotButton="0" quotePrefix="0" xfId="0">
      <alignment vertical="center"/>
    </xf>
    <xf numFmtId="0" fontId="48" fillId="5" borderId="37" applyAlignment="1" pivotButton="0" quotePrefix="0" xfId="0">
      <alignment horizontal="center" vertical="center"/>
    </xf>
    <xf numFmtId="0" fontId="48" fillId="5" borderId="32" applyAlignment="1" pivotButton="0" quotePrefix="0" xfId="0">
      <alignment horizontal="center" vertical="center"/>
    </xf>
    <xf numFmtId="0" fontId="48" fillId="5" borderId="22" applyAlignment="1" pivotButton="0" quotePrefix="0" xfId="0">
      <alignment horizontal="right" vertical="center" shrinkToFit="1"/>
    </xf>
    <xf numFmtId="0" fontId="48" fillId="5" borderId="23" applyAlignment="1" pivotButton="0" quotePrefix="0" xfId="0">
      <alignment horizontal="left" vertical="center" shrinkToFit="1"/>
    </xf>
    <xf numFmtId="0" fontId="48" fillId="5" borderId="21" applyAlignment="1" pivotButton="0" quotePrefix="0" xfId="0">
      <alignment horizontal="center" vertical="center" shrinkToFit="1"/>
    </xf>
    <xf numFmtId="0" fontId="48" fillId="5" borderId="40" applyAlignment="1" pivotButton="0" quotePrefix="0" xfId="0">
      <alignment horizontal="center" vertical="center"/>
    </xf>
    <xf numFmtId="0" fontId="48" fillId="5" borderId="41" applyAlignment="1" pivotButton="0" quotePrefix="0" xfId="0">
      <alignment horizontal="center" vertical="center"/>
    </xf>
    <xf numFmtId="0" fontId="48" fillId="5" borderId="42" applyAlignment="1" pivotButton="0" quotePrefix="0" xfId="0">
      <alignment horizontal="right" vertical="center" shrinkToFit="1"/>
    </xf>
    <xf numFmtId="0" fontId="48" fillId="5" borderId="44" applyAlignment="1" pivotButton="0" quotePrefix="0" xfId="0">
      <alignment horizontal="left" vertical="center" shrinkToFit="1"/>
    </xf>
    <xf numFmtId="0" fontId="48" fillId="5" borderId="43" applyAlignment="1" pivotButton="0" quotePrefix="0" xfId="0">
      <alignment horizontal="center" vertical="center" shrinkToFit="1"/>
    </xf>
    <xf numFmtId="0" fontId="48" fillId="5" borderId="45" applyAlignment="1" pivotButton="0" quotePrefix="0" xfId="0">
      <alignment horizontal="center" vertical="center" shrinkToFit="1"/>
    </xf>
    <xf numFmtId="0" fontId="48" fillId="3" borderId="39" applyAlignment="1" pivotButton="0" quotePrefix="0" xfId="0">
      <alignment horizontal="center" vertical="center"/>
    </xf>
    <xf numFmtId="0" fontId="48" fillId="3" borderId="31" applyAlignment="1" pivotButton="0" quotePrefix="0" xfId="0">
      <alignment horizontal="center" vertical="center"/>
    </xf>
    <xf numFmtId="0" fontId="48" fillId="3" borderId="56" applyAlignment="1" pivotButton="0" quotePrefix="0" xfId="0">
      <alignment horizontal="right" vertical="center" shrinkToFit="1"/>
    </xf>
    <xf numFmtId="0" fontId="48" fillId="3" borderId="57" applyAlignment="1" pivotButton="0" quotePrefix="0" xfId="0">
      <alignment horizontal="left" vertical="center" shrinkToFit="1"/>
    </xf>
    <xf numFmtId="0" fontId="48" fillId="3" borderId="20" applyAlignment="1" pivotButton="0" quotePrefix="0" xfId="0">
      <alignment horizontal="center" vertical="center" shrinkToFit="1"/>
    </xf>
    <xf numFmtId="0" fontId="48" fillId="3" borderId="30" applyAlignment="1" pivotButton="0" quotePrefix="0" xfId="0">
      <alignment horizontal="center" vertical="center" shrinkToFit="1"/>
    </xf>
    <xf numFmtId="0" fontId="48" fillId="3" borderId="37" applyAlignment="1" pivotButton="0" quotePrefix="0" xfId="0">
      <alignment horizontal="center" vertical="center"/>
    </xf>
    <xf numFmtId="0" fontId="48" fillId="3" borderId="32" applyAlignment="1" pivotButton="0" quotePrefix="0" xfId="0">
      <alignment horizontal="center" vertical="center"/>
    </xf>
    <xf numFmtId="0" fontId="48" fillId="3" borderId="22" applyAlignment="1" pivotButton="0" quotePrefix="0" xfId="0">
      <alignment horizontal="right" vertical="center" shrinkToFit="1"/>
    </xf>
    <xf numFmtId="0" fontId="48" fillId="3" borderId="23" applyAlignment="1" pivotButton="0" quotePrefix="0" xfId="0">
      <alignment horizontal="left" vertical="center" shrinkToFit="1"/>
    </xf>
    <xf numFmtId="0" fontId="48" fillId="3" borderId="21" applyAlignment="1" pivotButton="0" quotePrefix="0" xfId="0">
      <alignment horizontal="center" vertical="center" shrinkToFit="1"/>
    </xf>
    <xf numFmtId="0" fontId="48" fillId="3" borderId="38" applyAlignment="1" pivotButton="0" quotePrefix="0" xfId="0">
      <alignment horizontal="center" vertical="center"/>
    </xf>
    <xf numFmtId="0" fontId="48" fillId="3" borderId="33" applyAlignment="1" pivotButton="0" quotePrefix="0" xfId="0">
      <alignment horizontal="center" vertical="center"/>
    </xf>
    <xf numFmtId="0" fontId="48" fillId="3" borderId="25" applyAlignment="1" pivotButton="0" quotePrefix="0" xfId="0">
      <alignment horizontal="right" vertical="center" shrinkToFit="1"/>
    </xf>
    <xf numFmtId="0" fontId="48" fillId="3" borderId="26" applyAlignment="1" pivotButton="0" quotePrefix="0" xfId="0">
      <alignment horizontal="left" vertical="center" shrinkToFit="1"/>
    </xf>
    <xf numFmtId="0" fontId="48" fillId="3" borderId="24" applyAlignment="1" pivotButton="0" quotePrefix="0" xfId="0">
      <alignment horizontal="center" vertical="center" shrinkToFit="1"/>
    </xf>
    <xf numFmtId="0" fontId="48" fillId="3" borderId="27" applyAlignment="1" pivotButton="0" quotePrefix="0" xfId="0">
      <alignment horizontal="center" vertical="center" shrinkToFit="1"/>
    </xf>
    <xf numFmtId="0" fontId="48" fillId="3" borderId="28" applyAlignment="1" pivotButton="0" quotePrefix="0" xfId="0">
      <alignment horizontal="right" vertical="center" shrinkToFit="1"/>
    </xf>
    <xf numFmtId="0" fontId="48" fillId="3" borderId="29" applyAlignment="1" pivotButton="0" quotePrefix="0" xfId="0">
      <alignment horizontal="left" vertical="center" shrinkToFit="1"/>
    </xf>
    <xf numFmtId="0" fontId="48" fillId="5" borderId="39" applyAlignment="1" pivotButton="0" quotePrefix="0" xfId="0">
      <alignment horizontal="center" vertical="center"/>
    </xf>
    <xf numFmtId="0" fontId="48" fillId="5" borderId="31" applyAlignment="1" pivotButton="0" quotePrefix="0" xfId="0">
      <alignment horizontal="center" vertical="center"/>
    </xf>
    <xf numFmtId="0" fontId="48" fillId="5" borderId="28" applyAlignment="1" pivotButton="0" quotePrefix="0" xfId="0">
      <alignment horizontal="right" vertical="center" shrinkToFit="1"/>
    </xf>
    <xf numFmtId="0" fontId="48" fillId="5" borderId="29" applyAlignment="1" pivotButton="0" quotePrefix="0" xfId="0">
      <alignment horizontal="left" vertical="center" shrinkToFit="1"/>
    </xf>
    <xf numFmtId="0" fontId="48" fillId="5" borderId="20" applyAlignment="1" pivotButton="0" quotePrefix="0" xfId="0">
      <alignment horizontal="center" vertical="center" shrinkToFit="1"/>
    </xf>
    <xf numFmtId="0" fontId="48" fillId="5" borderId="38" applyAlignment="1" pivotButton="0" quotePrefix="0" xfId="0">
      <alignment horizontal="center" vertical="center"/>
    </xf>
    <xf numFmtId="0" fontId="48" fillId="5" borderId="33" applyAlignment="1" pivotButton="0" quotePrefix="0" xfId="0">
      <alignment horizontal="center" vertical="center"/>
    </xf>
    <xf numFmtId="0" fontId="48" fillId="5" borderId="25" applyAlignment="1" pivotButton="0" quotePrefix="0" xfId="0">
      <alignment horizontal="right" vertical="center" shrinkToFit="1"/>
    </xf>
    <xf numFmtId="0" fontId="48" fillId="5" borderId="26" applyAlignment="1" pivotButton="0" quotePrefix="0" xfId="0">
      <alignment horizontal="left" vertical="center" shrinkToFit="1"/>
    </xf>
    <xf numFmtId="0" fontId="48" fillId="5" borderId="24" applyAlignment="1" pivotButton="0" quotePrefix="0" xfId="0">
      <alignment horizontal="center" vertical="center" shrinkToFit="1"/>
    </xf>
    <xf numFmtId="0" fontId="48" fillId="5" borderId="27" applyAlignment="1" pivotButton="0" quotePrefix="0" xfId="0">
      <alignment horizontal="center" vertical="center" shrinkToFit="1"/>
    </xf>
    <xf numFmtId="0" fontId="48" fillId="3" borderId="48" applyAlignment="1" pivotButton="0" quotePrefix="0" xfId="0">
      <alignment horizontal="center" vertical="center"/>
    </xf>
    <xf numFmtId="0" fontId="48" fillId="3" borderId="49" applyAlignment="1" pivotButton="0" quotePrefix="0" xfId="0">
      <alignment horizontal="center" vertical="center"/>
    </xf>
    <xf numFmtId="0" fontId="48" fillId="3" borderId="50" applyAlignment="1" pivotButton="0" quotePrefix="0" xfId="0">
      <alignment horizontal="right" vertical="center" shrinkToFit="1"/>
    </xf>
    <xf numFmtId="0" fontId="48" fillId="3" borderId="52" applyAlignment="1" pivotButton="0" quotePrefix="0" xfId="0">
      <alignment horizontal="left" vertical="center" shrinkToFit="1"/>
    </xf>
    <xf numFmtId="0" fontId="48" fillId="3" borderId="51" applyAlignment="1" pivotButton="0" quotePrefix="0" xfId="0">
      <alignment horizontal="center" vertical="center" shrinkToFit="1"/>
    </xf>
    <xf numFmtId="0" fontId="48" fillId="3" borderId="53" applyAlignment="1" pivotButton="0" quotePrefix="0" xfId="0">
      <alignment horizontal="center" vertical="center" shrinkToFit="1"/>
    </xf>
    <xf numFmtId="0" fontId="48" fillId="3" borderId="40" applyAlignment="1" pivotButton="0" quotePrefix="0" xfId="0">
      <alignment horizontal="center" vertical="center"/>
    </xf>
    <xf numFmtId="0" fontId="48" fillId="3" borderId="41" applyAlignment="1" pivotButton="0" quotePrefix="0" xfId="0">
      <alignment horizontal="center" vertical="center"/>
    </xf>
    <xf numFmtId="0" fontId="48" fillId="3" borderId="42" applyAlignment="1" pivotButton="0" quotePrefix="0" xfId="0">
      <alignment horizontal="right" vertical="center" shrinkToFit="1"/>
    </xf>
    <xf numFmtId="0" fontId="48" fillId="3" borderId="44" applyAlignment="1" pivotButton="0" quotePrefix="0" xfId="0">
      <alignment horizontal="left" vertical="center" shrinkToFit="1"/>
    </xf>
    <xf numFmtId="0" fontId="48" fillId="3" borderId="43" applyAlignment="1" pivotButton="0" quotePrefix="0" xfId="0">
      <alignment horizontal="center" vertical="center" shrinkToFit="1"/>
    </xf>
    <xf numFmtId="0" fontId="48" fillId="3" borderId="45" applyAlignment="1" pivotButton="0" quotePrefix="0" xfId="0">
      <alignment horizontal="center" vertical="center" shrinkToFit="1"/>
    </xf>
    <xf numFmtId="0" fontId="0" fillId="4" borderId="0" applyAlignment="1" pivotButton="0" quotePrefix="0" xfId="0">
      <alignment vertical="center"/>
    </xf>
    <xf numFmtId="0" fontId="48" fillId="5" borderId="58" applyAlignment="1" pivotButton="0" quotePrefix="0" xfId="0">
      <alignment horizontal="center" vertical="center"/>
    </xf>
    <xf numFmtId="0" fontId="48" fillId="5" borderId="59" applyAlignment="1" pivotButton="0" quotePrefix="0" xfId="0">
      <alignment horizontal="center" vertical="center"/>
    </xf>
    <xf numFmtId="0" fontId="48" fillId="5" borderId="60" applyAlignment="1" pivotButton="0" quotePrefix="0" xfId="0">
      <alignment horizontal="right" vertical="center" shrinkToFit="1"/>
    </xf>
    <xf numFmtId="0" fontId="48" fillId="5" borderId="61" applyAlignment="1" pivotButton="0" quotePrefix="0" xfId="0">
      <alignment horizontal="left" vertical="center" shrinkToFit="1"/>
    </xf>
    <xf numFmtId="0" fontId="48" fillId="5" borderId="47" applyAlignment="1" pivotButton="0" quotePrefix="0" xfId="0">
      <alignment horizontal="center" vertical="center" shrinkToFit="1"/>
    </xf>
    <xf numFmtId="0" fontId="48" fillId="5" borderId="62" applyAlignment="1" pivotButton="0" quotePrefix="0" xfId="0">
      <alignment horizontal="center" vertical="center" shrinkToFit="1"/>
    </xf>
    <xf numFmtId="0" fontId="48" fillId="3" borderId="58" applyAlignment="1" pivotButton="0" quotePrefix="0" xfId="0">
      <alignment horizontal="center" vertical="center"/>
    </xf>
    <xf numFmtId="0" fontId="48" fillId="3" borderId="59" applyAlignment="1" pivotButton="0" quotePrefix="0" xfId="0">
      <alignment horizontal="center" vertical="center"/>
    </xf>
    <xf numFmtId="0" fontId="48" fillId="3" borderId="60" applyAlignment="1" pivotButton="0" quotePrefix="0" xfId="0">
      <alignment horizontal="right" vertical="center" shrinkToFit="1"/>
    </xf>
    <xf numFmtId="0" fontId="48" fillId="3" borderId="61" applyAlignment="1" pivotButton="0" quotePrefix="0" xfId="0">
      <alignment horizontal="left" vertical="center" shrinkToFit="1"/>
    </xf>
    <xf numFmtId="0" fontId="48" fillId="3" borderId="47" applyAlignment="1" pivotButton="0" quotePrefix="0" xfId="0">
      <alignment horizontal="center" vertical="center" shrinkToFit="1"/>
    </xf>
    <xf numFmtId="0" fontId="48" fillId="3" borderId="62" applyAlignment="1" pivotButton="0" quotePrefix="0" xfId="0">
      <alignment horizontal="center" vertical="center" shrinkToFit="1"/>
    </xf>
    <xf numFmtId="0" fontId="48" fillId="5" borderId="66" applyAlignment="1" pivotButton="0" quotePrefix="0" xfId="0">
      <alignment horizontal="center" vertical="center"/>
    </xf>
    <xf numFmtId="0" fontId="48" fillId="5" borderId="36" applyAlignment="1" pivotButton="0" quotePrefix="0" xfId="0">
      <alignment horizontal="center" vertical="center"/>
    </xf>
    <xf numFmtId="0" fontId="48" fillId="5" borderId="54" applyAlignment="1" pivotButton="0" quotePrefix="0" xfId="0">
      <alignment horizontal="right" vertical="center" shrinkToFit="1"/>
    </xf>
    <xf numFmtId="0" fontId="48" fillId="5" borderId="55" applyAlignment="1" pivotButton="0" quotePrefix="0" xfId="0">
      <alignment horizontal="left" vertical="center" shrinkToFit="1"/>
    </xf>
    <xf numFmtId="0" fontId="48" fillId="5" borderId="3" applyAlignment="1" pivotButton="0" quotePrefix="0" xfId="0">
      <alignment horizontal="center" vertical="center" shrinkToFit="1"/>
    </xf>
    <xf numFmtId="0" fontId="48" fillId="5" borderId="67" applyAlignment="1" pivotButton="0" quotePrefix="0" xfId="0">
      <alignment horizontal="center" vertical="center" shrinkToFit="1"/>
    </xf>
    <xf numFmtId="0" fontId="0" fillId="2" borderId="0" applyAlignment="1" pivotButton="0" quotePrefix="0" xfId="0">
      <alignment vertical="center"/>
    </xf>
    <xf numFmtId="0" fontId="48" fillId="6" borderId="0" applyAlignment="1" pivotButton="0" quotePrefix="0" xfId="0">
      <alignment horizontal="left" vertical="center"/>
    </xf>
    <xf numFmtId="0" fontId="48" fillId="6" borderId="0" applyAlignment="1" pivotButton="0" quotePrefix="0" xfId="0">
      <alignment vertical="center"/>
    </xf>
    <xf numFmtId="0" fontId="48" fillId="6" borderId="0" applyAlignment="1" pivotButton="0" quotePrefix="0" xfId="0">
      <alignment horizontal="right" vertical="center"/>
    </xf>
    <xf numFmtId="0" fontId="52" fillId="5" borderId="51" applyAlignment="1" pivotButton="0" quotePrefix="0" xfId="0">
      <alignment horizontal="center" vertical="center"/>
    </xf>
    <xf numFmtId="0" fontId="52" fillId="5" borderId="21" applyAlignment="1" pivotButton="0" quotePrefix="0" xfId="0">
      <alignment horizontal="center" vertical="center"/>
    </xf>
    <xf numFmtId="0" fontId="52" fillId="5" borderId="43" applyAlignment="1" pivotButton="0" quotePrefix="0" xfId="0">
      <alignment horizontal="center" vertical="center"/>
    </xf>
    <xf numFmtId="0" fontId="52" fillId="3" borderId="21" applyAlignment="1" pivotButton="0" quotePrefix="0" xfId="0">
      <alignment horizontal="center" vertical="center"/>
    </xf>
    <xf numFmtId="0" fontId="52" fillId="3" borderId="24" applyAlignment="1" pivotButton="0" quotePrefix="0" xfId="0">
      <alignment horizontal="center" vertical="center"/>
    </xf>
    <xf numFmtId="0" fontId="52" fillId="3" borderId="20" applyAlignment="1" pivotButton="0" quotePrefix="0" xfId="0">
      <alignment horizontal="center" vertical="center"/>
    </xf>
    <xf numFmtId="0" fontId="52" fillId="5" borderId="20" applyAlignment="1" pivotButton="0" quotePrefix="0" xfId="0">
      <alignment horizontal="center" vertical="center"/>
    </xf>
    <xf numFmtId="0" fontId="52" fillId="5" borderId="24" applyAlignment="1" pivotButton="0" quotePrefix="0" xfId="0">
      <alignment horizontal="center" vertical="center"/>
    </xf>
    <xf numFmtId="0" fontId="52" fillId="3" borderId="51" applyAlignment="1" pivotButton="0" quotePrefix="0" xfId="0">
      <alignment horizontal="center" vertical="center"/>
    </xf>
    <xf numFmtId="0" fontId="52" fillId="3" borderId="43" applyAlignment="1" pivotButton="0" quotePrefix="0" xfId="0">
      <alignment horizontal="center" vertical="center"/>
    </xf>
    <xf numFmtId="0" fontId="52" fillId="5" borderId="47" applyAlignment="1" pivotButton="0" quotePrefix="0" xfId="0">
      <alignment horizontal="center" vertical="center"/>
    </xf>
    <xf numFmtId="0" fontId="52" fillId="3" borderId="47" applyAlignment="1" pivotButton="0" quotePrefix="0" xfId="0">
      <alignment horizontal="center" vertical="center"/>
    </xf>
    <xf numFmtId="0" fontId="52" fillId="5" borderId="3" applyAlignment="1" pivotButton="0" quotePrefix="0" xfId="0">
      <alignment horizontal="center" vertical="center"/>
    </xf>
    <xf numFmtId="0" fontId="51" fillId="5" borderId="50" applyAlignment="1" pivotButton="0" quotePrefix="0" xfId="0">
      <alignment horizontal="left" vertical="center" shrinkToFit="1" indent="1"/>
    </xf>
    <xf numFmtId="0" fontId="51" fillId="5" borderId="22" applyAlignment="1" pivotButton="0" quotePrefix="0" xfId="0">
      <alignment horizontal="left" vertical="center" shrinkToFit="1" indent="1"/>
    </xf>
    <xf numFmtId="0" fontId="51" fillId="5" borderId="42" applyAlignment="1" pivotButton="0" quotePrefix="0" xfId="0">
      <alignment horizontal="left" vertical="center" shrinkToFit="1" indent="1"/>
    </xf>
    <xf numFmtId="0" fontId="51" fillId="3" borderId="28" applyAlignment="1" pivotButton="0" quotePrefix="0" xfId="0">
      <alignment horizontal="left" vertical="center" shrinkToFit="1" indent="1"/>
    </xf>
    <xf numFmtId="0" fontId="51" fillId="3" borderId="22" applyAlignment="1" pivotButton="0" quotePrefix="0" xfId="0">
      <alignment horizontal="left" vertical="center" shrinkToFit="1" indent="1"/>
    </xf>
    <xf numFmtId="0" fontId="51" fillId="3" borderId="25" applyAlignment="1" pivotButton="0" quotePrefix="0" xfId="0">
      <alignment horizontal="left" vertical="center" shrinkToFit="1" indent="1"/>
    </xf>
    <xf numFmtId="0" fontId="51" fillId="5" borderId="28" applyAlignment="1" pivotButton="0" quotePrefix="0" xfId="0">
      <alignment horizontal="left" vertical="center" shrinkToFit="1" indent="1"/>
    </xf>
    <xf numFmtId="0" fontId="51" fillId="5" borderId="25" applyAlignment="1" pivotButton="0" quotePrefix="0" xfId="0">
      <alignment horizontal="left" vertical="center" shrinkToFit="1" indent="1"/>
    </xf>
    <xf numFmtId="0" fontId="51" fillId="3" borderId="50" applyAlignment="1" pivotButton="0" quotePrefix="0" xfId="0">
      <alignment horizontal="left" vertical="center" shrinkToFit="1" indent="1"/>
    </xf>
    <xf numFmtId="0" fontId="51" fillId="3" borderId="42" applyAlignment="1" pivotButton="0" quotePrefix="0" xfId="0">
      <alignment horizontal="left" vertical="center" shrinkToFit="1" indent="1"/>
    </xf>
    <xf numFmtId="0" fontId="51" fillId="5" borderId="60" applyAlignment="1" pivotButton="0" quotePrefix="0" xfId="0">
      <alignment horizontal="left" vertical="center" shrinkToFit="1" indent="1"/>
    </xf>
    <xf numFmtId="0" fontId="51" fillId="3" borderId="60" applyAlignment="1" pivotButton="0" quotePrefix="0" xfId="0">
      <alignment horizontal="left" vertical="center" shrinkToFit="1" indent="1"/>
    </xf>
    <xf numFmtId="0" fontId="51" fillId="5" borderId="54" applyAlignment="1" pivotButton="0" quotePrefix="0" xfId="0">
      <alignment horizontal="left" vertical="center" shrinkToFit="1" indent="1"/>
    </xf>
    <xf numFmtId="0" fontId="46" fillId="7" borderId="3" applyAlignment="1" pivotButton="0" quotePrefix="0" xfId="0">
      <alignment horizontal="center" vertical="center"/>
    </xf>
    <xf numFmtId="0" fontId="46" fillId="7" borderId="8" applyAlignment="1" pivotButton="0" quotePrefix="0" xfId="0">
      <alignment horizontal="center" vertical="center"/>
    </xf>
    <xf numFmtId="0" fontId="48" fillId="5" borderId="68" applyAlignment="1" pivotButton="0" quotePrefix="0" xfId="0">
      <alignment horizontal="center" vertical="center" shrinkToFit="1"/>
    </xf>
    <xf numFmtId="0" fontId="48" fillId="5" borderId="69" applyAlignment="1" pivotButton="0" quotePrefix="0" xfId="0">
      <alignment horizontal="center" vertical="center" shrinkToFit="1"/>
    </xf>
    <xf numFmtId="0" fontId="48" fillId="5" borderId="70" applyAlignment="1" pivotButton="0" quotePrefix="0" xfId="0">
      <alignment horizontal="center" vertical="center" shrinkToFit="1"/>
    </xf>
    <xf numFmtId="0" fontId="48" fillId="3" borderId="71" applyAlignment="1" pivotButton="0" quotePrefix="0" xfId="0">
      <alignment horizontal="center" vertical="center" shrinkToFit="1"/>
    </xf>
    <xf numFmtId="0" fontId="48" fillId="3" borderId="69" applyAlignment="1" pivotButton="0" quotePrefix="0" xfId="0">
      <alignment horizontal="center" vertical="center" shrinkToFit="1"/>
    </xf>
    <xf numFmtId="0" fontId="48" fillId="3" borderId="72" applyAlignment="1" pivotButton="0" quotePrefix="0" xfId="0">
      <alignment horizontal="center" vertical="center" shrinkToFit="1"/>
    </xf>
    <xf numFmtId="0" fontId="48" fillId="5" borderId="71" applyAlignment="1" pivotButton="0" quotePrefix="0" xfId="0">
      <alignment horizontal="center" vertical="center" shrinkToFit="1"/>
    </xf>
    <xf numFmtId="0" fontId="48" fillId="5" borderId="72" applyAlignment="1" pivotButton="0" quotePrefix="0" xfId="0">
      <alignment horizontal="center" vertical="center" shrinkToFit="1"/>
    </xf>
    <xf numFmtId="0" fontId="48" fillId="3" borderId="68" applyAlignment="1" pivotButton="0" quotePrefix="0" xfId="0">
      <alignment horizontal="center" vertical="center" shrinkToFit="1"/>
    </xf>
    <xf numFmtId="0" fontId="48" fillId="3" borderId="70" applyAlignment="1" pivotButton="0" quotePrefix="0" xfId="0">
      <alignment horizontal="center" vertical="center" shrinkToFit="1"/>
    </xf>
    <xf numFmtId="0" fontId="48" fillId="3" borderId="59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6" fillId="0" borderId="0" pivotButton="0" quotePrefix="0" xfId="1"/>
    <xf numFmtId="0" fontId="52" fillId="3" borderId="0" applyAlignment="1" pivotButton="0" quotePrefix="0" xfId="0">
      <alignment horizontal="center" vertical="center"/>
    </xf>
    <xf numFmtId="0" fontId="53" fillId="5" borderId="77" applyAlignment="1" pivotButton="0" quotePrefix="0" xfId="0">
      <alignment horizontal="center" vertical="center" wrapText="1" shrinkToFit="1"/>
    </xf>
    <xf numFmtId="0" fontId="53" fillId="5" borderId="73" applyAlignment="1" pivotButton="0" quotePrefix="0" xfId="0">
      <alignment horizontal="center" vertical="center" wrapText="1" shrinkToFit="1"/>
    </xf>
    <xf numFmtId="0" fontId="53" fillId="5" borderId="78" applyAlignment="1" pivotButton="0" quotePrefix="0" xfId="0">
      <alignment horizontal="center" vertical="center" wrapText="1" shrinkToFit="1"/>
    </xf>
    <xf numFmtId="0" fontId="53" fillId="3" borderId="77" applyAlignment="1" pivotButton="0" quotePrefix="0" xfId="0">
      <alignment horizontal="center" vertical="center" wrapText="1" shrinkToFit="1"/>
    </xf>
    <xf numFmtId="0" fontId="53" fillId="3" borderId="73" applyAlignment="1" pivotButton="0" quotePrefix="0" xfId="0">
      <alignment horizontal="center" vertical="center" wrapText="1" shrinkToFit="1"/>
    </xf>
    <xf numFmtId="0" fontId="53" fillId="3" borderId="74" applyAlignment="1" pivotButton="0" quotePrefix="0" xfId="0">
      <alignment horizontal="center" vertical="center" wrapText="1" shrinkToFit="1"/>
    </xf>
    <xf numFmtId="0" fontId="53" fillId="5" borderId="75" applyAlignment="1" pivotButton="0" quotePrefix="0" xfId="0">
      <alignment horizontal="center" vertical="center" wrapText="1" shrinkToFit="1"/>
    </xf>
    <xf numFmtId="0" fontId="54" fillId="7" borderId="9" applyAlignment="1" pivotButton="0" quotePrefix="0" xfId="0">
      <alignment horizontal="center" vertical="center"/>
    </xf>
    <xf numFmtId="0" fontId="53" fillId="5" borderId="79" applyAlignment="1" pivotButton="0" quotePrefix="0" xfId="0">
      <alignment horizontal="center" vertical="center" wrapText="1" shrinkToFit="1"/>
    </xf>
    <xf numFmtId="0" fontId="53" fillId="3" borderId="76" applyAlignment="1" pivotButton="0" quotePrefix="0" xfId="0">
      <alignment horizontal="center" vertical="center" wrapText="1" shrinkToFit="1"/>
    </xf>
    <xf numFmtId="0" fontId="53" fillId="5" borderId="80" applyAlignment="1" pivotButton="0" quotePrefix="0" xfId="0">
      <alignment horizontal="center" vertical="center" wrapText="1" shrinkToFit="1"/>
    </xf>
    <xf numFmtId="0" fontId="53" fillId="5" borderId="76" applyAlignment="1" pivotButton="0" quotePrefix="0" xfId="0">
      <alignment horizontal="center" vertical="center" wrapText="1" shrinkToFit="1"/>
    </xf>
    <xf numFmtId="0" fontId="48" fillId="3" borderId="50" applyAlignment="1" pivotButton="0" quotePrefix="0" xfId="0">
      <alignment horizontal="center" vertical="center" shrinkToFit="1"/>
    </xf>
    <xf numFmtId="0" fontId="48" fillId="3" borderId="42" applyAlignment="1" pivotButton="0" quotePrefix="0" xfId="0">
      <alignment horizontal="center" vertical="center" shrinkToFit="1"/>
    </xf>
    <xf numFmtId="0" fontId="46" fillId="7" borderId="4" applyAlignment="1" pivotButton="0" quotePrefix="0" xfId="0">
      <alignment horizontal="center" vertical="center"/>
    </xf>
    <xf numFmtId="0" fontId="46" fillId="7" borderId="9" applyAlignment="1" pivotButton="0" quotePrefix="0" xfId="0">
      <alignment horizontal="center" vertical="center"/>
    </xf>
    <xf numFmtId="0" fontId="47" fillId="7" borderId="47" applyAlignment="1" pivotButton="0" quotePrefix="0" xfId="0">
      <alignment horizontal="center" vertical="center"/>
    </xf>
    <xf numFmtId="0" fontId="46" fillId="7" borderId="3" applyAlignment="1" pivotButton="0" quotePrefix="0" xfId="0">
      <alignment horizontal="center" vertical="center"/>
    </xf>
    <xf numFmtId="0" fontId="46" fillId="7" borderId="8" applyAlignment="1" pivotButton="0" quotePrefix="0" xfId="0">
      <alignment horizontal="center" vertical="center"/>
    </xf>
    <xf numFmtId="0" fontId="46" fillId="7" borderId="2" applyAlignment="1" pivotButton="0" quotePrefix="0" xfId="0">
      <alignment horizontal="center" vertical="center"/>
    </xf>
    <xf numFmtId="0" fontId="46" fillId="7" borderId="7" applyAlignment="1" pivotButton="0" quotePrefix="0" xfId="0">
      <alignment horizontal="center" vertical="center"/>
    </xf>
    <xf numFmtId="0" fontId="47" fillId="7" borderId="3" applyAlignment="1" pivotButton="0" quotePrefix="0" xfId="0">
      <alignment horizontal="center" vertical="center"/>
    </xf>
    <xf numFmtId="0" fontId="47" fillId="7" borderId="8" applyAlignment="1" pivotButton="0" quotePrefix="0" xfId="0">
      <alignment horizontal="center" vertical="center"/>
    </xf>
    <xf numFmtId="0" fontId="46" fillId="7" borderId="3" applyAlignment="1" pivotButton="0" quotePrefix="0" xfId="0">
      <alignment horizontal="right" vertical="center"/>
    </xf>
    <xf numFmtId="0" fontId="46" fillId="7" borderId="8" applyAlignment="1" pivotButton="0" quotePrefix="0" xfId="0">
      <alignment horizontal="right" vertical="center"/>
    </xf>
    <xf numFmtId="0" fontId="33" fillId="6" borderId="64" applyAlignment="1" pivotButton="0" quotePrefix="0" xfId="0">
      <alignment horizontal="center"/>
    </xf>
    <xf numFmtId="0" fontId="33" fillId="6" borderId="65" applyAlignment="1" pivotButton="0" quotePrefix="0" xfId="0">
      <alignment horizontal="center"/>
    </xf>
    <xf numFmtId="0" fontId="37" fillId="6" borderId="0" applyAlignment="1" pivotButton="0" quotePrefix="0" xfId="0">
      <alignment horizontal="center" shrinkToFit="1"/>
    </xf>
    <xf numFmtId="0" fontId="37" fillId="6" borderId="8" applyAlignment="1" pivotButton="0" quotePrefix="0" xfId="0">
      <alignment horizontal="center" shrinkToFit="1"/>
    </xf>
    <xf numFmtId="0" fontId="20" fillId="6" borderId="2" applyAlignment="1" pivotButton="0" quotePrefix="0" xfId="0">
      <alignment horizontal="center"/>
    </xf>
    <xf numFmtId="0" fontId="20" fillId="6" borderId="3" applyAlignment="1" pivotButton="0" quotePrefix="0" xfId="0">
      <alignment horizontal="center"/>
    </xf>
    <xf numFmtId="0" fontId="20" fillId="6" borderId="4" applyAlignment="1" pivotButton="0" quotePrefix="0" xfId="0">
      <alignment horizontal="center"/>
    </xf>
    <xf numFmtId="0" fontId="20" fillId="6" borderId="5" applyAlignment="1" pivotButton="0" quotePrefix="0" xfId="0">
      <alignment horizontal="center"/>
    </xf>
    <xf numFmtId="0" fontId="20" fillId="6" borderId="0" applyAlignment="1" pivotButton="0" quotePrefix="0" xfId="0">
      <alignment horizontal="center"/>
    </xf>
    <xf numFmtId="0" fontId="20" fillId="6" borderId="6" applyAlignment="1" pivotButton="0" quotePrefix="0" xfId="0">
      <alignment horizontal="center"/>
    </xf>
    <xf numFmtId="0" fontId="20" fillId="6" borderId="7" applyAlignment="1" pivotButton="0" quotePrefix="0" xfId="0">
      <alignment horizontal="center"/>
    </xf>
    <xf numFmtId="0" fontId="20" fillId="6" borderId="8" applyAlignment="1" pivotButton="0" quotePrefix="0" xfId="0">
      <alignment horizontal="center"/>
    </xf>
    <xf numFmtId="0" fontId="20" fillId="6" borderId="9" applyAlignment="1" pivotButton="0" quotePrefix="0" xfId="0">
      <alignment horizontal="center"/>
    </xf>
    <xf numFmtId="0" fontId="24" fillId="6" borderId="0" applyAlignment="1" pivotButton="0" quotePrefix="0" xfId="1">
      <alignment horizontal="center"/>
    </xf>
    <xf numFmtId="0" fontId="19" fillId="6" borderId="0" applyAlignment="1" pivotButton="0" quotePrefix="0" xfId="0">
      <alignment horizontal="center"/>
    </xf>
    <xf numFmtId="0" fontId="33" fillId="6" borderId="0" applyAlignment="1" pivotButton="0" quotePrefix="0" xfId="0">
      <alignment horizontal="center"/>
    </xf>
    <xf numFmtId="0" fontId="33" fillId="6" borderId="8" applyAlignment="1" pivotButton="0" quotePrefix="0" xfId="0">
      <alignment horizontal="center"/>
    </xf>
    <xf numFmtId="0" fontId="35" fillId="6" borderId="14" applyAlignment="1" pivotButton="0" quotePrefix="0" xfId="0">
      <alignment horizontal="center" shrinkToFit="1"/>
    </xf>
    <xf numFmtId="0" fontId="35" fillId="6" borderId="19" applyAlignment="1" pivotButton="0" quotePrefix="0" xfId="0">
      <alignment horizontal="center" shrinkToFit="1"/>
    </xf>
    <xf numFmtId="0" fontId="15" fillId="6" borderId="0" applyAlignment="1" pivotButton="0" quotePrefix="0" xfId="0">
      <alignment horizontal="center"/>
    </xf>
    <xf numFmtId="0" fontId="37" fillId="6" borderId="14" applyAlignment="1" pivotButton="0" quotePrefix="0" xfId="0">
      <alignment horizontal="center" shrinkToFit="1"/>
    </xf>
    <xf numFmtId="0" fontId="37" fillId="6" borderId="19" applyAlignment="1" pivotButton="0" quotePrefix="0" xfId="0">
      <alignment horizontal="center" shrinkToFit="1"/>
    </xf>
    <xf numFmtId="0" fontId="35" fillId="6" borderId="15" applyAlignment="1" pivotButton="0" quotePrefix="0" xfId="0">
      <alignment horizontal="center" shrinkToFit="1"/>
    </xf>
    <xf numFmtId="0" fontId="35" fillId="6" borderId="16" applyAlignment="1" pivotButton="0" quotePrefix="0" xfId="0">
      <alignment horizontal="center" shrinkToFit="1"/>
    </xf>
    <xf numFmtId="0" fontId="18" fillId="9" borderId="2" applyAlignment="1" pivotButton="0" quotePrefix="0" xfId="0">
      <alignment horizontal="center" vertical="center"/>
    </xf>
    <xf numFmtId="0" fontId="18" fillId="9" borderId="3" applyAlignment="1" pivotButton="0" quotePrefix="0" xfId="0">
      <alignment horizontal="center" vertical="center"/>
    </xf>
    <xf numFmtId="0" fontId="18" fillId="9" borderId="4" applyAlignment="1" pivotButton="0" quotePrefix="0" xfId="0">
      <alignment horizontal="center" vertical="center"/>
    </xf>
    <xf numFmtId="0" fontId="18" fillId="9" borderId="7" applyAlignment="1" pivotButton="0" quotePrefix="0" xfId="0">
      <alignment horizontal="center" vertical="center"/>
    </xf>
    <xf numFmtId="0" fontId="18" fillId="9" borderId="8" applyAlignment="1" pivotButton="0" quotePrefix="0" xfId="0">
      <alignment horizontal="center" vertical="center"/>
    </xf>
    <xf numFmtId="0" fontId="18" fillId="9" borderId="9" applyAlignment="1" pivotButton="0" quotePrefix="0" xfId="0">
      <alignment horizontal="center" vertical="center"/>
    </xf>
    <xf numFmtId="0" fontId="35" fillId="6" borderId="17" applyAlignment="1" pivotButton="0" quotePrefix="0" xfId="0">
      <alignment horizontal="center" shrinkToFit="1"/>
    </xf>
    <xf numFmtId="0" fontId="35" fillId="6" borderId="18" applyAlignment="1" pivotButton="0" quotePrefix="0" xfId="0">
      <alignment horizontal="center" shrinkToFit="1"/>
    </xf>
    <xf numFmtId="0" fontId="33" fillId="6" borderId="5" applyAlignment="1" pivotButton="0" quotePrefix="0" xfId="0">
      <alignment horizontal="center"/>
    </xf>
    <xf numFmtId="0" fontId="33" fillId="6" borderId="7" applyAlignment="1" pivotButton="0" quotePrefix="0" xfId="0">
      <alignment horizontal="center"/>
    </xf>
    <xf numFmtId="0" fontId="17" fillId="6" borderId="0" applyAlignment="1" pivotButton="0" quotePrefix="0" xfId="0">
      <alignment horizontal="center" vertical="center"/>
    </xf>
    <xf numFmtId="0" fontId="14" fillId="6" borderId="3" applyAlignment="1" pivotButton="0" quotePrefix="0" xfId="0">
      <alignment horizontal="center"/>
    </xf>
    <xf numFmtId="0" fontId="14" fillId="6" borderId="0" applyAlignment="1" pivotButton="0" quotePrefix="0" xfId="0">
      <alignment horizontal="center"/>
    </xf>
    <xf numFmtId="0" fontId="35" fillId="6" borderId="35" applyAlignment="1" pivotButton="0" quotePrefix="0" xfId="0">
      <alignment horizontal="center" shrinkToFit="1"/>
    </xf>
    <xf numFmtId="0" fontId="39" fillId="7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left"/>
    </xf>
    <xf numFmtId="0" fontId="14" fillId="6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left" vertical="top" wrapText="1"/>
    </xf>
    <xf numFmtId="0" fontId="33" fillId="6" borderId="64" applyAlignment="1" pivotButton="0" quotePrefix="0" xfId="0">
      <alignment horizontal="right" vertical="center"/>
    </xf>
    <xf numFmtId="0" fontId="33" fillId="6" borderId="65" applyAlignment="1" pivotButton="0" quotePrefix="0" xfId="0">
      <alignment horizontal="right" vertical="center"/>
    </xf>
    <xf numFmtId="0" fontId="32" fillId="6" borderId="0" applyAlignment="1" pivotButton="0" quotePrefix="0" xfId="0">
      <alignment horizontal="center"/>
    </xf>
    <xf numFmtId="0" fontId="32" fillId="6" borderId="8" applyAlignment="1" pivotButton="0" quotePrefix="0" xfId="0">
      <alignment horizontal="center"/>
    </xf>
    <xf numFmtId="0" fontId="37" fillId="6" borderId="0" applyAlignment="1" pivotButton="0" quotePrefix="0" xfId="0">
      <alignment horizontal="left" vertical="center" shrinkToFit="1"/>
    </xf>
    <xf numFmtId="0" fontId="37" fillId="6" borderId="8" applyAlignment="1" pivotButton="0" quotePrefix="0" xfId="0">
      <alignment horizontal="left" vertical="center" shrinkToFit="1"/>
    </xf>
    <xf numFmtId="0" fontId="33" fillId="6" borderId="6" applyAlignment="1" pivotButton="0" quotePrefix="0" xfId="0">
      <alignment horizontal="center"/>
    </xf>
    <xf numFmtId="0" fontId="33" fillId="6" borderId="9" applyAlignment="1" pivotButton="0" quotePrefix="0" xfId="0">
      <alignment horizontal="center"/>
    </xf>
    <xf numFmtId="0" fontId="37" fillId="6" borderId="63" applyAlignment="1" pivotButton="0" quotePrefix="0" xfId="0">
      <alignment horizontal="center" shrinkToFit="1"/>
    </xf>
    <xf numFmtId="0" fontId="37" fillId="6" borderId="34" applyAlignment="1" pivotButton="0" quotePrefix="0" xfId="0">
      <alignment horizontal="center" shrinkToFit="1"/>
    </xf>
    <xf numFmtId="0" fontId="0" fillId="0" borderId="3" pivotButton="0" quotePrefix="0" xfId="0"/>
    <xf numFmtId="0" fontId="46" fillId="7" borderId="47" applyAlignment="1" pivotButton="0" quotePrefix="0" xfId="0">
      <alignment horizontal="right" vertical="center"/>
    </xf>
    <xf numFmtId="0" fontId="46" fillId="7" borderId="8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7" pivotButton="0" quotePrefix="0" xfId="0"/>
    <xf numFmtId="0" fontId="35" fillId="6" borderId="85" applyAlignment="1" pivotButton="0" quotePrefix="0" xfId="0">
      <alignment horizontal="center" shrinkToFit="1"/>
    </xf>
    <xf numFmtId="0" fontId="0" fillId="0" borderId="65" pivotButton="0" quotePrefix="0" xfId="0"/>
    <xf numFmtId="0" fontId="0" fillId="0" borderId="19" pivotButton="0" quotePrefix="0" xfId="0"/>
    <xf numFmtId="0" fontId="0" fillId="0" borderId="34" pivotButton="0" quotePrefix="0" xfId="0"/>
    <xf numFmtId="0" fontId="35" fillId="6" borderId="11" applyAlignment="1" pivotButton="0" quotePrefix="0" xfId="0">
      <alignment horizontal="center" shrinkToFit="1"/>
    </xf>
    <xf numFmtId="0" fontId="0" fillId="0" borderId="18" pivotButton="0" quotePrefix="0" xfId="0"/>
    <xf numFmtId="0" fontId="0" fillId="0" borderId="16" pivotButton="0" quotePrefix="0" xfId="0"/>
    <xf numFmtId="0" fontId="20" fillId="6" borderId="76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37" fillId="6" borderId="10" applyAlignment="1" pivotButton="0" quotePrefix="0" xfId="0">
      <alignment horizontal="center" shrinkToFit="1"/>
    </xf>
    <xf numFmtId="0" fontId="18" fillId="9" borderId="76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dxfs count="10">
    <dxf>
      <numFmt numFmtId="0" formatCode="General"/>
    </dxf>
    <dxf>
      <numFmt numFmtId="0" formatCode="General"/>
      <alignment horizontal="center" vertical="bottom"/>
    </dxf>
    <dxf>
      <numFmt numFmtId="0" formatCode="General"/>
    </dxf>
    <dxf>
      <alignment horizontal="center" vertical="bottom"/>
    </dxf>
    <dxf>
      <alignment horizontal="center" vertical="bottom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Vertex42</author>
  </authors>
  <commentList>
    <comment ref="B5" authorId="0" shapeId="0">
      <text>
        <t>Seed</t>
      </text>
    </comment>
    <comment ref="E5" authorId="0" shapeId="0">
      <text>
        <t>Score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tables/table1.xml><?xml version="1.0" encoding="utf-8"?>
<table xmlns="http://schemas.openxmlformats.org/spreadsheetml/2006/main" id="1" name="Team_Links" displayName="Team_Links" ref="A1:E366" tableType="queryTable" headerRowCount="1" totalsRowShown="0">
  <autoFilter ref="A1:E366"/>
  <tableColumns count="5">
    <tableColumn id="1" uniqueName="1" name="Column1" queryTableFieldId="1"/>
    <tableColumn id="2" uniqueName="2" name="School" queryTableFieldId="2" dataDxfId="9"/>
    <tableColumn id="3" uniqueName="3" name="Link" queryTableFieldId="3" dataDxfId="8"/>
    <tableColumn id="4" uniqueName="4" name="GameLogs" queryTableFieldId="4" dataDxfId="7"/>
    <tableColumn id="6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Teams" displayName="Teams" ref="A1:E65" headerRowCount="1" totalsRowShown="0" headerRowDxfId="6" tableBorderDxfId="5" dataCellStyle="Normal">
  <autoFilter ref="A1:E65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</autoFilter>
  <tableColumns count="5">
    <tableColumn id="1" name="Seed" dataDxfId="4" dataCellStyle="Normal"/>
    <tableColumn id="3" name="Region" dataDxfId="3" dataCellStyle="Normal"/>
    <tableColumn id="2" name="Team" dataCellStyle="Normal"/>
    <tableColumn id="5" name="Hyperlink Name" dataDxfId="2">
      <calculatedColumnFormula>_xlfn.XLOOKUP(Teams[[#This Row],[Team]],Team_Links[School],Team_Links[PartialLink],,0,1)</calculatedColumnFormula>
    </tableColumn>
    <tableColumn id="4" name="Logo" dataDxfId="1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ports-reference.com/cbb/schools/missouri/men/2026.html" TargetMode="Externa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FCF7F2"/>
    <outlinePr summaryBelow="1" summaryRight="1"/>
    <pageSetUpPr/>
  </sheetPr>
  <dimension ref="A1:E366"/>
  <sheetViews>
    <sheetView zoomScale="85" zoomScaleNormal="85" workbookViewId="0">
      <selection activeCell="E5" sqref="E5"/>
    </sheetView>
  </sheetViews>
  <sheetFormatPr baseColWidth="8" defaultRowHeight="13.2"/>
  <cols>
    <col width="10.88671875" bestFit="1" customWidth="1" min="1" max="1"/>
    <col width="23.33203125" bestFit="1" customWidth="1" min="2" max="2"/>
    <col width="75.88671875" bestFit="1" customWidth="1" min="3" max="3"/>
    <col width="80.88671875" bestFit="1" customWidth="1" min="4" max="4"/>
    <col width="24.21875" bestFit="1" customWidth="1" min="5" max="5"/>
  </cols>
  <sheetData>
    <row r="1">
      <c r="A1" t="inlineStr">
        <is>
          <t>Column1</t>
        </is>
      </c>
      <c r="B1" t="inlineStr">
        <is>
          <t>School</t>
        </is>
      </c>
      <c r="C1" t="inlineStr">
        <is>
          <t>Link</t>
        </is>
      </c>
      <c r="D1" t="inlineStr">
        <is>
          <t>GameLogs</t>
        </is>
      </c>
      <c r="E1" t="inlineStr">
        <is>
          <t>PartialLink</t>
        </is>
      </c>
    </row>
    <row r="2">
      <c r="A2" t="n">
        <v>0</v>
      </c>
      <c r="B2" t="inlineStr">
        <is>
          <t>Abilene Christian</t>
        </is>
      </c>
      <c r="C2" t="inlineStr">
        <is>
          <t>https://www.sports-reference.com/cbb/schools/abilene-christian/men/2026.html</t>
        </is>
      </c>
      <c r="D2" t="inlineStr">
        <is>
          <t>https://www.sports-reference.com/cbb/schools/abilene-christian/men/2026-gamelogs.html</t>
        </is>
      </c>
      <c r="E2">
        <f t="array" ref="E2">_xlfn.TEXTSPLIT(
_xlfn.TEXTSPLIT(Team_Links[[#This Row],[GameLogs]],"https://www.sports-reference.com/cbb/schools/",,TRUE,0,), "/",,TRUE,0)</f>
        <v/>
      </c>
    </row>
    <row r="3">
      <c r="A3" t="n">
        <v>1</v>
      </c>
      <c r="B3" t="inlineStr">
        <is>
          <t>Air Force</t>
        </is>
      </c>
      <c r="C3" t="inlineStr">
        <is>
          <t>https://www.sports-reference.com/cbb/schools/air-force/men/2026.html</t>
        </is>
      </c>
      <c r="D3" t="inlineStr">
        <is>
          <t>https://www.sports-reference.com/cbb/schools/air-force/men/2026-gamelogs.html</t>
        </is>
      </c>
      <c r="E3">
        <f t="array" ref="E3">_xlfn.TEXTSPLIT(
_xlfn.TEXTSPLIT(Team_Links[[#This Row],[GameLogs]],"https://www.sports-reference.com/cbb/schools/",,TRUE,0,), "/",,TRUE,0)</f>
        <v/>
      </c>
    </row>
    <row r="4">
      <c r="A4" t="n">
        <v>2</v>
      </c>
      <c r="B4" t="inlineStr">
        <is>
          <t>Akron</t>
        </is>
      </c>
      <c r="C4" t="inlineStr">
        <is>
          <t>https://www.sports-reference.com/cbb/schools/akron/men/2026.html</t>
        </is>
      </c>
      <c r="D4" t="inlineStr">
        <is>
          <t>https://www.sports-reference.com/cbb/schools/akron/men/2026-gamelogs.html</t>
        </is>
      </c>
      <c r="E4">
        <f t="array" ref="E4">_xlfn.TEXTSPLIT(
_xlfn.TEXTSPLIT(Team_Links[[#This Row],[GameLogs]],"https://www.sports-reference.com/cbb/schools/",,TRUE,0,), "/",,TRUE,0)</f>
        <v/>
      </c>
    </row>
    <row r="5">
      <c r="A5" t="n">
        <v>3</v>
      </c>
      <c r="B5" t="inlineStr">
        <is>
          <t>Alabama</t>
        </is>
      </c>
      <c r="C5" t="inlineStr">
        <is>
          <t>https://www.sports-reference.com/cbb/schools/alabama/men/2026.html</t>
        </is>
      </c>
      <c r="D5" t="inlineStr">
        <is>
          <t>https://www.sports-reference.com/cbb/schools/alabama/men/2026-gamelogs.html</t>
        </is>
      </c>
      <c r="E5">
        <f t="array" ref="E5">_xlfn.TEXTSPLIT(
_xlfn.TEXTSPLIT(Team_Links[[#This Row],[GameLogs]],"https://www.sports-reference.com/cbb/schools/",,TRUE,0,), "/",,TRUE,0)</f>
        <v/>
      </c>
    </row>
    <row r="6">
      <c r="A6" t="n">
        <v>4</v>
      </c>
      <c r="B6" t="inlineStr">
        <is>
          <t>Alabama A&amp;M</t>
        </is>
      </c>
      <c r="C6" t="inlineStr">
        <is>
          <t>https://www.sports-reference.com/cbb/schools/alabama-am/men/2026.html</t>
        </is>
      </c>
      <c r="D6" t="inlineStr">
        <is>
          <t>https://www.sports-reference.com/cbb/schools/alabama-am/men/2026-gamelogs.html</t>
        </is>
      </c>
      <c r="E6">
        <f t="array" ref="E6">_xlfn.TEXTSPLIT(
_xlfn.TEXTSPLIT(Team_Links[[#This Row],[GameLogs]],"https://www.sports-reference.com/cbb/schools/",,TRUE,0,), "/",,TRUE,0)</f>
        <v/>
      </c>
    </row>
    <row r="7">
      <c r="A7" t="n">
        <v>5</v>
      </c>
      <c r="B7" t="inlineStr">
        <is>
          <t>Alabama State</t>
        </is>
      </c>
      <c r="C7" t="inlineStr">
        <is>
          <t>https://www.sports-reference.com/cbb/schools/alabama-state/men/2026.html</t>
        </is>
      </c>
      <c r="D7" t="inlineStr">
        <is>
          <t>https://www.sports-reference.com/cbb/schools/alabama-state/men/2026-gamelogs.html</t>
        </is>
      </c>
      <c r="E7">
        <f t="array" ref="E7">_xlfn.TEXTSPLIT(
_xlfn.TEXTSPLIT(Team_Links[[#This Row],[GameLogs]],"https://www.sports-reference.com/cbb/schools/",,TRUE,0,), "/",,TRUE,0)</f>
        <v/>
      </c>
    </row>
    <row r="8">
      <c r="A8" t="n">
        <v>6</v>
      </c>
      <c r="B8" t="inlineStr">
        <is>
          <t>Albany (NY)</t>
        </is>
      </c>
      <c r="C8" t="inlineStr">
        <is>
          <t>https://www.sports-reference.com/cbb/schools/albany-ny/men/2026.html</t>
        </is>
      </c>
      <c r="D8" t="inlineStr">
        <is>
          <t>https://www.sports-reference.com/cbb/schools/albany-ny/men/2026-gamelogs.html</t>
        </is>
      </c>
      <c r="E8">
        <f t="array" ref="E8">_xlfn.TEXTSPLIT(
_xlfn.TEXTSPLIT(Team_Links[[#This Row],[GameLogs]],"https://www.sports-reference.com/cbb/schools/",,TRUE,0,), "/",,TRUE,0)</f>
        <v/>
      </c>
    </row>
    <row r="9">
      <c r="A9" t="n">
        <v>7</v>
      </c>
      <c r="B9" t="inlineStr">
        <is>
          <t>Alcorn State</t>
        </is>
      </c>
      <c r="C9" t="inlineStr">
        <is>
          <t>https://www.sports-reference.com/cbb/schools/alcorn-state/men/2026.html</t>
        </is>
      </c>
      <c r="D9" t="inlineStr">
        <is>
          <t>https://www.sports-reference.com/cbb/schools/alcorn-state/men/2026-gamelogs.html</t>
        </is>
      </c>
      <c r="E9">
        <f t="array" ref="E9">_xlfn.TEXTSPLIT(
_xlfn.TEXTSPLIT(Team_Links[[#This Row],[GameLogs]],"https://www.sports-reference.com/cbb/schools/",,TRUE,0,), "/",,TRUE,0)</f>
        <v/>
      </c>
    </row>
    <row r="10">
      <c r="A10" t="n">
        <v>8</v>
      </c>
      <c r="B10" t="inlineStr">
        <is>
          <t>American</t>
        </is>
      </c>
      <c r="C10" t="inlineStr">
        <is>
          <t>https://www.sports-reference.com/cbb/schools/american/men/2026.html</t>
        </is>
      </c>
      <c r="D10" t="inlineStr">
        <is>
          <t>https://www.sports-reference.com/cbb/schools/american/men/2026-gamelogs.html</t>
        </is>
      </c>
      <c r="E10">
        <f t="array" ref="E10">_xlfn.TEXTSPLIT(
_xlfn.TEXTSPLIT(Team_Links[[#This Row],[GameLogs]],"https://www.sports-reference.com/cbb/schools/",,TRUE,0,), "/",,TRUE,0)</f>
        <v/>
      </c>
    </row>
    <row r="11">
      <c r="A11" t="n">
        <v>9</v>
      </c>
      <c r="B11" t="inlineStr">
        <is>
          <t>Appalachian State</t>
        </is>
      </c>
      <c r="C11" t="inlineStr">
        <is>
          <t>https://www.sports-reference.com/cbb/schools/appalachian-state/men/2026.html</t>
        </is>
      </c>
      <c r="D11" t="inlineStr">
        <is>
          <t>https://www.sports-reference.com/cbb/schools/appalachian-state/men/2026-gamelogs.html</t>
        </is>
      </c>
      <c r="E11">
        <f t="array" ref="E11">_xlfn.TEXTSPLIT(
_xlfn.TEXTSPLIT(Team_Links[[#This Row],[GameLogs]],"https://www.sports-reference.com/cbb/schools/",,TRUE,0,), "/",,TRUE,0)</f>
        <v/>
      </c>
    </row>
    <row r="12">
      <c r="A12" t="n">
        <v>10</v>
      </c>
      <c r="B12" t="inlineStr">
        <is>
          <t>Arizona</t>
        </is>
      </c>
      <c r="C12" t="inlineStr">
        <is>
          <t>https://www.sports-reference.com/cbb/schools/arizona/men/2026.html</t>
        </is>
      </c>
      <c r="D12" t="inlineStr">
        <is>
          <t>https://www.sports-reference.com/cbb/schools/arizona/men/2026-gamelogs.html</t>
        </is>
      </c>
      <c r="E12">
        <f t="array" ref="E12">_xlfn.TEXTSPLIT(
_xlfn.TEXTSPLIT(Team_Links[[#This Row],[GameLogs]],"https://www.sports-reference.com/cbb/schools/",,TRUE,0,), "/",,TRUE,0)</f>
        <v/>
      </c>
    </row>
    <row r="13">
      <c r="A13" t="n">
        <v>11</v>
      </c>
      <c r="B13" t="inlineStr">
        <is>
          <t>Arizona State</t>
        </is>
      </c>
      <c r="C13" t="inlineStr">
        <is>
          <t>https://www.sports-reference.com/cbb/schools/arizona-state/men/2026.html</t>
        </is>
      </c>
      <c r="D13" t="inlineStr">
        <is>
          <t>https://www.sports-reference.com/cbb/schools/arizona-state/men/2026-gamelogs.html</t>
        </is>
      </c>
      <c r="E13">
        <f t="array" ref="E13">_xlfn.TEXTSPLIT(
_xlfn.TEXTSPLIT(Team_Links[[#This Row],[GameLogs]],"https://www.sports-reference.com/cbb/schools/",,TRUE,0,), "/",,TRUE,0)</f>
        <v/>
      </c>
    </row>
    <row r="14">
      <c r="A14" t="n">
        <v>12</v>
      </c>
      <c r="B14" t="inlineStr">
        <is>
          <t>Arkansas</t>
        </is>
      </c>
      <c r="C14" t="inlineStr">
        <is>
          <t>https://www.sports-reference.com/cbb/schools/arkansas/men/2026.html</t>
        </is>
      </c>
      <c r="D14" t="inlineStr">
        <is>
          <t>https://www.sports-reference.com/cbb/schools/arkansas/men/2026-gamelogs.html</t>
        </is>
      </c>
      <c r="E14">
        <f t="array" ref="E14">_xlfn.TEXTSPLIT(
_xlfn.TEXTSPLIT(Team_Links[[#This Row],[GameLogs]],"https://www.sports-reference.com/cbb/schools/",,TRUE,0,), "/",,TRUE,0)</f>
        <v/>
      </c>
    </row>
    <row r="15">
      <c r="A15" t="n">
        <v>13</v>
      </c>
      <c r="B15" t="inlineStr">
        <is>
          <t>Arkansas State</t>
        </is>
      </c>
      <c r="C15" t="inlineStr">
        <is>
          <t>https://www.sports-reference.com/cbb/schools/arkansas-state/men/2026.html</t>
        </is>
      </c>
      <c r="D15" t="inlineStr">
        <is>
          <t>https://www.sports-reference.com/cbb/schools/arkansas-state/men/2026-gamelogs.html</t>
        </is>
      </c>
      <c r="E15">
        <f t="array" ref="E15">_xlfn.TEXTSPLIT(
_xlfn.TEXTSPLIT(Team_Links[[#This Row],[GameLogs]],"https://www.sports-reference.com/cbb/schools/",,TRUE,0,), "/",,TRUE,0)</f>
        <v/>
      </c>
    </row>
    <row r="16">
      <c r="A16" t="n">
        <v>14</v>
      </c>
      <c r="B16" t="inlineStr">
        <is>
          <t>Arkansas-Pine Bluff</t>
        </is>
      </c>
      <c r="C16" t="inlineStr">
        <is>
          <t>https://www.sports-reference.com/cbb/schools/arkansas-pine-bluff/men/2026.html</t>
        </is>
      </c>
      <c r="D16" t="inlineStr">
        <is>
          <t>https://www.sports-reference.com/cbb/schools/arkansas-pine-bluff/men/2026-gamelogs.html</t>
        </is>
      </c>
      <c r="E16">
        <f t="array" ref="E16">_xlfn.TEXTSPLIT(
_xlfn.TEXTSPLIT(Team_Links[[#This Row],[GameLogs]],"https://www.sports-reference.com/cbb/schools/",,TRUE,0,), "/",,TRUE,0)</f>
        <v/>
      </c>
    </row>
    <row r="17">
      <c r="A17" t="n">
        <v>15</v>
      </c>
      <c r="B17" t="inlineStr">
        <is>
          <t>Army</t>
        </is>
      </c>
      <c r="C17" t="inlineStr">
        <is>
          <t>https://www.sports-reference.com/cbb/schools/army/men/2026.html</t>
        </is>
      </c>
      <c r="D17" t="inlineStr">
        <is>
          <t>https://www.sports-reference.com/cbb/schools/army/men/2026-gamelogs.html</t>
        </is>
      </c>
      <c r="E17">
        <f t="array" ref="E17">_xlfn.TEXTSPLIT(
_xlfn.TEXTSPLIT(Team_Links[[#This Row],[GameLogs]],"https://www.sports-reference.com/cbb/schools/",,TRUE,0,), "/",,TRUE,0)</f>
        <v/>
      </c>
    </row>
    <row r="18">
      <c r="A18" t="n">
        <v>16</v>
      </c>
      <c r="B18" t="inlineStr">
        <is>
          <t>Auburn</t>
        </is>
      </c>
      <c r="C18" t="inlineStr">
        <is>
          <t>https://www.sports-reference.com/cbb/schools/auburn/men/2026.html</t>
        </is>
      </c>
      <c r="D18" t="inlineStr">
        <is>
          <t>https://www.sports-reference.com/cbb/schools/auburn/men/2026-gamelogs.html</t>
        </is>
      </c>
      <c r="E18">
        <f t="array" ref="E18">_xlfn.TEXTSPLIT(
_xlfn.TEXTSPLIT(Team_Links[[#This Row],[GameLogs]],"https://www.sports-reference.com/cbb/schools/",,TRUE,0,), "/",,TRUE,0)</f>
        <v/>
      </c>
    </row>
    <row r="19">
      <c r="A19" t="n">
        <v>17</v>
      </c>
      <c r="B19" t="inlineStr">
        <is>
          <t>Austin Peay</t>
        </is>
      </c>
      <c r="C19" t="inlineStr">
        <is>
          <t>https://www.sports-reference.com/cbb/schools/austin-peay/men/2026.html</t>
        </is>
      </c>
      <c r="D19" t="inlineStr">
        <is>
          <t>https://www.sports-reference.com/cbb/schools/austin-peay/men/2026-gamelogs.html</t>
        </is>
      </c>
      <c r="E19">
        <f t="array" ref="E19">_xlfn.TEXTSPLIT(
_xlfn.TEXTSPLIT(Team_Links[[#This Row],[GameLogs]],"https://www.sports-reference.com/cbb/schools/",,TRUE,0,), "/",,TRUE,0)</f>
        <v/>
      </c>
    </row>
    <row r="20">
      <c r="A20" t="n">
        <v>18</v>
      </c>
      <c r="B20" t="inlineStr">
        <is>
          <t>Ball State</t>
        </is>
      </c>
      <c r="C20" t="inlineStr">
        <is>
          <t>https://www.sports-reference.com/cbb/schools/ball-state/men/2026.html</t>
        </is>
      </c>
      <c r="D20" t="inlineStr">
        <is>
          <t>https://www.sports-reference.com/cbb/schools/ball-state/men/2026-gamelogs.html</t>
        </is>
      </c>
      <c r="E20">
        <f t="array" ref="E20">_xlfn.TEXTSPLIT(
_xlfn.TEXTSPLIT(Team_Links[[#This Row],[GameLogs]],"https://www.sports-reference.com/cbb/schools/",,TRUE,0,), "/",,TRUE,0)</f>
        <v/>
      </c>
    </row>
    <row r="21">
      <c r="A21" t="n">
        <v>19</v>
      </c>
      <c r="B21" t="inlineStr">
        <is>
          <t>Baylor</t>
        </is>
      </c>
      <c r="C21" t="inlineStr">
        <is>
          <t>https://www.sports-reference.com/cbb/schools/baylor/men/2026.html</t>
        </is>
      </c>
      <c r="D21" t="inlineStr">
        <is>
          <t>https://www.sports-reference.com/cbb/schools/baylor/men/2026-gamelogs.html</t>
        </is>
      </c>
      <c r="E21">
        <f t="array" ref="E21">_xlfn.TEXTSPLIT(
_xlfn.TEXTSPLIT(Team_Links[[#This Row],[GameLogs]],"https://www.sports-reference.com/cbb/schools/",,TRUE,0,), "/",,TRUE,0)</f>
        <v/>
      </c>
    </row>
    <row r="22">
      <c r="A22" t="n">
        <v>20</v>
      </c>
      <c r="B22" t="inlineStr">
        <is>
          <t>Bellarmine</t>
        </is>
      </c>
      <c r="C22" t="inlineStr">
        <is>
          <t>https://www.sports-reference.com/cbb/schools/bellarmine/men/2026.html</t>
        </is>
      </c>
      <c r="D22" t="inlineStr">
        <is>
          <t>https://www.sports-reference.com/cbb/schools/bellarmine/men/2026-gamelogs.html</t>
        </is>
      </c>
      <c r="E22">
        <f t="array" ref="E22">_xlfn.TEXTSPLIT(
_xlfn.TEXTSPLIT(Team_Links[[#This Row],[GameLogs]],"https://www.sports-reference.com/cbb/schools/",,TRUE,0,), "/",,TRUE,0)</f>
        <v/>
      </c>
    </row>
    <row r="23">
      <c r="A23" t="n">
        <v>21</v>
      </c>
      <c r="B23" t="inlineStr">
        <is>
          <t>Belmont</t>
        </is>
      </c>
      <c r="C23" t="inlineStr">
        <is>
          <t>https://www.sports-reference.com/cbb/schools/belmont/men/2026.html</t>
        </is>
      </c>
      <c r="D23" t="inlineStr">
        <is>
          <t>https://www.sports-reference.com/cbb/schools/belmont/men/2026-gamelogs.html</t>
        </is>
      </c>
      <c r="E23">
        <f t="array" ref="E23">_xlfn.TEXTSPLIT(
_xlfn.TEXTSPLIT(Team_Links[[#This Row],[GameLogs]],"https://www.sports-reference.com/cbb/schools/",,TRUE,0,), "/",,TRUE,0)</f>
        <v/>
      </c>
    </row>
    <row r="24">
      <c r="A24" t="n">
        <v>22</v>
      </c>
      <c r="B24" t="inlineStr">
        <is>
          <t>Bethune-Cookman</t>
        </is>
      </c>
      <c r="C24" t="inlineStr">
        <is>
          <t>https://www.sports-reference.com/cbb/schools/bethune-cookman/men/2026.html</t>
        </is>
      </c>
      <c r="D24" t="inlineStr">
        <is>
          <t>https://www.sports-reference.com/cbb/schools/bethune-cookman/men/2026-gamelogs.html</t>
        </is>
      </c>
      <c r="E24">
        <f t="array" ref="E24">_xlfn.TEXTSPLIT(
_xlfn.TEXTSPLIT(Team_Links[[#This Row],[GameLogs]],"https://www.sports-reference.com/cbb/schools/",,TRUE,0,), "/",,TRUE,0)</f>
        <v/>
      </c>
    </row>
    <row r="25">
      <c r="A25" t="n">
        <v>23</v>
      </c>
      <c r="B25" t="inlineStr">
        <is>
          <t>Binghamton</t>
        </is>
      </c>
      <c r="C25" t="inlineStr">
        <is>
          <t>https://www.sports-reference.com/cbb/schools/binghamton/men/2026.html</t>
        </is>
      </c>
      <c r="D25" t="inlineStr">
        <is>
          <t>https://www.sports-reference.com/cbb/schools/binghamton/men/2026-gamelogs.html</t>
        </is>
      </c>
      <c r="E25">
        <f t="array" ref="E25">_xlfn.TEXTSPLIT(
_xlfn.TEXTSPLIT(Team_Links[[#This Row],[GameLogs]],"https://www.sports-reference.com/cbb/schools/",,TRUE,0,), "/",,TRUE,0)</f>
        <v/>
      </c>
    </row>
    <row r="26">
      <c r="A26" t="n">
        <v>24</v>
      </c>
      <c r="B26" t="inlineStr">
        <is>
          <t>Boise State</t>
        </is>
      </c>
      <c r="C26" t="inlineStr">
        <is>
          <t>https://www.sports-reference.com/cbb/schools/boise-state/men/2026.html</t>
        </is>
      </c>
      <c r="D26" t="inlineStr">
        <is>
          <t>https://www.sports-reference.com/cbb/schools/boise-state/men/2026-gamelogs.html</t>
        </is>
      </c>
      <c r="E26">
        <f t="array" ref="E26">_xlfn.TEXTSPLIT(
_xlfn.TEXTSPLIT(Team_Links[[#This Row],[GameLogs]],"https://www.sports-reference.com/cbb/schools/",,TRUE,0,), "/",,TRUE,0)</f>
        <v/>
      </c>
    </row>
    <row r="27">
      <c r="A27" t="n">
        <v>25</v>
      </c>
      <c r="B27" t="inlineStr">
        <is>
          <t>Boston College</t>
        </is>
      </c>
      <c r="C27" t="inlineStr">
        <is>
          <t>https://www.sports-reference.com/cbb/schools/boston-college/men/2026.html</t>
        </is>
      </c>
      <c r="D27" t="inlineStr">
        <is>
          <t>https://www.sports-reference.com/cbb/schools/boston-college/men/2026-gamelogs.html</t>
        </is>
      </c>
      <c r="E27">
        <f t="array" ref="E27">_xlfn.TEXTSPLIT(
_xlfn.TEXTSPLIT(Team_Links[[#This Row],[GameLogs]],"https://www.sports-reference.com/cbb/schools/",,TRUE,0,), "/",,TRUE,0)</f>
        <v/>
      </c>
    </row>
    <row r="28">
      <c r="A28" t="n">
        <v>26</v>
      </c>
      <c r="B28" t="inlineStr">
        <is>
          <t>Boston University</t>
        </is>
      </c>
      <c r="C28" t="inlineStr">
        <is>
          <t>https://www.sports-reference.com/cbb/schools/boston-university/men/2026.html</t>
        </is>
      </c>
      <c r="D28" t="inlineStr">
        <is>
          <t>https://www.sports-reference.com/cbb/schools/boston-university/men/2026-gamelogs.html</t>
        </is>
      </c>
      <c r="E28">
        <f t="array" ref="E28">_xlfn.TEXTSPLIT(
_xlfn.TEXTSPLIT(Team_Links[[#This Row],[GameLogs]],"https://www.sports-reference.com/cbb/schools/",,TRUE,0,), "/",,TRUE,0)</f>
        <v/>
      </c>
    </row>
    <row r="29">
      <c r="A29" t="n">
        <v>27</v>
      </c>
      <c r="B29" t="inlineStr">
        <is>
          <t>Bowling Green</t>
        </is>
      </c>
      <c r="C29" t="inlineStr">
        <is>
          <t>https://www.sports-reference.com/cbb/schools/bowling-green-state/men/2026.html</t>
        </is>
      </c>
      <c r="D29" t="inlineStr">
        <is>
          <t>https://www.sports-reference.com/cbb/schools/bowling-green-state/men/2026-gamelogs.html</t>
        </is>
      </c>
      <c r="E29">
        <f t="array" ref="E29">_xlfn.TEXTSPLIT(
_xlfn.TEXTSPLIT(Team_Links[[#This Row],[GameLogs]],"https://www.sports-reference.com/cbb/schools/",,TRUE,0,), "/",,TRUE,0)</f>
        <v/>
      </c>
    </row>
    <row r="30">
      <c r="A30" t="n">
        <v>28</v>
      </c>
      <c r="B30" t="inlineStr">
        <is>
          <t>Bradley</t>
        </is>
      </c>
      <c r="C30" t="inlineStr">
        <is>
          <t>https://www.sports-reference.com/cbb/schools/bradley/men/2026.html</t>
        </is>
      </c>
      <c r="D30" t="inlineStr">
        <is>
          <t>https://www.sports-reference.com/cbb/schools/bradley/men/2026-gamelogs.html</t>
        </is>
      </c>
      <c r="E30">
        <f t="array" ref="E30">_xlfn.TEXTSPLIT(
_xlfn.TEXTSPLIT(Team_Links[[#This Row],[GameLogs]],"https://www.sports-reference.com/cbb/schools/",,TRUE,0,), "/",,TRUE,0)</f>
        <v/>
      </c>
    </row>
    <row r="31">
      <c r="A31" t="n">
        <v>29</v>
      </c>
      <c r="B31" t="inlineStr">
        <is>
          <t>Brigham Young</t>
        </is>
      </c>
      <c r="C31" t="inlineStr">
        <is>
          <t>https://www.sports-reference.com/cbb/schools/brigham-young/men/2026.html</t>
        </is>
      </c>
      <c r="D31" t="inlineStr">
        <is>
          <t>https://www.sports-reference.com/cbb/schools/brigham-young/men/2026-gamelogs.html</t>
        </is>
      </c>
      <c r="E31">
        <f t="array" ref="E31">_xlfn.TEXTSPLIT(
_xlfn.TEXTSPLIT(Team_Links[[#This Row],[GameLogs]],"https://www.sports-reference.com/cbb/schools/",,TRUE,0,), "/",,TRUE,0)</f>
        <v/>
      </c>
    </row>
    <row r="32">
      <c r="A32" t="n">
        <v>30</v>
      </c>
      <c r="B32" t="inlineStr">
        <is>
          <t>Brown</t>
        </is>
      </c>
      <c r="C32" t="inlineStr">
        <is>
          <t>https://www.sports-reference.com/cbb/schools/brown/men/2026.html</t>
        </is>
      </c>
      <c r="D32" t="inlineStr">
        <is>
          <t>https://www.sports-reference.com/cbb/schools/brown/men/2026-gamelogs.html</t>
        </is>
      </c>
      <c r="E32">
        <f t="array" ref="E32">_xlfn.TEXTSPLIT(
_xlfn.TEXTSPLIT(Team_Links[[#This Row],[GameLogs]],"https://www.sports-reference.com/cbb/schools/",,TRUE,0,), "/",,TRUE,0)</f>
        <v/>
      </c>
    </row>
    <row r="33">
      <c r="A33" t="n">
        <v>31</v>
      </c>
      <c r="B33" t="inlineStr">
        <is>
          <t>Bryant</t>
        </is>
      </c>
      <c r="C33" t="inlineStr">
        <is>
          <t>https://www.sports-reference.com/cbb/schools/bryant/men/2026.html</t>
        </is>
      </c>
      <c r="D33" t="inlineStr">
        <is>
          <t>https://www.sports-reference.com/cbb/schools/bryant/men/2026-gamelogs.html</t>
        </is>
      </c>
      <c r="E33">
        <f t="array" ref="E33">_xlfn.TEXTSPLIT(
_xlfn.TEXTSPLIT(Team_Links[[#This Row],[GameLogs]],"https://www.sports-reference.com/cbb/schools/",,TRUE,0,), "/",,TRUE,0)</f>
        <v/>
      </c>
    </row>
    <row r="34">
      <c r="A34" t="n">
        <v>32</v>
      </c>
      <c r="B34" t="inlineStr">
        <is>
          <t>Bucknell</t>
        </is>
      </c>
      <c r="C34" t="inlineStr">
        <is>
          <t>https://www.sports-reference.com/cbb/schools/bucknell/men/2026.html</t>
        </is>
      </c>
      <c r="D34" t="inlineStr">
        <is>
          <t>https://www.sports-reference.com/cbb/schools/bucknell/men/2026-gamelogs.html</t>
        </is>
      </c>
      <c r="E34">
        <f t="array" ref="E34">_xlfn.TEXTSPLIT(
_xlfn.TEXTSPLIT(Team_Links[[#This Row],[GameLogs]],"https://www.sports-reference.com/cbb/schools/",,TRUE,0,), "/",,TRUE,0)</f>
        <v/>
      </c>
    </row>
    <row r="35">
      <c r="A35" t="n">
        <v>33</v>
      </c>
      <c r="B35" t="inlineStr">
        <is>
          <t>Buffalo</t>
        </is>
      </c>
      <c r="C35" t="inlineStr">
        <is>
          <t>https://www.sports-reference.com/cbb/schools/buffalo/men/2026.html</t>
        </is>
      </c>
      <c r="D35" t="inlineStr">
        <is>
          <t>https://www.sports-reference.com/cbb/schools/buffalo/men/2026-gamelogs.html</t>
        </is>
      </c>
      <c r="E35">
        <f t="array" ref="E35">_xlfn.TEXTSPLIT(
_xlfn.TEXTSPLIT(Team_Links[[#This Row],[GameLogs]],"https://www.sports-reference.com/cbb/schools/",,TRUE,0,), "/",,TRUE,0)</f>
        <v/>
      </c>
    </row>
    <row r="36">
      <c r="A36" t="n">
        <v>34</v>
      </c>
      <c r="B36" t="inlineStr">
        <is>
          <t>Butler</t>
        </is>
      </c>
      <c r="C36" t="inlineStr">
        <is>
          <t>https://www.sports-reference.com/cbb/schools/butler/men/2026.html</t>
        </is>
      </c>
      <c r="D36" t="inlineStr">
        <is>
          <t>https://www.sports-reference.com/cbb/schools/butler/men/2026-gamelogs.html</t>
        </is>
      </c>
      <c r="E36">
        <f t="array" ref="E36">_xlfn.TEXTSPLIT(
_xlfn.TEXTSPLIT(Team_Links[[#This Row],[GameLogs]],"https://www.sports-reference.com/cbb/schools/",,TRUE,0,), "/",,TRUE,0)</f>
        <v/>
      </c>
    </row>
    <row r="37">
      <c r="A37" t="n">
        <v>35</v>
      </c>
      <c r="B37" t="inlineStr">
        <is>
          <t>Cal Poly</t>
        </is>
      </c>
      <c r="C37" t="inlineStr">
        <is>
          <t>https://www.sports-reference.com/cbb/schools/cal-poly/men/2026.html</t>
        </is>
      </c>
      <c r="D37" t="inlineStr">
        <is>
          <t>https://www.sports-reference.com/cbb/schools/cal-poly/men/2026-gamelogs.html</t>
        </is>
      </c>
      <c r="E37">
        <f t="array" ref="E37">_xlfn.TEXTSPLIT(
_xlfn.TEXTSPLIT(Team_Links[[#This Row],[GameLogs]],"https://www.sports-reference.com/cbb/schools/",,TRUE,0,), "/",,TRUE,0)</f>
        <v/>
      </c>
    </row>
    <row r="38">
      <c r="A38" t="n">
        <v>36</v>
      </c>
      <c r="B38" t="inlineStr">
        <is>
          <t>Cal State Bakersfield</t>
        </is>
      </c>
      <c r="C38" t="inlineStr">
        <is>
          <t>https://www.sports-reference.com/cbb/schools/cal-state-bakersfield/men/2026.html</t>
        </is>
      </c>
      <c r="D38" t="inlineStr">
        <is>
          <t>https://www.sports-reference.com/cbb/schools/cal-state-bakersfield/men/2026-gamelogs.html</t>
        </is>
      </c>
      <c r="E38">
        <f t="array" ref="E38">_xlfn.TEXTSPLIT(
_xlfn.TEXTSPLIT(Team_Links[[#This Row],[GameLogs]],"https://www.sports-reference.com/cbb/schools/",,TRUE,0,), "/",,TRUE,0)</f>
        <v/>
      </c>
    </row>
    <row r="39">
      <c r="A39" t="n">
        <v>37</v>
      </c>
      <c r="B39" t="inlineStr">
        <is>
          <t>Cal State Fullerton</t>
        </is>
      </c>
      <c r="C39" t="inlineStr">
        <is>
          <t>https://www.sports-reference.com/cbb/schools/cal-state-fullerton/men/2026.html</t>
        </is>
      </c>
      <c r="D39" t="inlineStr">
        <is>
          <t>https://www.sports-reference.com/cbb/schools/cal-state-fullerton/men/2026-gamelogs.html</t>
        </is>
      </c>
      <c r="E39">
        <f t="array" ref="E39">_xlfn.TEXTSPLIT(
_xlfn.TEXTSPLIT(Team_Links[[#This Row],[GameLogs]],"https://www.sports-reference.com/cbb/schools/",,TRUE,0,), "/",,TRUE,0)</f>
        <v/>
      </c>
    </row>
    <row r="40">
      <c r="A40" t="n">
        <v>38</v>
      </c>
      <c r="B40" t="inlineStr">
        <is>
          <t>Cal State Northridge</t>
        </is>
      </c>
      <c r="C40" t="inlineStr">
        <is>
          <t>https://www.sports-reference.com/cbb/schools/cal-state-northridge/men/2026.html</t>
        </is>
      </c>
      <c r="D40" t="inlineStr">
        <is>
          <t>https://www.sports-reference.com/cbb/schools/cal-state-northridge/men/2026-gamelogs.html</t>
        </is>
      </c>
      <c r="E40">
        <f t="array" ref="E40">_xlfn.TEXTSPLIT(
_xlfn.TEXTSPLIT(Team_Links[[#This Row],[GameLogs]],"https://www.sports-reference.com/cbb/schools/",,TRUE,0,), "/",,TRUE,0)</f>
        <v/>
      </c>
    </row>
    <row r="41">
      <c r="A41" t="n">
        <v>39</v>
      </c>
      <c r="B41" t="inlineStr">
        <is>
          <t>California</t>
        </is>
      </c>
      <c r="C41" t="inlineStr">
        <is>
          <t>https://www.sports-reference.com/cbb/schools/california/men/2026.html</t>
        </is>
      </c>
      <c r="D41" t="inlineStr">
        <is>
          <t>https://www.sports-reference.com/cbb/schools/california/men/2026-gamelogs.html</t>
        </is>
      </c>
      <c r="E41">
        <f t="array" ref="E41">_xlfn.TEXTSPLIT(
_xlfn.TEXTSPLIT(Team_Links[[#This Row],[GameLogs]],"https://www.sports-reference.com/cbb/schools/",,TRUE,0,), "/",,TRUE,0)</f>
        <v/>
      </c>
    </row>
    <row r="42">
      <c r="A42" t="n">
        <v>40</v>
      </c>
      <c r="B42" t="inlineStr">
        <is>
          <t>California Baptist</t>
        </is>
      </c>
      <c r="C42" t="inlineStr">
        <is>
          <t>https://www.sports-reference.com/cbb/schools/california-baptist/men/2026.html</t>
        </is>
      </c>
      <c r="D42" t="inlineStr">
        <is>
          <t>https://www.sports-reference.com/cbb/schools/california-baptist/men/2026-gamelogs.html</t>
        </is>
      </c>
      <c r="E42">
        <f t="array" ref="E42">_xlfn.TEXTSPLIT(
_xlfn.TEXTSPLIT(Team_Links[[#This Row],[GameLogs]],"https://www.sports-reference.com/cbb/schools/",,TRUE,0,), "/",,TRUE,0)</f>
        <v/>
      </c>
    </row>
    <row r="43">
      <c r="A43" t="n">
        <v>41</v>
      </c>
      <c r="B43" t="inlineStr">
        <is>
          <t>Campbell</t>
        </is>
      </c>
      <c r="C43" t="inlineStr">
        <is>
          <t>https://www.sports-reference.com/cbb/schools/campbell/men/2026.html</t>
        </is>
      </c>
      <c r="D43" t="inlineStr">
        <is>
          <t>https://www.sports-reference.com/cbb/schools/campbell/men/2026-gamelogs.html</t>
        </is>
      </c>
      <c r="E43">
        <f t="array" ref="E43">_xlfn.TEXTSPLIT(
_xlfn.TEXTSPLIT(Team_Links[[#This Row],[GameLogs]],"https://www.sports-reference.com/cbb/schools/",,TRUE,0,), "/",,TRUE,0)</f>
        <v/>
      </c>
    </row>
    <row r="44">
      <c r="A44" t="n">
        <v>42</v>
      </c>
      <c r="B44" t="inlineStr">
        <is>
          <t>Canisius</t>
        </is>
      </c>
      <c r="C44" t="inlineStr">
        <is>
          <t>https://www.sports-reference.com/cbb/schools/canisius/men/2026.html</t>
        </is>
      </c>
      <c r="D44" t="inlineStr">
        <is>
          <t>https://www.sports-reference.com/cbb/schools/canisius/men/2026-gamelogs.html</t>
        </is>
      </c>
      <c r="E44">
        <f t="array" ref="E44">_xlfn.TEXTSPLIT(
_xlfn.TEXTSPLIT(Team_Links[[#This Row],[GameLogs]],"https://www.sports-reference.com/cbb/schools/",,TRUE,0,), "/",,TRUE,0)</f>
        <v/>
      </c>
    </row>
    <row r="45">
      <c r="A45" t="n">
        <v>43</v>
      </c>
      <c r="B45" t="inlineStr">
        <is>
          <t>Central Arkansas</t>
        </is>
      </c>
      <c r="C45" t="inlineStr">
        <is>
          <t>https://www.sports-reference.com/cbb/schools/central-arkansas/men/2026.html</t>
        </is>
      </c>
      <c r="D45" t="inlineStr">
        <is>
          <t>https://www.sports-reference.com/cbb/schools/central-arkansas/men/2026-gamelogs.html</t>
        </is>
      </c>
      <c r="E45">
        <f t="array" ref="E45">_xlfn.TEXTSPLIT(
_xlfn.TEXTSPLIT(Team_Links[[#This Row],[GameLogs]],"https://www.sports-reference.com/cbb/schools/",,TRUE,0,), "/",,TRUE,0)</f>
        <v/>
      </c>
    </row>
    <row r="46">
      <c r="A46" t="n">
        <v>44</v>
      </c>
      <c r="B46" t="inlineStr">
        <is>
          <t>Central Connecticut State</t>
        </is>
      </c>
      <c r="C46" t="inlineStr">
        <is>
          <t>https://www.sports-reference.com/cbb/schools/central-connecticut-state/men/2026.html</t>
        </is>
      </c>
      <c r="D46" t="inlineStr">
        <is>
          <t>https://www.sports-reference.com/cbb/schools/central-connecticut-state/men/2026-gamelogs.html</t>
        </is>
      </c>
      <c r="E46">
        <f t="array" ref="E46">_xlfn.TEXTSPLIT(
_xlfn.TEXTSPLIT(Team_Links[[#This Row],[GameLogs]],"https://www.sports-reference.com/cbb/schools/",,TRUE,0,), "/",,TRUE,0)</f>
        <v/>
      </c>
    </row>
    <row r="47">
      <c r="A47" t="n">
        <v>45</v>
      </c>
      <c r="B47" t="inlineStr">
        <is>
          <t>Central Michigan</t>
        </is>
      </c>
      <c r="C47" t="inlineStr">
        <is>
          <t>https://www.sports-reference.com/cbb/schools/central-michigan/men/2026.html</t>
        </is>
      </c>
      <c r="D47" t="inlineStr">
        <is>
          <t>https://www.sports-reference.com/cbb/schools/central-michigan/men/2026-gamelogs.html</t>
        </is>
      </c>
      <c r="E47">
        <f t="array" ref="E47">_xlfn.TEXTSPLIT(
_xlfn.TEXTSPLIT(Team_Links[[#This Row],[GameLogs]],"https://www.sports-reference.com/cbb/schools/",,TRUE,0,), "/",,TRUE,0)</f>
        <v/>
      </c>
    </row>
    <row r="48">
      <c r="A48" t="n">
        <v>46</v>
      </c>
      <c r="B48" t="inlineStr">
        <is>
          <t>Charleston Southern</t>
        </is>
      </c>
      <c r="C48" t="inlineStr">
        <is>
          <t>https://www.sports-reference.com/cbb/schools/charleston-southern/men/2026.html</t>
        </is>
      </c>
      <c r="D48" t="inlineStr">
        <is>
          <t>https://www.sports-reference.com/cbb/schools/charleston-southern/men/2026-gamelogs.html</t>
        </is>
      </c>
      <c r="E48">
        <f t="array" ref="E48">_xlfn.TEXTSPLIT(
_xlfn.TEXTSPLIT(Team_Links[[#This Row],[GameLogs]],"https://www.sports-reference.com/cbb/schools/",,TRUE,0,), "/",,TRUE,0)</f>
        <v/>
      </c>
    </row>
    <row r="49">
      <c r="A49" t="n">
        <v>47</v>
      </c>
      <c r="B49" t="inlineStr">
        <is>
          <t>Charlotte</t>
        </is>
      </c>
      <c r="C49" t="inlineStr">
        <is>
          <t>https://www.sports-reference.com/cbb/schools/charlotte/men/2026.html</t>
        </is>
      </c>
      <c r="D49" t="inlineStr">
        <is>
          <t>https://www.sports-reference.com/cbb/schools/charlotte/men/2026-gamelogs.html</t>
        </is>
      </c>
      <c r="E49">
        <f t="array" ref="E49">_xlfn.TEXTSPLIT(
_xlfn.TEXTSPLIT(Team_Links[[#This Row],[GameLogs]],"https://www.sports-reference.com/cbb/schools/",,TRUE,0,), "/",,TRUE,0)</f>
        <v/>
      </c>
    </row>
    <row r="50">
      <c r="A50" t="n">
        <v>48</v>
      </c>
      <c r="B50" t="inlineStr">
        <is>
          <t>Chattanooga</t>
        </is>
      </c>
      <c r="C50" t="inlineStr">
        <is>
          <t>https://www.sports-reference.com/cbb/schools/chattanooga/men/2026.html</t>
        </is>
      </c>
      <c r="D50" t="inlineStr">
        <is>
          <t>https://www.sports-reference.com/cbb/schools/chattanooga/men/2026-gamelogs.html</t>
        </is>
      </c>
      <c r="E50">
        <f t="array" ref="E50">_xlfn.TEXTSPLIT(
_xlfn.TEXTSPLIT(Team_Links[[#This Row],[GameLogs]],"https://www.sports-reference.com/cbb/schools/",,TRUE,0,), "/",,TRUE,0)</f>
        <v/>
      </c>
    </row>
    <row r="51">
      <c r="A51" t="n">
        <v>49</v>
      </c>
      <c r="B51" t="inlineStr">
        <is>
          <t>Chicago State</t>
        </is>
      </c>
      <c r="C51" t="inlineStr">
        <is>
          <t>https://www.sports-reference.com/cbb/schools/chicago-state/men/2026.html</t>
        </is>
      </c>
      <c r="D51" t="inlineStr">
        <is>
          <t>https://www.sports-reference.com/cbb/schools/chicago-state/men/2026-gamelogs.html</t>
        </is>
      </c>
      <c r="E51">
        <f t="array" ref="E51">_xlfn.TEXTSPLIT(
_xlfn.TEXTSPLIT(Team_Links[[#This Row],[GameLogs]],"https://www.sports-reference.com/cbb/schools/",,TRUE,0,), "/",,TRUE,0)</f>
        <v/>
      </c>
    </row>
    <row r="52">
      <c r="A52" t="n">
        <v>50</v>
      </c>
      <c r="B52" t="inlineStr">
        <is>
          <t>Cincinnati</t>
        </is>
      </c>
      <c r="C52" t="inlineStr">
        <is>
          <t>https://www.sports-reference.com/cbb/schools/cincinnati/men/2026.html</t>
        </is>
      </c>
      <c r="D52" t="inlineStr">
        <is>
          <t>https://www.sports-reference.com/cbb/schools/cincinnati/men/2026-gamelogs.html</t>
        </is>
      </c>
      <c r="E52">
        <f t="array" ref="E52">_xlfn.TEXTSPLIT(
_xlfn.TEXTSPLIT(Team_Links[[#This Row],[GameLogs]],"https://www.sports-reference.com/cbb/schools/",,TRUE,0,), "/",,TRUE,0)</f>
        <v/>
      </c>
    </row>
    <row r="53">
      <c r="A53" t="n">
        <v>51</v>
      </c>
      <c r="B53" t="inlineStr">
        <is>
          <t>Clemson</t>
        </is>
      </c>
      <c r="C53" t="inlineStr">
        <is>
          <t>https://www.sports-reference.com/cbb/schools/clemson/men/2026.html</t>
        </is>
      </c>
      <c r="D53" t="inlineStr">
        <is>
          <t>https://www.sports-reference.com/cbb/schools/clemson/men/2026-gamelogs.html</t>
        </is>
      </c>
      <c r="E53">
        <f t="array" ref="E53">_xlfn.TEXTSPLIT(
_xlfn.TEXTSPLIT(Team_Links[[#This Row],[GameLogs]],"https://www.sports-reference.com/cbb/schools/",,TRUE,0,), "/",,TRUE,0)</f>
        <v/>
      </c>
    </row>
    <row r="54">
      <c r="A54" t="n">
        <v>52</v>
      </c>
      <c r="B54" t="inlineStr">
        <is>
          <t>Cleveland State</t>
        </is>
      </c>
      <c r="C54" t="inlineStr">
        <is>
          <t>https://www.sports-reference.com/cbb/schools/cleveland-state/men/2026.html</t>
        </is>
      </c>
      <c r="D54" t="inlineStr">
        <is>
          <t>https://www.sports-reference.com/cbb/schools/cleveland-state/men/2026-gamelogs.html</t>
        </is>
      </c>
      <c r="E54">
        <f t="array" ref="E54">_xlfn.TEXTSPLIT(
_xlfn.TEXTSPLIT(Team_Links[[#This Row],[GameLogs]],"https://www.sports-reference.com/cbb/schools/",,TRUE,0,), "/",,TRUE,0)</f>
        <v/>
      </c>
    </row>
    <row r="55">
      <c r="A55" t="n">
        <v>53</v>
      </c>
      <c r="B55" t="inlineStr">
        <is>
          <t>Coastal Carolina</t>
        </is>
      </c>
      <c r="C55" t="inlineStr">
        <is>
          <t>https://www.sports-reference.com/cbb/schools/coastal-carolina/men/2026.html</t>
        </is>
      </c>
      <c r="D55" t="inlineStr">
        <is>
          <t>https://www.sports-reference.com/cbb/schools/coastal-carolina/men/2026-gamelogs.html</t>
        </is>
      </c>
      <c r="E55">
        <f t="array" ref="E55">_xlfn.TEXTSPLIT(
_xlfn.TEXTSPLIT(Team_Links[[#This Row],[GameLogs]],"https://www.sports-reference.com/cbb/schools/",,TRUE,0,), "/",,TRUE,0)</f>
        <v/>
      </c>
    </row>
    <row r="56">
      <c r="A56" t="n">
        <v>54</v>
      </c>
      <c r="B56" t="inlineStr">
        <is>
          <t>Colgate</t>
        </is>
      </c>
      <c r="C56" t="inlineStr">
        <is>
          <t>https://www.sports-reference.com/cbb/schools/colgate/men/2026.html</t>
        </is>
      </c>
      <c r="D56" t="inlineStr">
        <is>
          <t>https://www.sports-reference.com/cbb/schools/colgate/men/2026-gamelogs.html</t>
        </is>
      </c>
      <c r="E56">
        <f t="array" ref="E56">_xlfn.TEXTSPLIT(
_xlfn.TEXTSPLIT(Team_Links[[#This Row],[GameLogs]],"https://www.sports-reference.com/cbb/schools/",,TRUE,0,), "/",,TRUE,0)</f>
        <v/>
      </c>
    </row>
    <row r="57">
      <c r="A57" t="n">
        <v>55</v>
      </c>
      <c r="B57" t="inlineStr">
        <is>
          <t>College of Charleston</t>
        </is>
      </c>
      <c r="C57" t="inlineStr">
        <is>
          <t>https://www.sports-reference.com/cbb/schools/college-of-charleston/men/2026.html</t>
        </is>
      </c>
      <c r="D57" t="inlineStr">
        <is>
          <t>https://www.sports-reference.com/cbb/schools/college-of-charleston/men/2026-gamelogs.html</t>
        </is>
      </c>
      <c r="E57">
        <f t="array" ref="E57">_xlfn.TEXTSPLIT(
_xlfn.TEXTSPLIT(Team_Links[[#This Row],[GameLogs]],"https://www.sports-reference.com/cbb/schools/",,TRUE,0,), "/",,TRUE,0)</f>
        <v/>
      </c>
    </row>
    <row r="58">
      <c r="A58" t="n">
        <v>56</v>
      </c>
      <c r="B58" t="inlineStr">
        <is>
          <t>Colorado</t>
        </is>
      </c>
      <c r="C58" t="inlineStr">
        <is>
          <t>https://www.sports-reference.com/cbb/schools/colorado/men/2026.html</t>
        </is>
      </c>
      <c r="D58" t="inlineStr">
        <is>
          <t>https://www.sports-reference.com/cbb/schools/colorado/men/2026-gamelogs.html</t>
        </is>
      </c>
      <c r="E58">
        <f t="array" ref="E58">_xlfn.TEXTSPLIT(
_xlfn.TEXTSPLIT(Team_Links[[#This Row],[GameLogs]],"https://www.sports-reference.com/cbb/schools/",,TRUE,0,), "/",,TRUE,0)</f>
        <v/>
      </c>
    </row>
    <row r="59">
      <c r="A59" t="n">
        <v>57</v>
      </c>
      <c r="B59" t="inlineStr">
        <is>
          <t>Colorado State</t>
        </is>
      </c>
      <c r="C59" t="inlineStr">
        <is>
          <t>https://www.sports-reference.com/cbb/schools/colorado-state/men/2026.html</t>
        </is>
      </c>
      <c r="D59" t="inlineStr">
        <is>
          <t>https://www.sports-reference.com/cbb/schools/colorado-state/men/2026-gamelogs.html</t>
        </is>
      </c>
      <c r="E59">
        <f t="array" ref="E59">_xlfn.TEXTSPLIT(
_xlfn.TEXTSPLIT(Team_Links[[#This Row],[GameLogs]],"https://www.sports-reference.com/cbb/schools/",,TRUE,0,), "/",,TRUE,0)</f>
        <v/>
      </c>
    </row>
    <row r="60">
      <c r="A60" t="n">
        <v>58</v>
      </c>
      <c r="B60" t="inlineStr">
        <is>
          <t>Columbia</t>
        </is>
      </c>
      <c r="C60" t="inlineStr">
        <is>
          <t>https://www.sports-reference.com/cbb/schools/columbia/men/2026.html</t>
        </is>
      </c>
      <c r="D60" t="inlineStr">
        <is>
          <t>https://www.sports-reference.com/cbb/schools/columbia/men/2026-gamelogs.html</t>
        </is>
      </c>
      <c r="E60">
        <f t="array" ref="E60">_xlfn.TEXTSPLIT(
_xlfn.TEXTSPLIT(Team_Links[[#This Row],[GameLogs]],"https://www.sports-reference.com/cbb/schools/",,TRUE,0,), "/",,TRUE,0)</f>
        <v/>
      </c>
    </row>
    <row r="61">
      <c r="A61" t="n">
        <v>59</v>
      </c>
      <c r="B61" t="inlineStr">
        <is>
          <t>Connecticut</t>
        </is>
      </c>
      <c r="C61" t="inlineStr">
        <is>
          <t>https://www.sports-reference.com/cbb/schools/connecticut/men/2026.html</t>
        </is>
      </c>
      <c r="D61" t="inlineStr">
        <is>
          <t>https://www.sports-reference.com/cbb/schools/connecticut/men/2026-gamelogs.html</t>
        </is>
      </c>
      <c r="E61">
        <f t="array" ref="E61">_xlfn.TEXTSPLIT(
_xlfn.TEXTSPLIT(Team_Links[[#This Row],[GameLogs]],"https://www.sports-reference.com/cbb/schools/",,TRUE,0,), "/",,TRUE,0)</f>
        <v/>
      </c>
    </row>
    <row r="62">
      <c r="A62" t="n">
        <v>60</v>
      </c>
      <c r="B62" t="inlineStr">
        <is>
          <t>Coppin State</t>
        </is>
      </c>
      <c r="C62" t="inlineStr">
        <is>
          <t>https://www.sports-reference.com/cbb/schools/coppin-state/men/2026.html</t>
        </is>
      </c>
      <c r="D62" t="inlineStr">
        <is>
          <t>https://www.sports-reference.com/cbb/schools/coppin-state/men/2026-gamelogs.html</t>
        </is>
      </c>
      <c r="E62">
        <f t="array" ref="E62">_xlfn.TEXTSPLIT(
_xlfn.TEXTSPLIT(Team_Links[[#This Row],[GameLogs]],"https://www.sports-reference.com/cbb/schools/",,TRUE,0,), "/",,TRUE,0)</f>
        <v/>
      </c>
    </row>
    <row r="63">
      <c r="A63" t="n">
        <v>61</v>
      </c>
      <c r="B63" t="inlineStr">
        <is>
          <t>Cornell</t>
        </is>
      </c>
      <c r="C63" t="inlineStr">
        <is>
          <t>https://www.sports-reference.com/cbb/schools/cornell/men/2026.html</t>
        </is>
      </c>
      <c r="D63" t="inlineStr">
        <is>
          <t>https://www.sports-reference.com/cbb/schools/cornell/men/2026-gamelogs.html</t>
        </is>
      </c>
      <c r="E63">
        <f t="array" ref="E63">_xlfn.TEXTSPLIT(
_xlfn.TEXTSPLIT(Team_Links[[#This Row],[GameLogs]],"https://www.sports-reference.com/cbb/schools/",,TRUE,0,), "/",,TRUE,0)</f>
        <v/>
      </c>
    </row>
    <row r="64">
      <c r="A64" t="n">
        <v>62</v>
      </c>
      <c r="B64" t="inlineStr">
        <is>
          <t>Creighton</t>
        </is>
      </c>
      <c r="C64" t="inlineStr">
        <is>
          <t>https://www.sports-reference.com/cbb/schools/creighton/men/2026.html</t>
        </is>
      </c>
      <c r="D64" t="inlineStr">
        <is>
          <t>https://www.sports-reference.com/cbb/schools/creighton/men/2026-gamelogs.html</t>
        </is>
      </c>
      <c r="E64">
        <f t="array" ref="E64">_xlfn.TEXTSPLIT(
_xlfn.TEXTSPLIT(Team_Links[[#This Row],[GameLogs]],"https://www.sports-reference.com/cbb/schools/",,TRUE,0,), "/",,TRUE,0)</f>
        <v/>
      </c>
    </row>
    <row r="65">
      <c r="A65" t="n">
        <v>63</v>
      </c>
      <c r="B65" t="inlineStr">
        <is>
          <t>Dartmouth</t>
        </is>
      </c>
      <c r="C65" t="inlineStr">
        <is>
          <t>https://www.sports-reference.com/cbb/schools/dartmouth/men/2026.html</t>
        </is>
      </c>
      <c r="D65" t="inlineStr">
        <is>
          <t>https://www.sports-reference.com/cbb/schools/dartmouth/men/2026-gamelogs.html</t>
        </is>
      </c>
      <c r="E65">
        <f t="array" ref="E65">_xlfn.TEXTSPLIT(
_xlfn.TEXTSPLIT(Team_Links[[#This Row],[GameLogs]],"https://www.sports-reference.com/cbb/schools/",,TRUE,0,), "/",,TRUE,0)</f>
        <v/>
      </c>
    </row>
    <row r="66">
      <c r="A66" t="n">
        <v>64</v>
      </c>
      <c r="B66" t="inlineStr">
        <is>
          <t>Davidson</t>
        </is>
      </c>
      <c r="C66" t="inlineStr">
        <is>
          <t>https://www.sports-reference.com/cbb/schools/davidson/men/2026.html</t>
        </is>
      </c>
      <c r="D66" t="inlineStr">
        <is>
          <t>https://www.sports-reference.com/cbb/schools/davidson/men/2026-gamelogs.html</t>
        </is>
      </c>
      <c r="E66">
        <f t="array" ref="E66">_xlfn.TEXTSPLIT(
_xlfn.TEXTSPLIT(Team_Links[[#This Row],[GameLogs]],"https://www.sports-reference.com/cbb/schools/",,TRUE,0,), "/",,TRUE,0)</f>
        <v/>
      </c>
    </row>
    <row r="67">
      <c r="A67" t="n">
        <v>65</v>
      </c>
      <c r="B67" t="inlineStr">
        <is>
          <t>Dayton</t>
        </is>
      </c>
      <c r="C67" t="inlineStr">
        <is>
          <t>https://www.sports-reference.com/cbb/schools/dayton/men/2026.html</t>
        </is>
      </c>
      <c r="D67" t="inlineStr">
        <is>
          <t>https://www.sports-reference.com/cbb/schools/dayton/men/2026-gamelogs.html</t>
        </is>
      </c>
      <c r="E67">
        <f t="array" ref="E67">_xlfn.TEXTSPLIT(
_xlfn.TEXTSPLIT(Team_Links[[#This Row],[GameLogs]],"https://www.sports-reference.com/cbb/schools/",,TRUE,0,), "/",,TRUE,0)</f>
        <v/>
      </c>
    </row>
    <row r="68">
      <c r="A68" t="n">
        <v>66</v>
      </c>
      <c r="B68" t="inlineStr">
        <is>
          <t>Delaware</t>
        </is>
      </c>
      <c r="C68" t="inlineStr">
        <is>
          <t>https://www.sports-reference.com/cbb/schools/delaware/men/2026.html</t>
        </is>
      </c>
      <c r="D68" t="inlineStr">
        <is>
          <t>https://www.sports-reference.com/cbb/schools/delaware/men/2026-gamelogs.html</t>
        </is>
      </c>
      <c r="E68">
        <f t="array" ref="E68">_xlfn.TEXTSPLIT(
_xlfn.TEXTSPLIT(Team_Links[[#This Row],[GameLogs]],"https://www.sports-reference.com/cbb/schools/",,TRUE,0,), "/",,TRUE,0)</f>
        <v/>
      </c>
    </row>
    <row r="69">
      <c r="A69" t="n">
        <v>67</v>
      </c>
      <c r="B69" t="inlineStr">
        <is>
          <t>Delaware State</t>
        </is>
      </c>
      <c r="C69" t="inlineStr">
        <is>
          <t>https://www.sports-reference.com/cbb/schools/delaware-state/men/2026.html</t>
        </is>
      </c>
      <c r="D69" t="inlineStr">
        <is>
          <t>https://www.sports-reference.com/cbb/schools/delaware-state/men/2026-gamelogs.html</t>
        </is>
      </c>
      <c r="E69">
        <f t="array" ref="E69">_xlfn.TEXTSPLIT(
_xlfn.TEXTSPLIT(Team_Links[[#This Row],[GameLogs]],"https://www.sports-reference.com/cbb/schools/",,TRUE,0,), "/",,TRUE,0)</f>
        <v/>
      </c>
    </row>
    <row r="70">
      <c r="A70" t="n">
        <v>68</v>
      </c>
      <c r="B70" t="inlineStr">
        <is>
          <t>Denver</t>
        </is>
      </c>
      <c r="C70" t="inlineStr">
        <is>
          <t>https://www.sports-reference.com/cbb/schools/denver/men/2026.html</t>
        </is>
      </c>
      <c r="D70" t="inlineStr">
        <is>
          <t>https://www.sports-reference.com/cbb/schools/denver/men/2026-gamelogs.html</t>
        </is>
      </c>
      <c r="E70">
        <f t="array" ref="E70">_xlfn.TEXTSPLIT(
_xlfn.TEXTSPLIT(Team_Links[[#This Row],[GameLogs]],"https://www.sports-reference.com/cbb/schools/",,TRUE,0,), "/",,TRUE,0)</f>
        <v/>
      </c>
    </row>
    <row r="71">
      <c r="A71" t="n">
        <v>69</v>
      </c>
      <c r="B71" t="inlineStr">
        <is>
          <t>DePaul</t>
        </is>
      </c>
      <c r="C71" t="inlineStr">
        <is>
          <t>https://www.sports-reference.com/cbb/schools/depaul/men/2026.html</t>
        </is>
      </c>
      <c r="D71" t="inlineStr">
        <is>
          <t>https://www.sports-reference.com/cbb/schools/depaul/men/2026-gamelogs.html</t>
        </is>
      </c>
      <c r="E71">
        <f t="array" ref="E71">_xlfn.TEXTSPLIT(
_xlfn.TEXTSPLIT(Team_Links[[#This Row],[GameLogs]],"https://www.sports-reference.com/cbb/schools/",,TRUE,0,), "/",,TRUE,0)</f>
        <v/>
      </c>
    </row>
    <row r="72">
      <c r="A72" t="n">
        <v>70</v>
      </c>
      <c r="B72" t="inlineStr">
        <is>
          <t>Detroit Mercy</t>
        </is>
      </c>
      <c r="C72" t="inlineStr">
        <is>
          <t>https://www.sports-reference.com/cbb/schools/detroit-mercy/men/2026.html</t>
        </is>
      </c>
      <c r="D72" t="inlineStr">
        <is>
          <t>https://www.sports-reference.com/cbb/schools/detroit-mercy/men/2026-gamelogs.html</t>
        </is>
      </c>
      <c r="E72">
        <f t="array" ref="E72">_xlfn.TEXTSPLIT(
_xlfn.TEXTSPLIT(Team_Links[[#This Row],[GameLogs]],"https://www.sports-reference.com/cbb/schools/",,TRUE,0,), "/",,TRUE,0)</f>
        <v/>
      </c>
    </row>
    <row r="73">
      <c r="A73" t="n">
        <v>71</v>
      </c>
      <c r="B73" t="inlineStr">
        <is>
          <t>Drake</t>
        </is>
      </c>
      <c r="C73" t="inlineStr">
        <is>
          <t>https://www.sports-reference.com/cbb/schools/drake/men/2026.html</t>
        </is>
      </c>
      <c r="D73" t="inlineStr">
        <is>
          <t>https://www.sports-reference.com/cbb/schools/drake/men/2026-gamelogs.html</t>
        </is>
      </c>
      <c r="E73">
        <f t="array" ref="E73">_xlfn.TEXTSPLIT(
_xlfn.TEXTSPLIT(Team_Links[[#This Row],[GameLogs]],"https://www.sports-reference.com/cbb/schools/",,TRUE,0,), "/",,TRUE,0)</f>
        <v/>
      </c>
    </row>
    <row r="74">
      <c r="A74" t="n">
        <v>72</v>
      </c>
      <c r="B74" t="inlineStr">
        <is>
          <t>Drexel</t>
        </is>
      </c>
      <c r="C74" t="inlineStr">
        <is>
          <t>https://www.sports-reference.com/cbb/schools/drexel/men/2026.html</t>
        </is>
      </c>
      <c r="D74" t="inlineStr">
        <is>
          <t>https://www.sports-reference.com/cbb/schools/drexel/men/2026-gamelogs.html</t>
        </is>
      </c>
      <c r="E74">
        <f t="array" ref="E74">_xlfn.TEXTSPLIT(
_xlfn.TEXTSPLIT(Team_Links[[#This Row],[GameLogs]],"https://www.sports-reference.com/cbb/schools/",,TRUE,0,), "/",,TRUE,0)</f>
        <v/>
      </c>
    </row>
    <row r="75">
      <c r="A75" t="n">
        <v>73</v>
      </c>
      <c r="B75" t="inlineStr">
        <is>
          <t>Duke</t>
        </is>
      </c>
      <c r="C75" t="inlineStr">
        <is>
          <t>https://www.sports-reference.com/cbb/schools/duke/men/2026.html</t>
        </is>
      </c>
      <c r="D75" t="inlineStr">
        <is>
          <t>https://www.sports-reference.com/cbb/schools/duke/men/2026-gamelogs.html</t>
        </is>
      </c>
      <c r="E75">
        <f t="array" ref="E75">_xlfn.TEXTSPLIT(
_xlfn.TEXTSPLIT(Team_Links[[#This Row],[GameLogs]],"https://www.sports-reference.com/cbb/schools/",,TRUE,0,), "/",,TRUE,0)</f>
        <v/>
      </c>
    </row>
    <row r="76">
      <c r="A76" t="n">
        <v>74</v>
      </c>
      <c r="B76" t="inlineStr">
        <is>
          <t>Duquesne</t>
        </is>
      </c>
      <c r="C76" t="inlineStr">
        <is>
          <t>https://www.sports-reference.com/cbb/schools/duquesne/men/2026.html</t>
        </is>
      </c>
      <c r="D76" t="inlineStr">
        <is>
          <t>https://www.sports-reference.com/cbb/schools/duquesne/men/2026-gamelogs.html</t>
        </is>
      </c>
      <c r="E76">
        <f t="array" ref="E76">_xlfn.TEXTSPLIT(
_xlfn.TEXTSPLIT(Team_Links[[#This Row],[GameLogs]],"https://www.sports-reference.com/cbb/schools/",,TRUE,0,), "/",,TRUE,0)</f>
        <v/>
      </c>
    </row>
    <row r="77">
      <c r="A77" t="n">
        <v>75</v>
      </c>
      <c r="B77" t="inlineStr">
        <is>
          <t>East Carolina</t>
        </is>
      </c>
      <c r="C77" t="inlineStr">
        <is>
          <t>https://www.sports-reference.com/cbb/schools/east-carolina/men/2026.html</t>
        </is>
      </c>
      <c r="D77" t="inlineStr">
        <is>
          <t>https://www.sports-reference.com/cbb/schools/east-carolina/men/2026-gamelogs.html</t>
        </is>
      </c>
      <c r="E77">
        <f t="array" ref="E77">_xlfn.TEXTSPLIT(
_xlfn.TEXTSPLIT(Team_Links[[#This Row],[GameLogs]],"https://www.sports-reference.com/cbb/schools/",,TRUE,0,), "/",,TRUE,0)</f>
        <v/>
      </c>
    </row>
    <row r="78">
      <c r="A78" t="n">
        <v>76</v>
      </c>
      <c r="B78" t="inlineStr">
        <is>
          <t>East Tennessee State</t>
        </is>
      </c>
      <c r="C78" t="inlineStr">
        <is>
          <t>https://www.sports-reference.com/cbb/schools/east-tennessee-state/men/2026.html</t>
        </is>
      </c>
      <c r="D78" t="inlineStr">
        <is>
          <t>https://www.sports-reference.com/cbb/schools/east-tennessee-state/men/2026-gamelogs.html</t>
        </is>
      </c>
      <c r="E78">
        <f t="array" ref="E78">_xlfn.TEXTSPLIT(
_xlfn.TEXTSPLIT(Team_Links[[#This Row],[GameLogs]],"https://www.sports-reference.com/cbb/schools/",,TRUE,0,), "/",,TRUE,0)</f>
        <v/>
      </c>
    </row>
    <row r="79">
      <c r="A79" t="n">
        <v>77</v>
      </c>
      <c r="B79" t="inlineStr">
        <is>
          <t>East Texas A&amp;M</t>
        </is>
      </c>
      <c r="C79" t="inlineStr">
        <is>
          <t>https://www.sports-reference.com/cbb/schools/texas-am-commerce/men/2026.html</t>
        </is>
      </c>
      <c r="D79" t="inlineStr">
        <is>
          <t>https://www.sports-reference.com/cbb/schools/texas-am-commerce/men/2026-gamelogs.html</t>
        </is>
      </c>
      <c r="E79">
        <f t="array" ref="E79">_xlfn.TEXTSPLIT(
_xlfn.TEXTSPLIT(Team_Links[[#This Row],[GameLogs]],"https://www.sports-reference.com/cbb/schools/",,TRUE,0,), "/",,TRUE,0)</f>
        <v/>
      </c>
    </row>
    <row r="80">
      <c r="A80" t="n">
        <v>78</v>
      </c>
      <c r="B80" t="inlineStr">
        <is>
          <t>Eastern Illinois</t>
        </is>
      </c>
      <c r="C80" t="inlineStr">
        <is>
          <t>https://www.sports-reference.com/cbb/schools/eastern-illinois/men/2026.html</t>
        </is>
      </c>
      <c r="D80" t="inlineStr">
        <is>
          <t>https://www.sports-reference.com/cbb/schools/eastern-illinois/men/2026-gamelogs.html</t>
        </is>
      </c>
      <c r="E80">
        <f t="array" ref="E80">_xlfn.TEXTSPLIT(
_xlfn.TEXTSPLIT(Team_Links[[#This Row],[GameLogs]],"https://www.sports-reference.com/cbb/schools/",,TRUE,0,), "/",,TRUE,0)</f>
        <v/>
      </c>
    </row>
    <row r="81">
      <c r="A81" t="n">
        <v>79</v>
      </c>
      <c r="B81" t="inlineStr">
        <is>
          <t>Eastern Kentucky</t>
        </is>
      </c>
      <c r="C81" t="inlineStr">
        <is>
          <t>https://www.sports-reference.com/cbb/schools/eastern-kentucky/men/2026.html</t>
        </is>
      </c>
      <c r="D81" t="inlineStr">
        <is>
          <t>https://www.sports-reference.com/cbb/schools/eastern-kentucky/men/2026-gamelogs.html</t>
        </is>
      </c>
      <c r="E81">
        <f t="array" ref="E81">_xlfn.TEXTSPLIT(
_xlfn.TEXTSPLIT(Team_Links[[#This Row],[GameLogs]],"https://www.sports-reference.com/cbb/schools/",,TRUE,0,), "/",,TRUE,0)</f>
        <v/>
      </c>
    </row>
    <row r="82">
      <c r="A82" t="n">
        <v>80</v>
      </c>
      <c r="B82" t="inlineStr">
        <is>
          <t>Eastern Michigan</t>
        </is>
      </c>
      <c r="C82" t="inlineStr">
        <is>
          <t>https://www.sports-reference.com/cbb/schools/eastern-michigan/men/2026.html</t>
        </is>
      </c>
      <c r="D82" t="inlineStr">
        <is>
          <t>https://www.sports-reference.com/cbb/schools/eastern-michigan/men/2026-gamelogs.html</t>
        </is>
      </c>
      <c r="E82">
        <f t="array" ref="E82">_xlfn.TEXTSPLIT(
_xlfn.TEXTSPLIT(Team_Links[[#This Row],[GameLogs]],"https://www.sports-reference.com/cbb/schools/",,TRUE,0,), "/",,TRUE,0)</f>
        <v/>
      </c>
    </row>
    <row r="83">
      <c r="A83" t="n">
        <v>81</v>
      </c>
      <c r="B83" t="inlineStr">
        <is>
          <t>Eastern Washington</t>
        </is>
      </c>
      <c r="C83" t="inlineStr">
        <is>
          <t>https://www.sports-reference.com/cbb/schools/eastern-washington/men/2026.html</t>
        </is>
      </c>
      <c r="D83" t="inlineStr">
        <is>
          <t>https://www.sports-reference.com/cbb/schools/eastern-washington/men/2026-gamelogs.html</t>
        </is>
      </c>
      <c r="E83">
        <f t="array" ref="E83">_xlfn.TEXTSPLIT(
_xlfn.TEXTSPLIT(Team_Links[[#This Row],[GameLogs]],"https://www.sports-reference.com/cbb/schools/",,TRUE,0,), "/",,TRUE,0)</f>
        <v/>
      </c>
    </row>
    <row r="84">
      <c r="A84" t="n">
        <v>82</v>
      </c>
      <c r="B84" t="inlineStr">
        <is>
          <t>Elon</t>
        </is>
      </c>
      <c r="C84" t="inlineStr">
        <is>
          <t>https://www.sports-reference.com/cbb/schools/elon/men/2026.html</t>
        </is>
      </c>
      <c r="D84" t="inlineStr">
        <is>
          <t>https://www.sports-reference.com/cbb/schools/elon/men/2026-gamelogs.html</t>
        </is>
      </c>
      <c r="E84">
        <f t="array" ref="E84">_xlfn.TEXTSPLIT(
_xlfn.TEXTSPLIT(Team_Links[[#This Row],[GameLogs]],"https://www.sports-reference.com/cbb/schools/",,TRUE,0,), "/",,TRUE,0)</f>
        <v/>
      </c>
    </row>
    <row r="85">
      <c r="A85" t="n">
        <v>83</v>
      </c>
      <c r="B85" t="inlineStr">
        <is>
          <t>Evansville</t>
        </is>
      </c>
      <c r="C85" t="inlineStr">
        <is>
          <t>https://www.sports-reference.com/cbb/schools/evansville/men/2026.html</t>
        </is>
      </c>
      <c r="D85" t="inlineStr">
        <is>
          <t>https://www.sports-reference.com/cbb/schools/evansville/men/2026-gamelogs.html</t>
        </is>
      </c>
      <c r="E85">
        <f t="array" ref="E85">_xlfn.TEXTSPLIT(
_xlfn.TEXTSPLIT(Team_Links[[#This Row],[GameLogs]],"https://www.sports-reference.com/cbb/schools/",,TRUE,0,), "/",,TRUE,0)</f>
        <v/>
      </c>
    </row>
    <row r="86">
      <c r="A86" t="n">
        <v>84</v>
      </c>
      <c r="B86" t="inlineStr">
        <is>
          <t>Fairfield</t>
        </is>
      </c>
      <c r="C86" t="inlineStr">
        <is>
          <t>https://www.sports-reference.com/cbb/schools/fairfield/men/2026.html</t>
        </is>
      </c>
      <c r="D86" t="inlineStr">
        <is>
          <t>https://www.sports-reference.com/cbb/schools/fairfield/men/2026-gamelogs.html</t>
        </is>
      </c>
      <c r="E86">
        <f t="array" ref="E86">_xlfn.TEXTSPLIT(
_xlfn.TEXTSPLIT(Team_Links[[#This Row],[GameLogs]],"https://www.sports-reference.com/cbb/schools/",,TRUE,0,), "/",,TRUE,0)</f>
        <v/>
      </c>
    </row>
    <row r="87">
      <c r="A87" t="n">
        <v>85</v>
      </c>
      <c r="B87" t="inlineStr">
        <is>
          <t>FDU</t>
        </is>
      </c>
      <c r="C87" t="inlineStr">
        <is>
          <t>https://www.sports-reference.com/cbb/schools/fairleigh-dickinson/men/2026.html</t>
        </is>
      </c>
      <c r="D87" t="inlineStr">
        <is>
          <t>https://www.sports-reference.com/cbb/schools/fairleigh-dickinson/men/2026-gamelogs.html</t>
        </is>
      </c>
      <c r="E87">
        <f t="array" ref="E87">_xlfn.TEXTSPLIT(
_xlfn.TEXTSPLIT(Team_Links[[#This Row],[GameLogs]],"https://www.sports-reference.com/cbb/schools/",,TRUE,0,), "/",,TRUE,0)</f>
        <v/>
      </c>
    </row>
    <row r="88">
      <c r="A88" t="n">
        <v>86</v>
      </c>
      <c r="B88" t="inlineStr">
        <is>
          <t>Florida</t>
        </is>
      </c>
      <c r="C88" t="inlineStr">
        <is>
          <t>https://www.sports-reference.com/cbb/schools/florida/men/2026.html</t>
        </is>
      </c>
      <c r="D88" t="inlineStr">
        <is>
          <t>https://www.sports-reference.com/cbb/schools/florida/men/2026-gamelogs.html</t>
        </is>
      </c>
      <c r="E88">
        <f t="array" ref="E88">_xlfn.TEXTSPLIT(
_xlfn.TEXTSPLIT(Team_Links[[#This Row],[GameLogs]],"https://www.sports-reference.com/cbb/schools/",,TRUE,0,), "/",,TRUE,0)</f>
        <v/>
      </c>
    </row>
    <row r="89">
      <c r="A89" t="n">
        <v>87</v>
      </c>
      <c r="B89" t="inlineStr">
        <is>
          <t>Florida A&amp;M</t>
        </is>
      </c>
      <c r="C89" t="inlineStr">
        <is>
          <t>https://www.sports-reference.com/cbb/schools/florida-am/men/2026.html</t>
        </is>
      </c>
      <c r="D89" t="inlineStr">
        <is>
          <t>https://www.sports-reference.com/cbb/schools/florida-am/men/2026-gamelogs.html</t>
        </is>
      </c>
      <c r="E89">
        <f t="array" ref="E89">_xlfn.TEXTSPLIT(
_xlfn.TEXTSPLIT(Team_Links[[#This Row],[GameLogs]],"https://www.sports-reference.com/cbb/schools/",,TRUE,0,), "/",,TRUE,0)</f>
        <v/>
      </c>
    </row>
    <row r="90">
      <c r="A90" t="n">
        <v>88</v>
      </c>
      <c r="B90" t="inlineStr">
        <is>
          <t>Florida Atlantic</t>
        </is>
      </c>
      <c r="C90" t="inlineStr">
        <is>
          <t>https://www.sports-reference.com/cbb/schools/florida-atlantic/men/2026.html</t>
        </is>
      </c>
      <c r="D90" t="inlineStr">
        <is>
          <t>https://www.sports-reference.com/cbb/schools/florida-atlantic/men/2026-gamelogs.html</t>
        </is>
      </c>
      <c r="E90">
        <f t="array" ref="E90">_xlfn.TEXTSPLIT(
_xlfn.TEXTSPLIT(Team_Links[[#This Row],[GameLogs]],"https://www.sports-reference.com/cbb/schools/",,TRUE,0,), "/",,TRUE,0)</f>
        <v/>
      </c>
    </row>
    <row r="91">
      <c r="A91" t="n">
        <v>89</v>
      </c>
      <c r="B91" t="inlineStr">
        <is>
          <t>Florida Gulf Coast</t>
        </is>
      </c>
      <c r="C91" t="inlineStr">
        <is>
          <t>https://www.sports-reference.com/cbb/schools/florida-gulf-coast/men/2026.html</t>
        </is>
      </c>
      <c r="D91" t="inlineStr">
        <is>
          <t>https://www.sports-reference.com/cbb/schools/florida-gulf-coast/men/2026-gamelogs.html</t>
        </is>
      </c>
      <c r="E91">
        <f t="array" ref="E91">_xlfn.TEXTSPLIT(
_xlfn.TEXTSPLIT(Team_Links[[#This Row],[GameLogs]],"https://www.sports-reference.com/cbb/schools/",,TRUE,0,), "/",,TRUE,0)</f>
        <v/>
      </c>
    </row>
    <row r="92">
      <c r="A92" t="n">
        <v>90</v>
      </c>
      <c r="B92" t="inlineStr">
        <is>
          <t>Florida International</t>
        </is>
      </c>
      <c r="C92" t="inlineStr">
        <is>
          <t>https://www.sports-reference.com/cbb/schools/florida-international/men/2026.html</t>
        </is>
      </c>
      <c r="D92" t="inlineStr">
        <is>
          <t>https://www.sports-reference.com/cbb/schools/florida-international/men/2026-gamelogs.html</t>
        </is>
      </c>
      <c r="E92">
        <f t="array" ref="E92">_xlfn.TEXTSPLIT(
_xlfn.TEXTSPLIT(Team_Links[[#This Row],[GameLogs]],"https://www.sports-reference.com/cbb/schools/",,TRUE,0,), "/",,TRUE,0)</f>
        <v/>
      </c>
    </row>
    <row r="93">
      <c r="A93" t="n">
        <v>91</v>
      </c>
      <c r="B93" t="inlineStr">
        <is>
          <t>Florida State</t>
        </is>
      </c>
      <c r="C93" t="inlineStr">
        <is>
          <t>https://www.sports-reference.com/cbb/schools/florida-state/men/2026.html</t>
        </is>
      </c>
      <c r="D93" t="inlineStr">
        <is>
          <t>https://www.sports-reference.com/cbb/schools/florida-state/men/2026-gamelogs.html</t>
        </is>
      </c>
      <c r="E93">
        <f t="array" ref="E93">_xlfn.TEXTSPLIT(
_xlfn.TEXTSPLIT(Team_Links[[#This Row],[GameLogs]],"https://www.sports-reference.com/cbb/schools/",,TRUE,0,), "/",,TRUE,0)</f>
        <v/>
      </c>
    </row>
    <row r="94">
      <c r="A94" t="n">
        <v>92</v>
      </c>
      <c r="B94" t="inlineStr">
        <is>
          <t>Fordham</t>
        </is>
      </c>
      <c r="C94" t="inlineStr">
        <is>
          <t>https://www.sports-reference.com/cbb/schools/fordham/men/2026.html</t>
        </is>
      </c>
      <c r="D94" t="inlineStr">
        <is>
          <t>https://www.sports-reference.com/cbb/schools/fordham/men/2026-gamelogs.html</t>
        </is>
      </c>
      <c r="E94">
        <f t="array" ref="E94">_xlfn.TEXTSPLIT(
_xlfn.TEXTSPLIT(Team_Links[[#This Row],[GameLogs]],"https://www.sports-reference.com/cbb/schools/",,TRUE,0,), "/",,TRUE,0)</f>
        <v/>
      </c>
    </row>
    <row r="95">
      <c r="A95" t="n">
        <v>93</v>
      </c>
      <c r="B95" t="inlineStr">
        <is>
          <t>Fresno State</t>
        </is>
      </c>
      <c r="C95" t="inlineStr">
        <is>
          <t>https://www.sports-reference.com/cbb/schools/fresno-state/men/2026.html</t>
        </is>
      </c>
      <c r="D95" t="inlineStr">
        <is>
          <t>https://www.sports-reference.com/cbb/schools/fresno-state/men/2026-gamelogs.html</t>
        </is>
      </c>
      <c r="E95">
        <f t="array" ref="E95">_xlfn.TEXTSPLIT(
_xlfn.TEXTSPLIT(Team_Links[[#This Row],[GameLogs]],"https://www.sports-reference.com/cbb/schools/",,TRUE,0,), "/",,TRUE,0)</f>
        <v/>
      </c>
    </row>
    <row r="96">
      <c r="A96" t="n">
        <v>94</v>
      </c>
      <c r="B96" t="inlineStr">
        <is>
          <t>Furman</t>
        </is>
      </c>
      <c r="C96" t="inlineStr">
        <is>
          <t>https://www.sports-reference.com/cbb/schools/furman/men/2026.html</t>
        </is>
      </c>
      <c r="D96" t="inlineStr">
        <is>
          <t>https://www.sports-reference.com/cbb/schools/furman/men/2026-gamelogs.html</t>
        </is>
      </c>
      <c r="E96">
        <f t="array" ref="E96">_xlfn.TEXTSPLIT(
_xlfn.TEXTSPLIT(Team_Links[[#This Row],[GameLogs]],"https://www.sports-reference.com/cbb/schools/",,TRUE,0,), "/",,TRUE,0)</f>
        <v/>
      </c>
    </row>
    <row r="97">
      <c r="A97" t="n">
        <v>95</v>
      </c>
      <c r="B97" t="inlineStr">
        <is>
          <t>Gardner-Webb</t>
        </is>
      </c>
      <c r="C97" t="inlineStr">
        <is>
          <t>https://www.sports-reference.com/cbb/schools/gardner-webb/men/2026.html</t>
        </is>
      </c>
      <c r="D97" t="inlineStr">
        <is>
          <t>https://www.sports-reference.com/cbb/schools/gardner-webb/men/2026-gamelogs.html</t>
        </is>
      </c>
      <c r="E97">
        <f t="array" ref="E97">_xlfn.TEXTSPLIT(
_xlfn.TEXTSPLIT(Team_Links[[#This Row],[GameLogs]],"https://www.sports-reference.com/cbb/schools/",,TRUE,0,), "/",,TRUE,0)</f>
        <v/>
      </c>
    </row>
    <row r="98">
      <c r="A98" t="n">
        <v>96</v>
      </c>
      <c r="B98" t="inlineStr">
        <is>
          <t>George Mason</t>
        </is>
      </c>
      <c r="C98" t="inlineStr">
        <is>
          <t>https://www.sports-reference.com/cbb/schools/george-mason/men/2026.html</t>
        </is>
      </c>
      <c r="D98" t="inlineStr">
        <is>
          <t>https://www.sports-reference.com/cbb/schools/george-mason/men/2026-gamelogs.html</t>
        </is>
      </c>
      <c r="E98">
        <f t="array" ref="E98">_xlfn.TEXTSPLIT(
_xlfn.TEXTSPLIT(Team_Links[[#This Row],[GameLogs]],"https://www.sports-reference.com/cbb/schools/",,TRUE,0,), "/",,TRUE,0)</f>
        <v/>
      </c>
    </row>
    <row r="99">
      <c r="A99" t="n">
        <v>97</v>
      </c>
      <c r="B99" t="inlineStr">
        <is>
          <t>George Washington</t>
        </is>
      </c>
      <c r="C99" t="inlineStr">
        <is>
          <t>https://www.sports-reference.com/cbb/schools/george-washington/men/2026.html</t>
        </is>
      </c>
      <c r="D99" t="inlineStr">
        <is>
          <t>https://www.sports-reference.com/cbb/schools/george-washington/men/2026-gamelogs.html</t>
        </is>
      </c>
      <c r="E99">
        <f t="array" ref="E99">_xlfn.TEXTSPLIT(
_xlfn.TEXTSPLIT(Team_Links[[#This Row],[GameLogs]],"https://www.sports-reference.com/cbb/schools/",,TRUE,0,), "/",,TRUE,0)</f>
        <v/>
      </c>
    </row>
    <row r="100">
      <c r="A100" t="n">
        <v>98</v>
      </c>
      <c r="B100" t="inlineStr">
        <is>
          <t>Georgetown</t>
        </is>
      </c>
      <c r="C100" t="inlineStr">
        <is>
          <t>https://www.sports-reference.com/cbb/schools/georgetown/men/2026.html</t>
        </is>
      </c>
      <c r="D100" t="inlineStr">
        <is>
          <t>https://www.sports-reference.com/cbb/schools/georgetown/men/2026-gamelogs.html</t>
        </is>
      </c>
      <c r="E100">
        <f t="array" ref="E100">_xlfn.TEXTSPLIT(
_xlfn.TEXTSPLIT(Team_Links[[#This Row],[GameLogs]],"https://www.sports-reference.com/cbb/schools/",,TRUE,0,), "/",,TRUE,0)</f>
        <v/>
      </c>
    </row>
    <row r="101">
      <c r="A101" t="n">
        <v>99</v>
      </c>
      <c r="B101" t="inlineStr">
        <is>
          <t>Georgia</t>
        </is>
      </c>
      <c r="C101" t="inlineStr">
        <is>
          <t>https://www.sports-reference.com/cbb/schools/georgia/men/2026.html</t>
        </is>
      </c>
      <c r="D101" t="inlineStr">
        <is>
          <t>https://www.sports-reference.com/cbb/schools/georgia/men/2026-gamelogs.html</t>
        </is>
      </c>
      <c r="E101">
        <f t="array" ref="E101">_xlfn.TEXTSPLIT(
_xlfn.TEXTSPLIT(Team_Links[[#This Row],[GameLogs]],"https://www.sports-reference.com/cbb/schools/",,TRUE,0,), "/",,TRUE,0)</f>
        <v/>
      </c>
    </row>
    <row r="102">
      <c r="A102" t="n">
        <v>100</v>
      </c>
      <c r="B102" t="inlineStr">
        <is>
          <t>Georgia Southern</t>
        </is>
      </c>
      <c r="C102" t="inlineStr">
        <is>
          <t>https://www.sports-reference.com/cbb/schools/georgia-southern/men/2026.html</t>
        </is>
      </c>
      <c r="D102" t="inlineStr">
        <is>
          <t>https://www.sports-reference.com/cbb/schools/georgia-southern/men/2026-gamelogs.html</t>
        </is>
      </c>
      <c r="E102">
        <f t="array" ref="E102">_xlfn.TEXTSPLIT(
_xlfn.TEXTSPLIT(Team_Links[[#This Row],[GameLogs]],"https://www.sports-reference.com/cbb/schools/",,TRUE,0,), "/",,TRUE,0)</f>
        <v/>
      </c>
    </row>
    <row r="103">
      <c r="A103" t="n">
        <v>101</v>
      </c>
      <c r="B103" t="inlineStr">
        <is>
          <t>Georgia State</t>
        </is>
      </c>
      <c r="C103" t="inlineStr">
        <is>
          <t>https://www.sports-reference.com/cbb/schools/georgia-state/men/2026.html</t>
        </is>
      </c>
      <c r="D103" t="inlineStr">
        <is>
          <t>https://www.sports-reference.com/cbb/schools/georgia-state/men/2026-gamelogs.html</t>
        </is>
      </c>
      <c r="E103">
        <f t="array" ref="E103">_xlfn.TEXTSPLIT(
_xlfn.TEXTSPLIT(Team_Links[[#This Row],[GameLogs]],"https://www.sports-reference.com/cbb/schools/",,TRUE,0,), "/",,TRUE,0)</f>
        <v/>
      </c>
    </row>
    <row r="104">
      <c r="A104" t="n">
        <v>102</v>
      </c>
      <c r="B104" t="inlineStr">
        <is>
          <t>Georgia Tech</t>
        </is>
      </c>
      <c r="C104" t="inlineStr">
        <is>
          <t>https://www.sports-reference.com/cbb/schools/georgia-tech/men/2026.html</t>
        </is>
      </c>
      <c r="D104" t="inlineStr">
        <is>
          <t>https://www.sports-reference.com/cbb/schools/georgia-tech/men/2026-gamelogs.html</t>
        </is>
      </c>
      <c r="E104">
        <f t="array" ref="E104">_xlfn.TEXTSPLIT(
_xlfn.TEXTSPLIT(Team_Links[[#This Row],[GameLogs]],"https://www.sports-reference.com/cbb/schools/",,TRUE,0,), "/",,TRUE,0)</f>
        <v/>
      </c>
    </row>
    <row r="105">
      <c r="A105" t="n">
        <v>103</v>
      </c>
      <c r="B105" t="inlineStr">
        <is>
          <t>Gonzaga</t>
        </is>
      </c>
      <c r="C105" t="inlineStr">
        <is>
          <t>https://www.sports-reference.com/cbb/schools/gonzaga/men/2026.html</t>
        </is>
      </c>
      <c r="D105" t="inlineStr">
        <is>
          <t>https://www.sports-reference.com/cbb/schools/gonzaga/men/2026-gamelogs.html</t>
        </is>
      </c>
      <c r="E105">
        <f t="array" ref="E105">_xlfn.TEXTSPLIT(
_xlfn.TEXTSPLIT(Team_Links[[#This Row],[GameLogs]],"https://www.sports-reference.com/cbb/schools/",,TRUE,0,), "/",,TRUE,0)</f>
        <v/>
      </c>
    </row>
    <row r="106">
      <c r="A106" t="n">
        <v>104</v>
      </c>
      <c r="B106" t="inlineStr">
        <is>
          <t>Grambling</t>
        </is>
      </c>
      <c r="C106" t="inlineStr">
        <is>
          <t>https://www.sports-reference.com/cbb/schools/grambling/men/2026.html</t>
        </is>
      </c>
      <c r="D106" t="inlineStr">
        <is>
          <t>https://www.sports-reference.com/cbb/schools/grambling/men/2026-gamelogs.html</t>
        </is>
      </c>
      <c r="E106">
        <f t="array" ref="E106">_xlfn.TEXTSPLIT(
_xlfn.TEXTSPLIT(Team_Links[[#This Row],[GameLogs]],"https://www.sports-reference.com/cbb/schools/",,TRUE,0,), "/",,TRUE,0)</f>
        <v/>
      </c>
    </row>
    <row r="107">
      <c r="A107" t="n">
        <v>105</v>
      </c>
      <c r="B107" t="inlineStr">
        <is>
          <t>Grand Canyon</t>
        </is>
      </c>
      <c r="C107" t="inlineStr">
        <is>
          <t>https://www.sports-reference.com/cbb/schools/grand-canyon/men/2026.html</t>
        </is>
      </c>
      <c r="D107" t="inlineStr">
        <is>
          <t>https://www.sports-reference.com/cbb/schools/grand-canyon/men/2026-gamelogs.html</t>
        </is>
      </c>
      <c r="E107">
        <f t="array" ref="E107">_xlfn.TEXTSPLIT(
_xlfn.TEXTSPLIT(Team_Links[[#This Row],[GameLogs]],"https://www.sports-reference.com/cbb/schools/",,TRUE,0,), "/",,TRUE,0)</f>
        <v/>
      </c>
    </row>
    <row r="108">
      <c r="A108" t="n">
        <v>106</v>
      </c>
      <c r="B108" t="inlineStr">
        <is>
          <t>Green Bay</t>
        </is>
      </c>
      <c r="C108" t="inlineStr">
        <is>
          <t>https://www.sports-reference.com/cbb/schools/green-bay/men/2026.html</t>
        </is>
      </c>
      <c r="D108" t="inlineStr">
        <is>
          <t>https://www.sports-reference.com/cbb/schools/green-bay/men/2026-gamelogs.html</t>
        </is>
      </c>
      <c r="E108">
        <f t="array" ref="E108">_xlfn.TEXTSPLIT(
_xlfn.TEXTSPLIT(Team_Links[[#This Row],[GameLogs]],"https://www.sports-reference.com/cbb/schools/",,TRUE,0,), "/",,TRUE,0)</f>
        <v/>
      </c>
    </row>
    <row r="109">
      <c r="A109" t="n">
        <v>107</v>
      </c>
      <c r="B109" t="inlineStr">
        <is>
          <t>Hampton</t>
        </is>
      </c>
      <c r="C109" t="inlineStr">
        <is>
          <t>https://www.sports-reference.com/cbb/schools/hampton/men/2026.html</t>
        </is>
      </c>
      <c r="D109" t="inlineStr">
        <is>
          <t>https://www.sports-reference.com/cbb/schools/hampton/men/2026-gamelogs.html</t>
        </is>
      </c>
      <c r="E109">
        <f t="array" ref="E109">_xlfn.TEXTSPLIT(
_xlfn.TEXTSPLIT(Team_Links[[#This Row],[GameLogs]],"https://www.sports-reference.com/cbb/schools/",,TRUE,0,), "/",,TRUE,0)</f>
        <v/>
      </c>
    </row>
    <row r="110">
      <c r="A110" t="n">
        <v>108</v>
      </c>
      <c r="B110" t="inlineStr">
        <is>
          <t>Harvard</t>
        </is>
      </c>
      <c r="C110" t="inlineStr">
        <is>
          <t>https://www.sports-reference.com/cbb/schools/harvard/men/2026.html</t>
        </is>
      </c>
      <c r="D110" t="inlineStr">
        <is>
          <t>https://www.sports-reference.com/cbb/schools/harvard/men/2026-gamelogs.html</t>
        </is>
      </c>
      <c r="E110">
        <f t="array" ref="E110">_xlfn.TEXTSPLIT(
_xlfn.TEXTSPLIT(Team_Links[[#This Row],[GameLogs]],"https://www.sports-reference.com/cbb/schools/",,TRUE,0,), "/",,TRUE,0)</f>
        <v/>
      </c>
    </row>
    <row r="111">
      <c r="A111" t="n">
        <v>109</v>
      </c>
      <c r="B111" t="inlineStr">
        <is>
          <t>Hawaii</t>
        </is>
      </c>
      <c r="C111" t="inlineStr">
        <is>
          <t>https://www.sports-reference.com/cbb/schools/hawaii/men/2026.html</t>
        </is>
      </c>
      <c r="D111" t="inlineStr">
        <is>
          <t>https://www.sports-reference.com/cbb/schools/hawaii/men/2026-gamelogs.html</t>
        </is>
      </c>
      <c r="E111">
        <f t="array" ref="E111">_xlfn.TEXTSPLIT(
_xlfn.TEXTSPLIT(Team_Links[[#This Row],[GameLogs]],"https://www.sports-reference.com/cbb/schools/",,TRUE,0,), "/",,TRUE,0)</f>
        <v/>
      </c>
    </row>
    <row r="112">
      <c r="A112" t="n">
        <v>110</v>
      </c>
      <c r="B112" t="inlineStr">
        <is>
          <t>High Point</t>
        </is>
      </c>
      <c r="C112" t="inlineStr">
        <is>
          <t>https://www.sports-reference.com/cbb/schools/high-point/men/2026.html</t>
        </is>
      </c>
      <c r="D112" t="inlineStr">
        <is>
          <t>https://www.sports-reference.com/cbb/schools/high-point/men/2026-gamelogs.html</t>
        </is>
      </c>
      <c r="E112">
        <f t="array" ref="E112">_xlfn.TEXTSPLIT(
_xlfn.TEXTSPLIT(Team_Links[[#This Row],[GameLogs]],"https://www.sports-reference.com/cbb/schools/",,TRUE,0,), "/",,TRUE,0)</f>
        <v/>
      </c>
    </row>
    <row r="113">
      <c r="A113" t="n">
        <v>111</v>
      </c>
      <c r="B113" t="inlineStr">
        <is>
          <t>Hofstra</t>
        </is>
      </c>
      <c r="C113" t="inlineStr">
        <is>
          <t>https://www.sports-reference.com/cbb/schools/hofstra/men/2026.html</t>
        </is>
      </c>
      <c r="D113" t="inlineStr">
        <is>
          <t>https://www.sports-reference.com/cbb/schools/hofstra/men/2026-gamelogs.html</t>
        </is>
      </c>
      <c r="E113">
        <f t="array" ref="E113">_xlfn.TEXTSPLIT(
_xlfn.TEXTSPLIT(Team_Links[[#This Row],[GameLogs]],"https://www.sports-reference.com/cbb/schools/",,TRUE,0,), "/",,TRUE,0)</f>
        <v/>
      </c>
    </row>
    <row r="114">
      <c r="A114" t="n">
        <v>112</v>
      </c>
      <c r="B114" t="inlineStr">
        <is>
          <t>Holy Cross</t>
        </is>
      </c>
      <c r="C114" t="inlineStr">
        <is>
          <t>https://www.sports-reference.com/cbb/schools/holy-cross/men/2026.html</t>
        </is>
      </c>
      <c r="D114" t="inlineStr">
        <is>
          <t>https://www.sports-reference.com/cbb/schools/holy-cross/men/2026-gamelogs.html</t>
        </is>
      </c>
      <c r="E114">
        <f t="array" ref="E114">_xlfn.TEXTSPLIT(
_xlfn.TEXTSPLIT(Team_Links[[#This Row],[GameLogs]],"https://www.sports-reference.com/cbb/schools/",,TRUE,0,), "/",,TRUE,0)</f>
        <v/>
      </c>
    </row>
    <row r="115">
      <c r="A115" t="n">
        <v>113</v>
      </c>
      <c r="B115" t="inlineStr">
        <is>
          <t>Houston</t>
        </is>
      </c>
      <c r="C115" t="inlineStr">
        <is>
          <t>https://www.sports-reference.com/cbb/schools/houston/men/2026.html</t>
        </is>
      </c>
      <c r="D115" t="inlineStr">
        <is>
          <t>https://www.sports-reference.com/cbb/schools/houston/men/2026-gamelogs.html</t>
        </is>
      </c>
      <c r="E115">
        <f t="array" ref="E115">_xlfn.TEXTSPLIT(
_xlfn.TEXTSPLIT(Team_Links[[#This Row],[GameLogs]],"https://www.sports-reference.com/cbb/schools/",,TRUE,0,), "/",,TRUE,0)</f>
        <v/>
      </c>
    </row>
    <row r="116">
      <c r="A116" t="n">
        <v>114</v>
      </c>
      <c r="B116" t="inlineStr">
        <is>
          <t>Houston Christian</t>
        </is>
      </c>
      <c r="C116" t="inlineStr">
        <is>
          <t>https://www.sports-reference.com/cbb/schools/houston-baptist/men/2026.html</t>
        </is>
      </c>
      <c r="D116" t="inlineStr">
        <is>
          <t>https://www.sports-reference.com/cbb/schools/houston-baptist/men/2026-gamelogs.html</t>
        </is>
      </c>
      <c r="E116">
        <f t="array" ref="E116">_xlfn.TEXTSPLIT(
_xlfn.TEXTSPLIT(Team_Links[[#This Row],[GameLogs]],"https://www.sports-reference.com/cbb/schools/",,TRUE,0,), "/",,TRUE,0)</f>
        <v/>
      </c>
    </row>
    <row r="117">
      <c r="A117" t="n">
        <v>115</v>
      </c>
      <c r="B117" t="inlineStr">
        <is>
          <t>Howard</t>
        </is>
      </c>
      <c r="C117" t="inlineStr">
        <is>
          <t>https://www.sports-reference.com/cbb/schools/howard/men/2026.html</t>
        </is>
      </c>
      <c r="D117" t="inlineStr">
        <is>
          <t>https://www.sports-reference.com/cbb/schools/howard/men/2026-gamelogs.html</t>
        </is>
      </c>
      <c r="E117">
        <f t="array" ref="E117">_xlfn.TEXTSPLIT(
_xlfn.TEXTSPLIT(Team_Links[[#This Row],[GameLogs]],"https://www.sports-reference.com/cbb/schools/",,TRUE,0,), "/",,TRUE,0)</f>
        <v/>
      </c>
    </row>
    <row r="118">
      <c r="A118" t="n">
        <v>116</v>
      </c>
      <c r="B118" t="inlineStr">
        <is>
          <t>Idaho</t>
        </is>
      </c>
      <c r="C118" t="inlineStr">
        <is>
          <t>https://www.sports-reference.com/cbb/schools/idaho/men/2026.html</t>
        </is>
      </c>
      <c r="D118" t="inlineStr">
        <is>
          <t>https://www.sports-reference.com/cbb/schools/idaho/men/2026-gamelogs.html</t>
        </is>
      </c>
      <c r="E118">
        <f t="array" ref="E118">_xlfn.TEXTSPLIT(
_xlfn.TEXTSPLIT(Team_Links[[#This Row],[GameLogs]],"https://www.sports-reference.com/cbb/schools/",,TRUE,0,), "/",,TRUE,0)</f>
        <v/>
      </c>
    </row>
    <row r="119">
      <c r="A119" t="n">
        <v>117</v>
      </c>
      <c r="B119" t="inlineStr">
        <is>
          <t>Idaho State</t>
        </is>
      </c>
      <c r="C119" t="inlineStr">
        <is>
          <t>https://www.sports-reference.com/cbb/schools/idaho-state/men/2026.html</t>
        </is>
      </c>
      <c r="D119" t="inlineStr">
        <is>
          <t>https://www.sports-reference.com/cbb/schools/idaho-state/men/2026-gamelogs.html</t>
        </is>
      </c>
      <c r="E119">
        <f t="array" ref="E119">_xlfn.TEXTSPLIT(
_xlfn.TEXTSPLIT(Team_Links[[#This Row],[GameLogs]],"https://www.sports-reference.com/cbb/schools/",,TRUE,0,), "/",,TRUE,0)</f>
        <v/>
      </c>
    </row>
    <row r="120">
      <c r="A120" t="n">
        <v>118</v>
      </c>
      <c r="B120" t="inlineStr">
        <is>
          <t>Illinois</t>
        </is>
      </c>
      <c r="C120" t="inlineStr">
        <is>
          <t>https://www.sports-reference.com/cbb/schools/illinois/men/2026.html</t>
        </is>
      </c>
      <c r="D120" t="inlineStr">
        <is>
          <t>https://www.sports-reference.com/cbb/schools/illinois/men/2026-gamelogs.html</t>
        </is>
      </c>
      <c r="E120">
        <f t="array" ref="E120">_xlfn.TEXTSPLIT(
_xlfn.TEXTSPLIT(Team_Links[[#This Row],[GameLogs]],"https://www.sports-reference.com/cbb/schools/",,TRUE,0,), "/",,TRUE,0)</f>
        <v/>
      </c>
    </row>
    <row r="121">
      <c r="A121" t="n">
        <v>119</v>
      </c>
      <c r="B121" t="inlineStr">
        <is>
          <t>Illinois State</t>
        </is>
      </c>
      <c r="C121" t="inlineStr">
        <is>
          <t>https://www.sports-reference.com/cbb/schools/illinois-state/men/2026.html</t>
        </is>
      </c>
      <c r="D121" t="inlineStr">
        <is>
          <t>https://www.sports-reference.com/cbb/schools/illinois-state/men/2026-gamelogs.html</t>
        </is>
      </c>
      <c r="E121">
        <f t="array" ref="E121">_xlfn.TEXTSPLIT(
_xlfn.TEXTSPLIT(Team_Links[[#This Row],[GameLogs]],"https://www.sports-reference.com/cbb/schools/",,TRUE,0,), "/",,TRUE,0)</f>
        <v/>
      </c>
    </row>
    <row r="122">
      <c r="A122" t="n">
        <v>120</v>
      </c>
      <c r="B122" t="inlineStr">
        <is>
          <t>Illinois-Chicago</t>
        </is>
      </c>
      <c r="C122" t="inlineStr">
        <is>
          <t>https://www.sports-reference.com/cbb/schools/illinois-chicago/men/2026.html</t>
        </is>
      </c>
      <c r="D122" t="inlineStr">
        <is>
          <t>https://www.sports-reference.com/cbb/schools/illinois-chicago/men/2026-gamelogs.html</t>
        </is>
      </c>
      <c r="E122">
        <f t="array" ref="E122">_xlfn.TEXTSPLIT(
_xlfn.TEXTSPLIT(Team_Links[[#This Row],[GameLogs]],"https://www.sports-reference.com/cbb/schools/",,TRUE,0,), "/",,TRUE,0)</f>
        <v/>
      </c>
    </row>
    <row r="123">
      <c r="A123" t="n">
        <v>121</v>
      </c>
      <c r="B123" t="inlineStr">
        <is>
          <t>Incarnate Word</t>
        </is>
      </c>
      <c r="C123" t="inlineStr">
        <is>
          <t>https://www.sports-reference.com/cbb/schools/incarnate-word/men/2026.html</t>
        </is>
      </c>
      <c r="D123" t="inlineStr">
        <is>
          <t>https://www.sports-reference.com/cbb/schools/incarnate-word/men/2026-gamelogs.html</t>
        </is>
      </c>
      <c r="E123">
        <f t="array" ref="E123">_xlfn.TEXTSPLIT(
_xlfn.TEXTSPLIT(Team_Links[[#This Row],[GameLogs]],"https://www.sports-reference.com/cbb/schools/",,TRUE,0,), "/",,TRUE,0)</f>
        <v/>
      </c>
    </row>
    <row r="124">
      <c r="A124" t="n">
        <v>122</v>
      </c>
      <c r="B124" t="inlineStr">
        <is>
          <t>Indiana</t>
        </is>
      </c>
      <c r="C124" t="inlineStr">
        <is>
          <t>https://www.sports-reference.com/cbb/schools/indiana/men/2026.html</t>
        </is>
      </c>
      <c r="D124" t="inlineStr">
        <is>
          <t>https://www.sports-reference.com/cbb/schools/indiana/men/2026-gamelogs.html</t>
        </is>
      </c>
      <c r="E124">
        <f t="array" ref="E124">_xlfn.TEXTSPLIT(
_xlfn.TEXTSPLIT(Team_Links[[#This Row],[GameLogs]],"https://www.sports-reference.com/cbb/schools/",,TRUE,0,), "/",,TRUE,0)</f>
        <v/>
      </c>
    </row>
    <row r="125">
      <c r="A125" t="n">
        <v>123</v>
      </c>
      <c r="B125" t="inlineStr">
        <is>
          <t>Indiana State</t>
        </is>
      </c>
      <c r="C125" t="inlineStr">
        <is>
          <t>https://www.sports-reference.com/cbb/schools/indiana-state/men/2026.html</t>
        </is>
      </c>
      <c r="D125" t="inlineStr">
        <is>
          <t>https://www.sports-reference.com/cbb/schools/indiana-state/men/2026-gamelogs.html</t>
        </is>
      </c>
      <c r="E125">
        <f t="array" ref="E125">_xlfn.TEXTSPLIT(
_xlfn.TEXTSPLIT(Team_Links[[#This Row],[GameLogs]],"https://www.sports-reference.com/cbb/schools/",,TRUE,0,), "/",,TRUE,0)</f>
        <v/>
      </c>
    </row>
    <row r="126">
      <c r="A126" t="n">
        <v>124</v>
      </c>
      <c r="B126" t="inlineStr">
        <is>
          <t>Iona</t>
        </is>
      </c>
      <c r="C126" t="inlineStr">
        <is>
          <t>https://www.sports-reference.com/cbb/schools/iona/men/2026.html</t>
        </is>
      </c>
      <c r="D126" t="inlineStr">
        <is>
          <t>https://www.sports-reference.com/cbb/schools/iona/men/2026-gamelogs.html</t>
        </is>
      </c>
      <c r="E126">
        <f t="array" ref="E126">_xlfn.TEXTSPLIT(
_xlfn.TEXTSPLIT(Team_Links[[#This Row],[GameLogs]],"https://www.sports-reference.com/cbb/schools/",,TRUE,0,), "/",,TRUE,0)</f>
        <v/>
      </c>
    </row>
    <row r="127">
      <c r="A127" t="n">
        <v>125</v>
      </c>
      <c r="B127" t="inlineStr">
        <is>
          <t>Iowa</t>
        </is>
      </c>
      <c r="C127" t="inlineStr">
        <is>
          <t>https://www.sports-reference.com/cbb/schools/iowa/men/2026.html</t>
        </is>
      </c>
      <c r="D127" t="inlineStr">
        <is>
          <t>https://www.sports-reference.com/cbb/schools/iowa/men/2026-gamelogs.html</t>
        </is>
      </c>
      <c r="E127">
        <f t="array" ref="E127">_xlfn.TEXTSPLIT(
_xlfn.TEXTSPLIT(Team_Links[[#This Row],[GameLogs]],"https://www.sports-reference.com/cbb/schools/",,TRUE,0,), "/",,TRUE,0)</f>
        <v/>
      </c>
    </row>
    <row r="128">
      <c r="A128" t="n">
        <v>126</v>
      </c>
      <c r="B128" t="inlineStr">
        <is>
          <t>Iowa State</t>
        </is>
      </c>
      <c r="C128" t="inlineStr">
        <is>
          <t>https://www.sports-reference.com/cbb/schools/iowa-state/men/2026.html</t>
        </is>
      </c>
      <c r="D128" t="inlineStr">
        <is>
          <t>https://www.sports-reference.com/cbb/schools/iowa-state/men/2026-gamelogs.html</t>
        </is>
      </c>
      <c r="E128">
        <f t="array" ref="E128">_xlfn.TEXTSPLIT(
_xlfn.TEXTSPLIT(Team_Links[[#This Row],[GameLogs]],"https://www.sports-reference.com/cbb/schools/",,TRUE,0,), "/",,TRUE,0)</f>
        <v/>
      </c>
    </row>
    <row r="129">
      <c r="A129" t="n">
        <v>127</v>
      </c>
      <c r="B129" t="inlineStr">
        <is>
          <t>IU Indy</t>
        </is>
      </c>
      <c r="C129" t="inlineStr">
        <is>
          <t>https://www.sports-reference.com/cbb/schools/iupui/men/2026.html</t>
        </is>
      </c>
      <c r="D129" t="inlineStr">
        <is>
          <t>https://www.sports-reference.com/cbb/schools/iupui/men/2026-gamelogs.html</t>
        </is>
      </c>
      <c r="E129">
        <f t="array" ref="E129">_xlfn.TEXTSPLIT(
_xlfn.TEXTSPLIT(Team_Links[[#This Row],[GameLogs]],"https://www.sports-reference.com/cbb/schools/",,TRUE,0,), "/",,TRUE,0)</f>
        <v/>
      </c>
    </row>
    <row r="130">
      <c r="A130" t="n">
        <v>128</v>
      </c>
      <c r="B130" t="inlineStr">
        <is>
          <t>Jackson State</t>
        </is>
      </c>
      <c r="C130" t="inlineStr">
        <is>
          <t>https://www.sports-reference.com/cbb/schools/jackson-state/men/2026.html</t>
        </is>
      </c>
      <c r="D130" t="inlineStr">
        <is>
          <t>https://www.sports-reference.com/cbb/schools/jackson-state/men/2026-gamelogs.html</t>
        </is>
      </c>
      <c r="E130">
        <f t="array" ref="E130">_xlfn.TEXTSPLIT(
_xlfn.TEXTSPLIT(Team_Links[[#This Row],[GameLogs]],"https://www.sports-reference.com/cbb/schools/",,TRUE,0,), "/",,TRUE,0)</f>
        <v/>
      </c>
    </row>
    <row r="131">
      <c r="A131" t="n">
        <v>129</v>
      </c>
      <c r="B131" t="inlineStr">
        <is>
          <t>Jacksonville</t>
        </is>
      </c>
      <c r="C131" t="inlineStr">
        <is>
          <t>https://www.sports-reference.com/cbb/schools/jacksonville/men/2026.html</t>
        </is>
      </c>
      <c r="D131" t="inlineStr">
        <is>
          <t>https://www.sports-reference.com/cbb/schools/jacksonville/men/2026-gamelogs.html</t>
        </is>
      </c>
      <c r="E131">
        <f t="array" ref="E131">_xlfn.TEXTSPLIT(
_xlfn.TEXTSPLIT(Team_Links[[#This Row],[GameLogs]],"https://www.sports-reference.com/cbb/schools/",,TRUE,0,), "/",,TRUE,0)</f>
        <v/>
      </c>
    </row>
    <row r="132">
      <c r="A132" t="n">
        <v>130</v>
      </c>
      <c r="B132" t="inlineStr">
        <is>
          <t>Jacksonville State</t>
        </is>
      </c>
      <c r="C132" t="inlineStr">
        <is>
          <t>https://www.sports-reference.com/cbb/schools/jacksonville-state/men/2026.html</t>
        </is>
      </c>
      <c r="D132" t="inlineStr">
        <is>
          <t>https://www.sports-reference.com/cbb/schools/jacksonville-state/men/2026-gamelogs.html</t>
        </is>
      </c>
      <c r="E132">
        <f t="array" ref="E132">_xlfn.TEXTSPLIT(
_xlfn.TEXTSPLIT(Team_Links[[#This Row],[GameLogs]],"https://www.sports-reference.com/cbb/schools/",,TRUE,0,), "/",,TRUE,0)</f>
        <v/>
      </c>
    </row>
    <row r="133">
      <c r="A133" t="n">
        <v>131</v>
      </c>
      <c r="B133" t="inlineStr">
        <is>
          <t>James Madison</t>
        </is>
      </c>
      <c r="C133" t="inlineStr">
        <is>
          <t>https://www.sports-reference.com/cbb/schools/james-madison/men/2026.html</t>
        </is>
      </c>
      <c r="D133" t="inlineStr">
        <is>
          <t>https://www.sports-reference.com/cbb/schools/james-madison/men/2026-gamelogs.html</t>
        </is>
      </c>
      <c r="E133">
        <f t="array" ref="E133">_xlfn.TEXTSPLIT(
_xlfn.TEXTSPLIT(Team_Links[[#This Row],[GameLogs]],"https://www.sports-reference.com/cbb/schools/",,TRUE,0,), "/",,TRUE,0)</f>
        <v/>
      </c>
    </row>
    <row r="134">
      <c r="A134" t="n">
        <v>132</v>
      </c>
      <c r="B134" t="inlineStr">
        <is>
          <t>Kansas</t>
        </is>
      </c>
      <c r="C134" t="inlineStr">
        <is>
          <t>https://www.sports-reference.com/cbb/schools/kansas/men/2026.html</t>
        </is>
      </c>
      <c r="D134" t="inlineStr">
        <is>
          <t>https://www.sports-reference.com/cbb/schools/kansas/men/2026-gamelogs.html</t>
        </is>
      </c>
      <c r="E134">
        <f t="array" ref="E134">_xlfn.TEXTSPLIT(
_xlfn.TEXTSPLIT(Team_Links[[#This Row],[GameLogs]],"https://www.sports-reference.com/cbb/schools/",,TRUE,0,), "/",,TRUE,0)</f>
        <v/>
      </c>
    </row>
    <row r="135">
      <c r="A135" t="n">
        <v>133</v>
      </c>
      <c r="B135" t="inlineStr">
        <is>
          <t>Kansas City</t>
        </is>
      </c>
      <c r="C135" t="inlineStr">
        <is>
          <t>https://www.sports-reference.com/cbb/schools/missouri-kansas-city/men/2026.html</t>
        </is>
      </c>
      <c r="D135" t="inlineStr">
        <is>
          <t>https://www.sports-reference.com/cbb/schools/missouri-kansas-city/men/2026-gamelogs.html</t>
        </is>
      </c>
      <c r="E135">
        <f t="array" ref="E135">_xlfn.TEXTSPLIT(
_xlfn.TEXTSPLIT(Team_Links[[#This Row],[GameLogs]],"https://www.sports-reference.com/cbb/schools/",,TRUE,0,), "/",,TRUE,0)</f>
        <v/>
      </c>
    </row>
    <row r="136">
      <c r="A136" t="n">
        <v>134</v>
      </c>
      <c r="B136" t="inlineStr">
        <is>
          <t>Kansas State</t>
        </is>
      </c>
      <c r="C136" t="inlineStr">
        <is>
          <t>https://www.sports-reference.com/cbb/schools/kansas-state/men/2026.html</t>
        </is>
      </c>
      <c r="D136" t="inlineStr">
        <is>
          <t>https://www.sports-reference.com/cbb/schools/kansas-state/men/2026-gamelogs.html</t>
        </is>
      </c>
      <c r="E136">
        <f t="array" ref="E136">_xlfn.TEXTSPLIT(
_xlfn.TEXTSPLIT(Team_Links[[#This Row],[GameLogs]],"https://www.sports-reference.com/cbb/schools/",,TRUE,0,), "/",,TRUE,0)</f>
        <v/>
      </c>
    </row>
    <row r="137">
      <c r="A137" t="n">
        <v>135</v>
      </c>
      <c r="B137" t="inlineStr">
        <is>
          <t>Kennesaw State</t>
        </is>
      </c>
      <c r="C137" t="inlineStr">
        <is>
          <t>https://www.sports-reference.com/cbb/schools/kennesaw-state/men/2026.html</t>
        </is>
      </c>
      <c r="D137" t="inlineStr">
        <is>
          <t>https://www.sports-reference.com/cbb/schools/kennesaw-state/men/2026-gamelogs.html</t>
        </is>
      </c>
      <c r="E137">
        <f t="array" ref="E137">_xlfn.TEXTSPLIT(
_xlfn.TEXTSPLIT(Team_Links[[#This Row],[GameLogs]],"https://www.sports-reference.com/cbb/schools/",,TRUE,0,), "/",,TRUE,0)</f>
        <v/>
      </c>
    </row>
    <row r="138">
      <c r="A138" t="n">
        <v>136</v>
      </c>
      <c r="B138" t="inlineStr">
        <is>
          <t>Kent State</t>
        </is>
      </c>
      <c r="C138" t="inlineStr">
        <is>
          <t>https://www.sports-reference.com/cbb/schools/kent-state/men/2026.html</t>
        </is>
      </c>
      <c r="D138" t="inlineStr">
        <is>
          <t>https://www.sports-reference.com/cbb/schools/kent-state/men/2026-gamelogs.html</t>
        </is>
      </c>
      <c r="E138">
        <f t="array" ref="E138">_xlfn.TEXTSPLIT(
_xlfn.TEXTSPLIT(Team_Links[[#This Row],[GameLogs]],"https://www.sports-reference.com/cbb/schools/",,TRUE,0,), "/",,TRUE,0)</f>
        <v/>
      </c>
    </row>
    <row r="139">
      <c r="A139" t="n">
        <v>137</v>
      </c>
      <c r="B139" t="inlineStr">
        <is>
          <t>Kentucky</t>
        </is>
      </c>
      <c r="C139" t="inlineStr">
        <is>
          <t>https://www.sports-reference.com/cbb/schools/kentucky/men/2026.html</t>
        </is>
      </c>
      <c r="D139" t="inlineStr">
        <is>
          <t>https://www.sports-reference.com/cbb/schools/kentucky/men/2026-gamelogs.html</t>
        </is>
      </c>
      <c r="E139">
        <f t="array" ref="E139">_xlfn.TEXTSPLIT(
_xlfn.TEXTSPLIT(Team_Links[[#This Row],[GameLogs]],"https://www.sports-reference.com/cbb/schools/",,TRUE,0,), "/",,TRUE,0)</f>
        <v/>
      </c>
    </row>
    <row r="140">
      <c r="A140" t="n">
        <v>138</v>
      </c>
      <c r="B140" t="inlineStr">
        <is>
          <t>La Salle</t>
        </is>
      </c>
      <c r="C140" t="inlineStr">
        <is>
          <t>https://www.sports-reference.com/cbb/schools/la-salle/men/2026.html</t>
        </is>
      </c>
      <c r="D140" t="inlineStr">
        <is>
          <t>https://www.sports-reference.com/cbb/schools/la-salle/men/2026-gamelogs.html</t>
        </is>
      </c>
      <c r="E140">
        <f t="array" ref="E140">_xlfn.TEXTSPLIT(
_xlfn.TEXTSPLIT(Team_Links[[#This Row],[GameLogs]],"https://www.sports-reference.com/cbb/schools/",,TRUE,0,), "/",,TRUE,0)</f>
        <v/>
      </c>
    </row>
    <row r="141">
      <c r="A141" t="n">
        <v>139</v>
      </c>
      <c r="B141" t="inlineStr">
        <is>
          <t>Lafayette</t>
        </is>
      </c>
      <c r="C141" t="inlineStr">
        <is>
          <t>https://www.sports-reference.com/cbb/schools/lafayette/men/2026.html</t>
        </is>
      </c>
      <c r="D141" t="inlineStr">
        <is>
          <t>https://www.sports-reference.com/cbb/schools/lafayette/men/2026-gamelogs.html</t>
        </is>
      </c>
      <c r="E141">
        <f t="array" ref="E141">_xlfn.TEXTSPLIT(
_xlfn.TEXTSPLIT(Team_Links[[#This Row],[GameLogs]],"https://www.sports-reference.com/cbb/schools/",,TRUE,0,), "/",,TRUE,0)</f>
        <v/>
      </c>
    </row>
    <row r="142">
      <c r="A142" t="n">
        <v>140</v>
      </c>
      <c r="B142" t="inlineStr">
        <is>
          <t>Lamar</t>
        </is>
      </c>
      <c r="C142" t="inlineStr">
        <is>
          <t>https://www.sports-reference.com/cbb/schools/lamar/men/2026.html</t>
        </is>
      </c>
      <c r="D142" t="inlineStr">
        <is>
          <t>https://www.sports-reference.com/cbb/schools/lamar/men/2026-gamelogs.html</t>
        </is>
      </c>
      <c r="E142">
        <f t="array" ref="E142">_xlfn.TEXTSPLIT(
_xlfn.TEXTSPLIT(Team_Links[[#This Row],[GameLogs]],"https://www.sports-reference.com/cbb/schools/",,TRUE,0,), "/",,TRUE,0)</f>
        <v/>
      </c>
    </row>
    <row r="143">
      <c r="A143" t="n">
        <v>141</v>
      </c>
      <c r="B143" t="inlineStr">
        <is>
          <t>Le Moyne</t>
        </is>
      </c>
      <c r="C143" t="inlineStr">
        <is>
          <t>https://www.sports-reference.com/cbb/schools/le-moyne/men/2026.html</t>
        </is>
      </c>
      <c r="D143" t="inlineStr">
        <is>
          <t>https://www.sports-reference.com/cbb/schools/le-moyne/men/2026-gamelogs.html</t>
        </is>
      </c>
      <c r="E143">
        <f t="array" ref="E143">_xlfn.TEXTSPLIT(
_xlfn.TEXTSPLIT(Team_Links[[#This Row],[GameLogs]],"https://www.sports-reference.com/cbb/schools/",,TRUE,0,), "/",,TRUE,0)</f>
        <v/>
      </c>
    </row>
    <row r="144">
      <c r="A144" t="n">
        <v>142</v>
      </c>
      <c r="B144" t="inlineStr">
        <is>
          <t>Lehigh</t>
        </is>
      </c>
      <c r="C144" t="inlineStr">
        <is>
          <t>https://www.sports-reference.com/cbb/schools/lehigh/men/2026.html</t>
        </is>
      </c>
      <c r="D144" t="inlineStr">
        <is>
          <t>https://www.sports-reference.com/cbb/schools/lehigh/men/2026-gamelogs.html</t>
        </is>
      </c>
      <c r="E144">
        <f t="array" ref="E144">_xlfn.TEXTSPLIT(
_xlfn.TEXTSPLIT(Team_Links[[#This Row],[GameLogs]],"https://www.sports-reference.com/cbb/schools/",,TRUE,0,), "/",,TRUE,0)</f>
        <v/>
      </c>
    </row>
    <row r="145">
      <c r="A145" t="n">
        <v>143</v>
      </c>
      <c r="B145" t="inlineStr">
        <is>
          <t>Liberty</t>
        </is>
      </c>
      <c r="C145" t="inlineStr">
        <is>
          <t>https://www.sports-reference.com/cbb/schools/liberty/men/2026.html</t>
        </is>
      </c>
      <c r="D145" t="inlineStr">
        <is>
          <t>https://www.sports-reference.com/cbb/schools/liberty/men/2026-gamelogs.html</t>
        </is>
      </c>
      <c r="E145">
        <f t="array" ref="E145">_xlfn.TEXTSPLIT(
_xlfn.TEXTSPLIT(Team_Links[[#This Row],[GameLogs]],"https://www.sports-reference.com/cbb/schools/",,TRUE,0,), "/",,TRUE,0)</f>
        <v/>
      </c>
    </row>
    <row r="146">
      <c r="A146" t="n">
        <v>144</v>
      </c>
      <c r="B146" t="inlineStr">
        <is>
          <t>Lindenwood</t>
        </is>
      </c>
      <c r="C146" t="inlineStr">
        <is>
          <t>https://www.sports-reference.com/cbb/schools/lindenwood/men/2026.html</t>
        </is>
      </c>
      <c r="D146" t="inlineStr">
        <is>
          <t>https://www.sports-reference.com/cbb/schools/lindenwood/men/2026-gamelogs.html</t>
        </is>
      </c>
      <c r="E146">
        <f t="array" ref="E146">_xlfn.TEXTSPLIT(
_xlfn.TEXTSPLIT(Team_Links[[#This Row],[GameLogs]],"https://www.sports-reference.com/cbb/schools/",,TRUE,0,), "/",,TRUE,0)</f>
        <v/>
      </c>
    </row>
    <row r="147">
      <c r="A147" t="n">
        <v>145</v>
      </c>
      <c r="B147" t="inlineStr">
        <is>
          <t>Lipscomb</t>
        </is>
      </c>
      <c r="C147" t="inlineStr">
        <is>
          <t>https://www.sports-reference.com/cbb/schools/lipscomb/men/2026.html</t>
        </is>
      </c>
      <c r="D147" t="inlineStr">
        <is>
          <t>https://www.sports-reference.com/cbb/schools/lipscomb/men/2026-gamelogs.html</t>
        </is>
      </c>
      <c r="E147">
        <f t="array" ref="E147">_xlfn.TEXTSPLIT(
_xlfn.TEXTSPLIT(Team_Links[[#This Row],[GameLogs]],"https://www.sports-reference.com/cbb/schools/",,TRUE,0,), "/",,TRUE,0)</f>
        <v/>
      </c>
    </row>
    <row r="148">
      <c r="A148" t="n">
        <v>146</v>
      </c>
      <c r="B148" t="inlineStr">
        <is>
          <t>Little Rock</t>
        </is>
      </c>
      <c r="C148" t="inlineStr">
        <is>
          <t>https://www.sports-reference.com/cbb/schools/arkansas-little-rock/men/2026.html</t>
        </is>
      </c>
      <c r="D148" t="inlineStr">
        <is>
          <t>https://www.sports-reference.com/cbb/schools/arkansas-little-rock/men/2026-gamelogs.html</t>
        </is>
      </c>
      <c r="E148">
        <f t="array" ref="E148">_xlfn.TEXTSPLIT(
_xlfn.TEXTSPLIT(Team_Links[[#This Row],[GameLogs]],"https://www.sports-reference.com/cbb/schools/",,TRUE,0,), "/",,TRUE,0)</f>
        <v/>
      </c>
    </row>
    <row r="149">
      <c r="A149" t="n">
        <v>147</v>
      </c>
      <c r="B149" t="inlineStr">
        <is>
          <t>Long Beach State</t>
        </is>
      </c>
      <c r="C149" t="inlineStr">
        <is>
          <t>https://www.sports-reference.com/cbb/schools/long-beach-state/men/2026.html</t>
        </is>
      </c>
      <c r="D149" t="inlineStr">
        <is>
          <t>https://www.sports-reference.com/cbb/schools/long-beach-state/men/2026-gamelogs.html</t>
        </is>
      </c>
      <c r="E149">
        <f t="array" ref="E149">_xlfn.TEXTSPLIT(
_xlfn.TEXTSPLIT(Team_Links[[#This Row],[GameLogs]],"https://www.sports-reference.com/cbb/schools/",,TRUE,0,), "/",,TRUE,0)</f>
        <v/>
      </c>
    </row>
    <row r="150">
      <c r="A150" t="n">
        <v>148</v>
      </c>
      <c r="B150" t="inlineStr">
        <is>
          <t>Long Island University</t>
        </is>
      </c>
      <c r="C150" t="inlineStr">
        <is>
          <t>https://www.sports-reference.com/cbb/schools/long-island-university/men/2026.html</t>
        </is>
      </c>
      <c r="D150" t="inlineStr">
        <is>
          <t>https://www.sports-reference.com/cbb/schools/long-island-university/men/2026-gamelogs.html</t>
        </is>
      </c>
      <c r="E150">
        <f t="array" ref="E150">_xlfn.TEXTSPLIT(
_xlfn.TEXTSPLIT(Team_Links[[#This Row],[GameLogs]],"https://www.sports-reference.com/cbb/schools/",,TRUE,0,), "/",,TRUE,0)</f>
        <v/>
      </c>
    </row>
    <row r="151">
      <c r="A151" t="n">
        <v>149</v>
      </c>
      <c r="B151" t="inlineStr">
        <is>
          <t>Longwood</t>
        </is>
      </c>
      <c r="C151" t="inlineStr">
        <is>
          <t>https://www.sports-reference.com/cbb/schools/longwood/men/2026.html</t>
        </is>
      </c>
      <c r="D151" t="inlineStr">
        <is>
          <t>https://www.sports-reference.com/cbb/schools/longwood/men/2026-gamelogs.html</t>
        </is>
      </c>
      <c r="E151">
        <f t="array" ref="E151">_xlfn.TEXTSPLIT(
_xlfn.TEXTSPLIT(Team_Links[[#This Row],[GameLogs]],"https://www.sports-reference.com/cbb/schools/",,TRUE,0,), "/",,TRUE,0)</f>
        <v/>
      </c>
    </row>
    <row r="152">
      <c r="A152" t="n">
        <v>150</v>
      </c>
      <c r="B152" t="inlineStr">
        <is>
          <t>Louisiana</t>
        </is>
      </c>
      <c r="C152" t="inlineStr">
        <is>
          <t>https://www.sports-reference.com/cbb/schools/louisiana-lafayette/men/2026.html</t>
        </is>
      </c>
      <c r="D152" t="inlineStr">
        <is>
          <t>https://www.sports-reference.com/cbb/schools/louisiana-lafayette/men/2026-gamelogs.html</t>
        </is>
      </c>
      <c r="E152">
        <f t="array" ref="E152">_xlfn.TEXTSPLIT(
_xlfn.TEXTSPLIT(Team_Links[[#This Row],[GameLogs]],"https://www.sports-reference.com/cbb/schools/",,TRUE,0,), "/",,TRUE,0)</f>
        <v/>
      </c>
    </row>
    <row r="153">
      <c r="A153" t="n">
        <v>151</v>
      </c>
      <c r="B153" t="inlineStr">
        <is>
          <t>Louisiana State</t>
        </is>
      </c>
      <c r="C153" t="inlineStr">
        <is>
          <t>https://www.sports-reference.com/cbb/schools/louisiana-state/men/2026.html</t>
        </is>
      </c>
      <c r="D153" t="inlineStr">
        <is>
          <t>https://www.sports-reference.com/cbb/schools/louisiana-state/men/2026-gamelogs.html</t>
        </is>
      </c>
      <c r="E153">
        <f t="array" ref="E153">_xlfn.TEXTSPLIT(
_xlfn.TEXTSPLIT(Team_Links[[#This Row],[GameLogs]],"https://www.sports-reference.com/cbb/schools/",,TRUE,0,), "/",,TRUE,0)</f>
        <v/>
      </c>
    </row>
    <row r="154">
      <c r="A154" t="n">
        <v>152</v>
      </c>
      <c r="B154" t="inlineStr">
        <is>
          <t>Louisiana Tech</t>
        </is>
      </c>
      <c r="C154" t="inlineStr">
        <is>
          <t>https://www.sports-reference.com/cbb/schools/louisiana-tech/men/2026.html</t>
        </is>
      </c>
      <c r="D154" t="inlineStr">
        <is>
          <t>https://www.sports-reference.com/cbb/schools/louisiana-tech/men/2026-gamelogs.html</t>
        </is>
      </c>
      <c r="E154">
        <f t="array" ref="E154">_xlfn.TEXTSPLIT(
_xlfn.TEXTSPLIT(Team_Links[[#This Row],[GameLogs]],"https://www.sports-reference.com/cbb/schools/",,TRUE,0,), "/",,TRUE,0)</f>
        <v/>
      </c>
    </row>
    <row r="155">
      <c r="A155" t="n">
        <v>153</v>
      </c>
      <c r="B155" t="inlineStr">
        <is>
          <t>Louisiana-Monroe</t>
        </is>
      </c>
      <c r="C155" t="inlineStr">
        <is>
          <t>https://www.sports-reference.com/cbb/schools/louisiana-monroe/men/2026.html</t>
        </is>
      </c>
      <c r="D155" t="inlineStr">
        <is>
          <t>https://www.sports-reference.com/cbb/schools/louisiana-monroe/men/2026-gamelogs.html</t>
        </is>
      </c>
      <c r="E155">
        <f t="array" ref="E155">_xlfn.TEXTSPLIT(
_xlfn.TEXTSPLIT(Team_Links[[#This Row],[GameLogs]],"https://www.sports-reference.com/cbb/schools/",,TRUE,0,), "/",,TRUE,0)</f>
        <v/>
      </c>
    </row>
    <row r="156">
      <c r="A156" t="n">
        <v>154</v>
      </c>
      <c r="B156" t="inlineStr">
        <is>
          <t>Louisville</t>
        </is>
      </c>
      <c r="C156" t="inlineStr">
        <is>
          <t>https://www.sports-reference.com/cbb/schools/louisville/men/2026.html</t>
        </is>
      </c>
      <c r="D156" t="inlineStr">
        <is>
          <t>https://www.sports-reference.com/cbb/schools/louisville/men/2026-gamelogs.html</t>
        </is>
      </c>
      <c r="E156">
        <f t="array" ref="E156">_xlfn.TEXTSPLIT(
_xlfn.TEXTSPLIT(Team_Links[[#This Row],[GameLogs]],"https://www.sports-reference.com/cbb/schools/",,TRUE,0,), "/",,TRUE,0)</f>
        <v/>
      </c>
    </row>
    <row r="157">
      <c r="A157" t="n">
        <v>155</v>
      </c>
      <c r="B157" t="inlineStr">
        <is>
          <t>Loyola (IL)</t>
        </is>
      </c>
      <c r="C157" t="inlineStr">
        <is>
          <t>https://www.sports-reference.com/cbb/schools/loyola-il/men/2026.html</t>
        </is>
      </c>
      <c r="D157" t="inlineStr">
        <is>
          <t>https://www.sports-reference.com/cbb/schools/loyola-il/men/2026-gamelogs.html</t>
        </is>
      </c>
      <c r="E157">
        <f t="array" ref="E157">_xlfn.TEXTSPLIT(
_xlfn.TEXTSPLIT(Team_Links[[#This Row],[GameLogs]],"https://www.sports-reference.com/cbb/schools/",,TRUE,0,), "/",,TRUE,0)</f>
        <v/>
      </c>
    </row>
    <row r="158">
      <c r="A158" t="n">
        <v>156</v>
      </c>
      <c r="B158" t="inlineStr">
        <is>
          <t>Loyola (MD)</t>
        </is>
      </c>
      <c r="C158" t="inlineStr">
        <is>
          <t>https://www.sports-reference.com/cbb/schools/loyola-md/men/2026.html</t>
        </is>
      </c>
      <c r="D158" t="inlineStr">
        <is>
          <t>https://www.sports-reference.com/cbb/schools/loyola-md/men/2026-gamelogs.html</t>
        </is>
      </c>
      <c r="E158">
        <f t="array" ref="E158">_xlfn.TEXTSPLIT(
_xlfn.TEXTSPLIT(Team_Links[[#This Row],[GameLogs]],"https://www.sports-reference.com/cbb/schools/",,TRUE,0,), "/",,TRUE,0)</f>
        <v/>
      </c>
    </row>
    <row r="159">
      <c r="A159" t="n">
        <v>157</v>
      </c>
      <c r="B159" t="inlineStr">
        <is>
          <t>Loyola Marymount</t>
        </is>
      </c>
      <c r="C159" t="inlineStr">
        <is>
          <t>https://www.sports-reference.com/cbb/schools/loyola-marymount/men/2026.html</t>
        </is>
      </c>
      <c r="D159" t="inlineStr">
        <is>
          <t>https://www.sports-reference.com/cbb/schools/loyola-marymount/men/2026-gamelogs.html</t>
        </is>
      </c>
      <c r="E159">
        <f t="array" ref="E159">_xlfn.TEXTSPLIT(
_xlfn.TEXTSPLIT(Team_Links[[#This Row],[GameLogs]],"https://www.sports-reference.com/cbb/schools/",,TRUE,0,), "/",,TRUE,0)</f>
        <v/>
      </c>
    </row>
    <row r="160">
      <c r="A160" t="n">
        <v>158</v>
      </c>
      <c r="B160" t="inlineStr">
        <is>
          <t>Maine</t>
        </is>
      </c>
      <c r="C160" t="inlineStr">
        <is>
          <t>https://www.sports-reference.com/cbb/schools/maine/men/2026.html</t>
        </is>
      </c>
      <c r="D160" t="inlineStr">
        <is>
          <t>https://www.sports-reference.com/cbb/schools/maine/men/2026-gamelogs.html</t>
        </is>
      </c>
      <c r="E160">
        <f t="array" ref="E160">_xlfn.TEXTSPLIT(
_xlfn.TEXTSPLIT(Team_Links[[#This Row],[GameLogs]],"https://www.sports-reference.com/cbb/schools/",,TRUE,0,), "/",,TRUE,0)</f>
        <v/>
      </c>
    </row>
    <row r="161">
      <c r="A161" t="n">
        <v>159</v>
      </c>
      <c r="B161" t="inlineStr">
        <is>
          <t>Manhattan</t>
        </is>
      </c>
      <c r="C161" t="inlineStr">
        <is>
          <t>https://www.sports-reference.com/cbb/schools/manhattan/men/2026.html</t>
        </is>
      </c>
      <c r="D161" t="inlineStr">
        <is>
          <t>https://www.sports-reference.com/cbb/schools/manhattan/men/2026-gamelogs.html</t>
        </is>
      </c>
      <c r="E161">
        <f t="array" ref="E161">_xlfn.TEXTSPLIT(
_xlfn.TEXTSPLIT(Team_Links[[#This Row],[GameLogs]],"https://www.sports-reference.com/cbb/schools/",,TRUE,0,), "/",,TRUE,0)</f>
        <v/>
      </c>
    </row>
    <row r="162">
      <c r="A162" t="n">
        <v>160</v>
      </c>
      <c r="B162" t="inlineStr">
        <is>
          <t>Marist</t>
        </is>
      </c>
      <c r="C162" t="inlineStr">
        <is>
          <t>https://www.sports-reference.com/cbb/schools/marist/men/2026.html</t>
        </is>
      </c>
      <c r="D162" t="inlineStr">
        <is>
          <t>https://www.sports-reference.com/cbb/schools/marist/men/2026-gamelogs.html</t>
        </is>
      </c>
      <c r="E162">
        <f t="array" ref="E162">_xlfn.TEXTSPLIT(
_xlfn.TEXTSPLIT(Team_Links[[#This Row],[GameLogs]],"https://www.sports-reference.com/cbb/schools/",,TRUE,0,), "/",,TRUE,0)</f>
        <v/>
      </c>
    </row>
    <row r="163">
      <c r="A163" t="n">
        <v>161</v>
      </c>
      <c r="B163" t="inlineStr">
        <is>
          <t>Marquette</t>
        </is>
      </c>
      <c r="C163" t="inlineStr">
        <is>
          <t>https://www.sports-reference.com/cbb/schools/marquette/men/2026.html</t>
        </is>
      </c>
      <c r="D163" t="inlineStr">
        <is>
          <t>https://www.sports-reference.com/cbb/schools/marquette/men/2026-gamelogs.html</t>
        </is>
      </c>
      <c r="E163">
        <f t="array" ref="E163">_xlfn.TEXTSPLIT(
_xlfn.TEXTSPLIT(Team_Links[[#This Row],[GameLogs]],"https://www.sports-reference.com/cbb/schools/",,TRUE,0,), "/",,TRUE,0)</f>
        <v/>
      </c>
    </row>
    <row r="164">
      <c r="A164" t="n">
        <v>162</v>
      </c>
      <c r="B164" t="inlineStr">
        <is>
          <t>Marshall</t>
        </is>
      </c>
      <c r="C164" t="inlineStr">
        <is>
          <t>https://www.sports-reference.com/cbb/schools/marshall/men/2026.html</t>
        </is>
      </c>
      <c r="D164" t="inlineStr">
        <is>
          <t>https://www.sports-reference.com/cbb/schools/marshall/men/2026-gamelogs.html</t>
        </is>
      </c>
      <c r="E164">
        <f t="array" ref="E164">_xlfn.TEXTSPLIT(
_xlfn.TEXTSPLIT(Team_Links[[#This Row],[GameLogs]],"https://www.sports-reference.com/cbb/schools/",,TRUE,0,), "/",,TRUE,0)</f>
        <v/>
      </c>
    </row>
    <row r="165">
      <c r="A165" t="n">
        <v>163</v>
      </c>
      <c r="B165" t="inlineStr">
        <is>
          <t>Maryland</t>
        </is>
      </c>
      <c r="C165" t="inlineStr">
        <is>
          <t>https://www.sports-reference.com/cbb/schools/maryland/men/2026.html</t>
        </is>
      </c>
      <c r="D165" t="inlineStr">
        <is>
          <t>https://www.sports-reference.com/cbb/schools/maryland/men/2026-gamelogs.html</t>
        </is>
      </c>
      <c r="E165">
        <f t="array" ref="E165">_xlfn.TEXTSPLIT(
_xlfn.TEXTSPLIT(Team_Links[[#This Row],[GameLogs]],"https://www.sports-reference.com/cbb/schools/",,TRUE,0,), "/",,TRUE,0)</f>
        <v/>
      </c>
    </row>
    <row r="166">
      <c r="A166" t="n">
        <v>164</v>
      </c>
      <c r="B166" t="inlineStr">
        <is>
          <t>Maryland-Baltimore County</t>
        </is>
      </c>
      <c r="C166" t="inlineStr">
        <is>
          <t>https://www.sports-reference.com/cbb/schools/maryland-baltimore-county/men/2026.html</t>
        </is>
      </c>
      <c r="D166" t="inlineStr">
        <is>
          <t>https://www.sports-reference.com/cbb/schools/maryland-baltimore-county/men/2026-gamelogs.html</t>
        </is>
      </c>
      <c r="E166">
        <f t="array" ref="E166">_xlfn.TEXTSPLIT(
_xlfn.TEXTSPLIT(Team_Links[[#This Row],[GameLogs]],"https://www.sports-reference.com/cbb/schools/",,TRUE,0,), "/",,TRUE,0)</f>
        <v/>
      </c>
    </row>
    <row r="167">
      <c r="A167" t="n">
        <v>165</v>
      </c>
      <c r="B167" t="inlineStr">
        <is>
          <t>Maryland-Eastern Shore</t>
        </is>
      </c>
      <c r="C167" t="inlineStr">
        <is>
          <t>https://www.sports-reference.com/cbb/schools/maryland-eastern-shore/men/2026.html</t>
        </is>
      </c>
      <c r="D167" t="inlineStr">
        <is>
          <t>https://www.sports-reference.com/cbb/schools/maryland-eastern-shore/men/2026-gamelogs.html</t>
        </is>
      </c>
      <c r="E167">
        <f t="array" ref="E167">_xlfn.TEXTSPLIT(
_xlfn.TEXTSPLIT(Team_Links[[#This Row],[GameLogs]],"https://www.sports-reference.com/cbb/schools/",,TRUE,0,), "/",,TRUE,0)</f>
        <v/>
      </c>
    </row>
    <row r="168">
      <c r="A168" t="n">
        <v>166</v>
      </c>
      <c r="B168" t="inlineStr">
        <is>
          <t>Massachusetts</t>
        </is>
      </c>
      <c r="C168" t="inlineStr">
        <is>
          <t>https://www.sports-reference.com/cbb/schools/massachusetts/men/2026.html</t>
        </is>
      </c>
      <c r="D168" t="inlineStr">
        <is>
          <t>https://www.sports-reference.com/cbb/schools/massachusetts/men/2026-gamelogs.html</t>
        </is>
      </c>
      <c r="E168">
        <f t="array" ref="E168">_xlfn.TEXTSPLIT(
_xlfn.TEXTSPLIT(Team_Links[[#This Row],[GameLogs]],"https://www.sports-reference.com/cbb/schools/",,TRUE,0,), "/",,TRUE,0)</f>
        <v/>
      </c>
    </row>
    <row r="169">
      <c r="A169" t="n">
        <v>167</v>
      </c>
      <c r="B169" t="inlineStr">
        <is>
          <t>Massachusetts-Lowell</t>
        </is>
      </c>
      <c r="C169" t="inlineStr">
        <is>
          <t>https://www.sports-reference.com/cbb/schools/massachusetts-lowell/men/2026.html</t>
        </is>
      </c>
      <c r="D169" t="inlineStr">
        <is>
          <t>https://www.sports-reference.com/cbb/schools/massachusetts-lowell/men/2026-gamelogs.html</t>
        </is>
      </c>
      <c r="E169">
        <f t="array" ref="E169">_xlfn.TEXTSPLIT(
_xlfn.TEXTSPLIT(Team_Links[[#This Row],[GameLogs]],"https://www.sports-reference.com/cbb/schools/",,TRUE,0,), "/",,TRUE,0)</f>
        <v/>
      </c>
    </row>
    <row r="170">
      <c r="A170" t="n">
        <v>168</v>
      </c>
      <c r="B170" t="inlineStr">
        <is>
          <t>McNeese State</t>
        </is>
      </c>
      <c r="C170" t="inlineStr">
        <is>
          <t>https://www.sports-reference.com/cbb/schools/mcneese-state/men/2026.html</t>
        </is>
      </c>
      <c r="D170" t="inlineStr">
        <is>
          <t>https://www.sports-reference.com/cbb/schools/mcneese-state/men/2026-gamelogs.html</t>
        </is>
      </c>
      <c r="E170">
        <f t="array" ref="E170">_xlfn.TEXTSPLIT(
_xlfn.TEXTSPLIT(Team_Links[[#This Row],[GameLogs]],"https://www.sports-reference.com/cbb/schools/",,TRUE,0,), "/",,TRUE,0)</f>
        <v/>
      </c>
    </row>
    <row r="171">
      <c r="A171" t="n">
        <v>169</v>
      </c>
      <c r="B171" t="inlineStr">
        <is>
          <t>Memphis</t>
        </is>
      </c>
      <c r="C171" t="inlineStr">
        <is>
          <t>https://www.sports-reference.com/cbb/schools/memphis/men/2026.html</t>
        </is>
      </c>
      <c r="D171" t="inlineStr">
        <is>
          <t>https://www.sports-reference.com/cbb/schools/memphis/men/2026-gamelogs.html</t>
        </is>
      </c>
      <c r="E171">
        <f t="array" ref="E171">_xlfn.TEXTSPLIT(
_xlfn.TEXTSPLIT(Team_Links[[#This Row],[GameLogs]],"https://www.sports-reference.com/cbb/schools/",,TRUE,0,), "/",,TRUE,0)</f>
        <v/>
      </c>
    </row>
    <row r="172">
      <c r="A172" t="n">
        <v>170</v>
      </c>
      <c r="B172" t="inlineStr">
        <is>
          <t>Mercer</t>
        </is>
      </c>
      <c r="C172" t="inlineStr">
        <is>
          <t>https://www.sports-reference.com/cbb/schools/mercer/men/2026.html</t>
        </is>
      </c>
      <c r="D172" t="inlineStr">
        <is>
          <t>https://www.sports-reference.com/cbb/schools/mercer/men/2026-gamelogs.html</t>
        </is>
      </c>
      <c r="E172">
        <f t="array" ref="E172">_xlfn.TEXTSPLIT(
_xlfn.TEXTSPLIT(Team_Links[[#This Row],[GameLogs]],"https://www.sports-reference.com/cbb/schools/",,TRUE,0,), "/",,TRUE,0)</f>
        <v/>
      </c>
    </row>
    <row r="173">
      <c r="A173" t="n">
        <v>171</v>
      </c>
      <c r="B173" t="inlineStr">
        <is>
          <t>Mercyhurst</t>
        </is>
      </c>
      <c r="C173" t="inlineStr">
        <is>
          <t>https://www.sports-reference.com/cbb/schools/mercyhurst/men/2026.html</t>
        </is>
      </c>
      <c r="D173" t="inlineStr">
        <is>
          <t>https://www.sports-reference.com/cbb/schools/mercyhurst/men/2026-gamelogs.html</t>
        </is>
      </c>
      <c r="E173">
        <f t="array" ref="E173">_xlfn.TEXTSPLIT(
_xlfn.TEXTSPLIT(Team_Links[[#This Row],[GameLogs]],"https://www.sports-reference.com/cbb/schools/",,TRUE,0,), "/",,TRUE,0)</f>
        <v/>
      </c>
    </row>
    <row r="174">
      <c r="A174" t="n">
        <v>172</v>
      </c>
      <c r="B174" t="inlineStr">
        <is>
          <t>Merrimack</t>
        </is>
      </c>
      <c r="C174" t="inlineStr">
        <is>
          <t>https://www.sports-reference.com/cbb/schools/merrimack/men/2026.html</t>
        </is>
      </c>
      <c r="D174" t="inlineStr">
        <is>
          <t>https://www.sports-reference.com/cbb/schools/merrimack/men/2026-gamelogs.html</t>
        </is>
      </c>
      <c r="E174">
        <f t="array" ref="E174">_xlfn.TEXTSPLIT(
_xlfn.TEXTSPLIT(Team_Links[[#This Row],[GameLogs]],"https://www.sports-reference.com/cbb/schools/",,TRUE,0,), "/",,TRUE,0)</f>
        <v/>
      </c>
    </row>
    <row r="175">
      <c r="A175" t="n">
        <v>173</v>
      </c>
      <c r="B175" t="inlineStr">
        <is>
          <t>Miami (FL)</t>
        </is>
      </c>
      <c r="C175" t="inlineStr">
        <is>
          <t>https://www.sports-reference.com/cbb/schools/miami-fl/men/2026.html</t>
        </is>
      </c>
      <c r="D175" t="inlineStr">
        <is>
          <t>https://www.sports-reference.com/cbb/schools/miami-fl/men/2026-gamelogs.html</t>
        </is>
      </c>
      <c r="E175">
        <f t="array" ref="E175">_xlfn.TEXTSPLIT(
_xlfn.TEXTSPLIT(Team_Links[[#This Row],[GameLogs]],"https://www.sports-reference.com/cbb/schools/",,TRUE,0,), "/",,TRUE,0)</f>
        <v/>
      </c>
    </row>
    <row r="176">
      <c r="A176" t="n">
        <v>174</v>
      </c>
      <c r="B176" t="inlineStr">
        <is>
          <t>Miami (OH)</t>
        </is>
      </c>
      <c r="C176" t="inlineStr">
        <is>
          <t>https://www.sports-reference.com/cbb/schools/miami-oh/men/2026.html</t>
        </is>
      </c>
      <c r="D176" t="inlineStr">
        <is>
          <t>https://www.sports-reference.com/cbb/schools/miami-oh/men/2026-gamelogs.html</t>
        </is>
      </c>
      <c r="E176">
        <f t="array" ref="E176">_xlfn.TEXTSPLIT(
_xlfn.TEXTSPLIT(Team_Links[[#This Row],[GameLogs]],"https://www.sports-reference.com/cbb/schools/",,TRUE,0,), "/",,TRUE,0)</f>
        <v/>
      </c>
    </row>
    <row r="177">
      <c r="A177" t="n">
        <v>175</v>
      </c>
      <c r="B177" t="inlineStr">
        <is>
          <t>Michigan</t>
        </is>
      </c>
      <c r="C177" t="inlineStr">
        <is>
          <t>https://www.sports-reference.com/cbb/schools/michigan/men/2026.html</t>
        </is>
      </c>
      <c r="D177" t="inlineStr">
        <is>
          <t>https://www.sports-reference.com/cbb/schools/michigan/men/2026-gamelogs.html</t>
        </is>
      </c>
      <c r="E177">
        <f t="array" ref="E177">_xlfn.TEXTSPLIT(
_xlfn.TEXTSPLIT(Team_Links[[#This Row],[GameLogs]],"https://www.sports-reference.com/cbb/schools/",,TRUE,0,), "/",,TRUE,0)</f>
        <v/>
      </c>
    </row>
    <row r="178">
      <c r="A178" t="n">
        <v>176</v>
      </c>
      <c r="B178" t="inlineStr">
        <is>
          <t>Michigan State</t>
        </is>
      </c>
      <c r="C178" t="inlineStr">
        <is>
          <t>https://www.sports-reference.com/cbb/schools/michigan-state/men/2026.html</t>
        </is>
      </c>
      <c r="D178" t="inlineStr">
        <is>
          <t>https://www.sports-reference.com/cbb/schools/michigan-state/men/2026-gamelogs.html</t>
        </is>
      </c>
      <c r="E178">
        <f t="array" ref="E178">_xlfn.TEXTSPLIT(
_xlfn.TEXTSPLIT(Team_Links[[#This Row],[GameLogs]],"https://www.sports-reference.com/cbb/schools/",,TRUE,0,), "/",,TRUE,0)</f>
        <v/>
      </c>
    </row>
    <row r="179">
      <c r="A179" t="n">
        <v>177</v>
      </c>
      <c r="B179" t="inlineStr">
        <is>
          <t>Middle Tennessee</t>
        </is>
      </c>
      <c r="C179" t="inlineStr">
        <is>
          <t>https://www.sports-reference.com/cbb/schools/middle-tennessee/men/2026.html</t>
        </is>
      </c>
      <c r="D179" t="inlineStr">
        <is>
          <t>https://www.sports-reference.com/cbb/schools/middle-tennessee/men/2026-gamelogs.html</t>
        </is>
      </c>
      <c r="E179">
        <f t="array" ref="E179">_xlfn.TEXTSPLIT(
_xlfn.TEXTSPLIT(Team_Links[[#This Row],[GameLogs]],"https://www.sports-reference.com/cbb/schools/",,TRUE,0,), "/",,TRUE,0)</f>
        <v/>
      </c>
    </row>
    <row r="180">
      <c r="A180" t="n">
        <v>178</v>
      </c>
      <c r="B180" t="inlineStr">
        <is>
          <t>Milwaukee</t>
        </is>
      </c>
      <c r="C180" t="inlineStr">
        <is>
          <t>https://www.sports-reference.com/cbb/schools/milwaukee/men/2026.html</t>
        </is>
      </c>
      <c r="D180" t="inlineStr">
        <is>
          <t>https://www.sports-reference.com/cbb/schools/milwaukee/men/2026-gamelogs.html</t>
        </is>
      </c>
      <c r="E180">
        <f t="array" ref="E180">_xlfn.TEXTSPLIT(
_xlfn.TEXTSPLIT(Team_Links[[#This Row],[GameLogs]],"https://www.sports-reference.com/cbb/schools/",,TRUE,0,), "/",,TRUE,0)</f>
        <v/>
      </c>
    </row>
    <row r="181">
      <c r="A181" t="n">
        <v>179</v>
      </c>
      <c r="B181" t="inlineStr">
        <is>
          <t>Minnesota</t>
        </is>
      </c>
      <c r="C181" t="inlineStr">
        <is>
          <t>https://www.sports-reference.com/cbb/schools/minnesota/men/2026.html</t>
        </is>
      </c>
      <c r="D181" t="inlineStr">
        <is>
          <t>https://www.sports-reference.com/cbb/schools/minnesota/men/2026-gamelogs.html</t>
        </is>
      </c>
      <c r="E181">
        <f t="array" ref="E181">_xlfn.TEXTSPLIT(
_xlfn.TEXTSPLIT(Team_Links[[#This Row],[GameLogs]],"https://www.sports-reference.com/cbb/schools/",,TRUE,0,), "/",,TRUE,0)</f>
        <v/>
      </c>
    </row>
    <row r="182">
      <c r="A182" t="n">
        <v>180</v>
      </c>
      <c r="B182" t="inlineStr">
        <is>
          <t>Mississippi</t>
        </is>
      </c>
      <c r="C182" t="inlineStr">
        <is>
          <t>https://www.sports-reference.com/cbb/schools/mississippi/men/2026.html</t>
        </is>
      </c>
      <c r="D182" t="inlineStr">
        <is>
          <t>https://www.sports-reference.com/cbb/schools/mississippi/men/2026-gamelogs.html</t>
        </is>
      </c>
      <c r="E182">
        <f t="array" ref="E182">_xlfn.TEXTSPLIT(
_xlfn.TEXTSPLIT(Team_Links[[#This Row],[GameLogs]],"https://www.sports-reference.com/cbb/schools/",,TRUE,0,), "/",,TRUE,0)</f>
        <v/>
      </c>
    </row>
    <row r="183">
      <c r="A183" t="n">
        <v>181</v>
      </c>
      <c r="B183" t="inlineStr">
        <is>
          <t>Mississippi State</t>
        </is>
      </c>
      <c r="C183" t="inlineStr">
        <is>
          <t>https://www.sports-reference.com/cbb/schools/mississippi-state/men/2026.html</t>
        </is>
      </c>
      <c r="D183" t="inlineStr">
        <is>
          <t>https://www.sports-reference.com/cbb/schools/mississippi-state/men/2026-gamelogs.html</t>
        </is>
      </c>
      <c r="E183">
        <f t="array" ref="E183">_xlfn.TEXTSPLIT(
_xlfn.TEXTSPLIT(Team_Links[[#This Row],[GameLogs]],"https://www.sports-reference.com/cbb/schools/",,TRUE,0,), "/",,TRUE,0)</f>
        <v/>
      </c>
    </row>
    <row r="184">
      <c r="A184" t="n">
        <v>182</v>
      </c>
      <c r="B184" t="inlineStr">
        <is>
          <t>Mississippi Valley State</t>
        </is>
      </c>
      <c r="C184" t="inlineStr">
        <is>
          <t>https://www.sports-reference.com/cbb/schools/mississippi-valley-state/men/2026.html</t>
        </is>
      </c>
      <c r="D184" t="inlineStr">
        <is>
          <t>https://www.sports-reference.com/cbb/schools/mississippi-valley-state/men/2026-gamelogs.html</t>
        </is>
      </c>
      <c r="E184">
        <f t="array" ref="E184">_xlfn.TEXTSPLIT(
_xlfn.TEXTSPLIT(Team_Links[[#This Row],[GameLogs]],"https://www.sports-reference.com/cbb/schools/",,TRUE,0,), "/",,TRUE,0)</f>
        <v/>
      </c>
    </row>
    <row r="185">
      <c r="A185" t="n">
        <v>183</v>
      </c>
      <c r="B185" t="inlineStr">
        <is>
          <t>Missouri</t>
        </is>
      </c>
      <c r="C185" s="220" t="inlineStr">
        <is>
          <t>https://www.sports-reference.com/cbb/schools/missouri/men/2026.html</t>
        </is>
      </c>
      <c r="D185" t="inlineStr">
        <is>
          <t>https://www.sports-reference.com/cbb/schools/missouri/men/2026-gamelogs.html</t>
        </is>
      </c>
      <c r="E185">
        <f t="array" ref="E185">_xlfn.TEXTSPLIT(
_xlfn.TEXTSPLIT(Team_Links[[#This Row],[GameLogs]],"https://www.sports-reference.com/cbb/schools/",,TRUE,0,), "/",,TRUE,0)</f>
        <v/>
      </c>
    </row>
    <row r="186">
      <c r="A186" t="n">
        <v>184</v>
      </c>
      <c r="B186" t="inlineStr">
        <is>
          <t>Missouri State</t>
        </is>
      </c>
      <c r="C186" t="inlineStr">
        <is>
          <t>https://www.sports-reference.com/cbb/schools/missouri-state/men/2026.html</t>
        </is>
      </c>
      <c r="D186" t="inlineStr">
        <is>
          <t>https://www.sports-reference.com/cbb/schools/missouri-state/men/2026-gamelogs.html</t>
        </is>
      </c>
      <c r="E186">
        <f t="array" ref="E186">_xlfn.TEXTSPLIT(
_xlfn.TEXTSPLIT(Team_Links[[#This Row],[GameLogs]],"https://www.sports-reference.com/cbb/schools/",,TRUE,0,), "/",,TRUE,0)</f>
        <v/>
      </c>
    </row>
    <row r="187">
      <c r="A187" t="n">
        <v>185</v>
      </c>
      <c r="B187" t="inlineStr">
        <is>
          <t>Monmouth</t>
        </is>
      </c>
      <c r="C187" t="inlineStr">
        <is>
          <t>https://www.sports-reference.com/cbb/schools/monmouth/men/2026.html</t>
        </is>
      </c>
      <c r="D187" t="inlineStr">
        <is>
          <t>https://www.sports-reference.com/cbb/schools/monmouth/men/2026-gamelogs.html</t>
        </is>
      </c>
      <c r="E187">
        <f t="array" ref="E187">_xlfn.TEXTSPLIT(
_xlfn.TEXTSPLIT(Team_Links[[#This Row],[GameLogs]],"https://www.sports-reference.com/cbb/schools/",,TRUE,0,), "/",,TRUE,0)</f>
        <v/>
      </c>
    </row>
    <row r="188">
      <c r="A188" t="n">
        <v>186</v>
      </c>
      <c r="B188" t="inlineStr">
        <is>
          <t>Montana</t>
        </is>
      </c>
      <c r="C188" t="inlineStr">
        <is>
          <t>https://www.sports-reference.com/cbb/schools/montana/men/2026.html</t>
        </is>
      </c>
      <c r="D188" t="inlineStr">
        <is>
          <t>https://www.sports-reference.com/cbb/schools/montana/men/2026-gamelogs.html</t>
        </is>
      </c>
      <c r="E188">
        <f t="array" ref="E188">_xlfn.TEXTSPLIT(
_xlfn.TEXTSPLIT(Team_Links[[#This Row],[GameLogs]],"https://www.sports-reference.com/cbb/schools/",,TRUE,0,), "/",,TRUE,0)</f>
        <v/>
      </c>
    </row>
    <row r="189">
      <c r="A189" t="n">
        <v>187</v>
      </c>
      <c r="B189" t="inlineStr">
        <is>
          <t>Montana State</t>
        </is>
      </c>
      <c r="C189" t="inlineStr">
        <is>
          <t>https://www.sports-reference.com/cbb/schools/montana-state/men/2026.html</t>
        </is>
      </c>
      <c r="D189" t="inlineStr">
        <is>
          <t>https://www.sports-reference.com/cbb/schools/montana-state/men/2026-gamelogs.html</t>
        </is>
      </c>
      <c r="E189">
        <f t="array" ref="E189">_xlfn.TEXTSPLIT(
_xlfn.TEXTSPLIT(Team_Links[[#This Row],[GameLogs]],"https://www.sports-reference.com/cbb/schools/",,TRUE,0,), "/",,TRUE,0)</f>
        <v/>
      </c>
    </row>
    <row r="190">
      <c r="A190" t="n">
        <v>188</v>
      </c>
      <c r="B190" t="inlineStr">
        <is>
          <t>Morehead State</t>
        </is>
      </c>
      <c r="C190" t="inlineStr">
        <is>
          <t>https://www.sports-reference.com/cbb/schools/morehead-state/men/2026.html</t>
        </is>
      </c>
      <c r="D190" t="inlineStr">
        <is>
          <t>https://www.sports-reference.com/cbb/schools/morehead-state/men/2026-gamelogs.html</t>
        </is>
      </c>
      <c r="E190">
        <f t="array" ref="E190">_xlfn.TEXTSPLIT(
_xlfn.TEXTSPLIT(Team_Links[[#This Row],[GameLogs]],"https://www.sports-reference.com/cbb/schools/",,TRUE,0,), "/",,TRUE,0)</f>
        <v/>
      </c>
    </row>
    <row r="191">
      <c r="A191" t="n">
        <v>189</v>
      </c>
      <c r="B191" t="inlineStr">
        <is>
          <t>Morgan State</t>
        </is>
      </c>
      <c r="C191" t="inlineStr">
        <is>
          <t>https://www.sports-reference.com/cbb/schools/morgan-state/men/2026.html</t>
        </is>
      </c>
      <c r="D191" t="inlineStr">
        <is>
          <t>https://www.sports-reference.com/cbb/schools/morgan-state/men/2026-gamelogs.html</t>
        </is>
      </c>
      <c r="E191">
        <f t="array" ref="E191">_xlfn.TEXTSPLIT(
_xlfn.TEXTSPLIT(Team_Links[[#This Row],[GameLogs]],"https://www.sports-reference.com/cbb/schools/",,TRUE,0,), "/",,TRUE,0)</f>
        <v/>
      </c>
    </row>
    <row r="192">
      <c r="A192" t="n">
        <v>190</v>
      </c>
      <c r="B192" t="inlineStr">
        <is>
          <t>Mount St. Mary's</t>
        </is>
      </c>
      <c r="C192" t="inlineStr">
        <is>
          <t>https://www.sports-reference.com/cbb/schools/mount-st-marys/men/2026.html</t>
        </is>
      </c>
      <c r="D192" t="inlineStr">
        <is>
          <t>https://www.sports-reference.com/cbb/schools/mount-st-marys/men/2026-gamelogs.html</t>
        </is>
      </c>
      <c r="E192">
        <f t="array" ref="E192">_xlfn.TEXTSPLIT(
_xlfn.TEXTSPLIT(Team_Links[[#This Row],[GameLogs]],"https://www.sports-reference.com/cbb/schools/",,TRUE,0,), "/",,TRUE,0)</f>
        <v/>
      </c>
    </row>
    <row r="193">
      <c r="A193" t="n">
        <v>191</v>
      </c>
      <c r="B193" t="inlineStr">
        <is>
          <t>Murray State</t>
        </is>
      </c>
      <c r="C193" t="inlineStr">
        <is>
          <t>https://www.sports-reference.com/cbb/schools/murray-state/men/2026.html</t>
        </is>
      </c>
      <c r="D193" t="inlineStr">
        <is>
          <t>https://www.sports-reference.com/cbb/schools/murray-state/men/2026-gamelogs.html</t>
        </is>
      </c>
      <c r="E193">
        <f t="array" ref="E193">_xlfn.TEXTSPLIT(
_xlfn.TEXTSPLIT(Team_Links[[#This Row],[GameLogs]],"https://www.sports-reference.com/cbb/schools/",,TRUE,0,), "/",,TRUE,0)</f>
        <v/>
      </c>
    </row>
    <row r="194">
      <c r="A194" t="n">
        <v>192</v>
      </c>
      <c r="B194" t="inlineStr">
        <is>
          <t>Navy</t>
        </is>
      </c>
      <c r="C194" t="inlineStr">
        <is>
          <t>https://www.sports-reference.com/cbb/schools/navy/men/2026.html</t>
        </is>
      </c>
      <c r="D194" t="inlineStr">
        <is>
          <t>https://www.sports-reference.com/cbb/schools/navy/men/2026-gamelogs.html</t>
        </is>
      </c>
      <c r="E194">
        <f t="array" ref="E194">_xlfn.TEXTSPLIT(
_xlfn.TEXTSPLIT(Team_Links[[#This Row],[GameLogs]],"https://www.sports-reference.com/cbb/schools/",,TRUE,0,), "/",,TRUE,0)</f>
        <v/>
      </c>
    </row>
    <row r="195">
      <c r="A195" t="n">
        <v>193</v>
      </c>
      <c r="B195" t="inlineStr">
        <is>
          <t>NC State</t>
        </is>
      </c>
      <c r="C195" t="inlineStr">
        <is>
          <t>https://www.sports-reference.com/cbb/schools/north-carolina-state/men/2026.html</t>
        </is>
      </c>
      <c r="D195" t="inlineStr">
        <is>
          <t>https://www.sports-reference.com/cbb/schools/north-carolina-state/men/2026-gamelogs.html</t>
        </is>
      </c>
      <c r="E195">
        <f t="array" ref="E195">_xlfn.TEXTSPLIT(
_xlfn.TEXTSPLIT(Team_Links[[#This Row],[GameLogs]],"https://www.sports-reference.com/cbb/schools/",,TRUE,0,), "/",,TRUE,0)</f>
        <v/>
      </c>
    </row>
    <row r="196">
      <c r="A196" t="n">
        <v>194</v>
      </c>
      <c r="B196" t="inlineStr">
        <is>
          <t>Nebraska</t>
        </is>
      </c>
      <c r="C196" t="inlineStr">
        <is>
          <t>https://www.sports-reference.com/cbb/schools/nebraska/men/2026.html</t>
        </is>
      </c>
      <c r="D196" t="inlineStr">
        <is>
          <t>https://www.sports-reference.com/cbb/schools/nebraska/men/2026-gamelogs.html</t>
        </is>
      </c>
      <c r="E196">
        <f t="array" ref="E196">_xlfn.TEXTSPLIT(
_xlfn.TEXTSPLIT(Team_Links[[#This Row],[GameLogs]],"https://www.sports-reference.com/cbb/schools/",,TRUE,0,), "/",,TRUE,0)</f>
        <v/>
      </c>
    </row>
    <row r="197">
      <c r="A197" t="n">
        <v>195</v>
      </c>
      <c r="B197" t="inlineStr">
        <is>
          <t>Nevada</t>
        </is>
      </c>
      <c r="C197" t="inlineStr">
        <is>
          <t>https://www.sports-reference.com/cbb/schools/nevada/men/2026.html</t>
        </is>
      </c>
      <c r="D197" t="inlineStr">
        <is>
          <t>https://www.sports-reference.com/cbb/schools/nevada/men/2026-gamelogs.html</t>
        </is>
      </c>
      <c r="E197">
        <f t="array" ref="E197">_xlfn.TEXTSPLIT(
_xlfn.TEXTSPLIT(Team_Links[[#This Row],[GameLogs]],"https://www.sports-reference.com/cbb/schools/",,TRUE,0,), "/",,TRUE,0)</f>
        <v/>
      </c>
    </row>
    <row r="198">
      <c r="A198" t="n">
        <v>196</v>
      </c>
      <c r="B198" t="inlineStr">
        <is>
          <t>Nevada-Las Vegas</t>
        </is>
      </c>
      <c r="C198" t="inlineStr">
        <is>
          <t>https://www.sports-reference.com/cbb/schools/nevada-las-vegas/men/2026.html</t>
        </is>
      </c>
      <c r="D198" t="inlineStr">
        <is>
          <t>https://www.sports-reference.com/cbb/schools/nevada-las-vegas/men/2026-gamelogs.html</t>
        </is>
      </c>
      <c r="E198">
        <f t="array" ref="E198">_xlfn.TEXTSPLIT(
_xlfn.TEXTSPLIT(Team_Links[[#This Row],[GameLogs]],"https://www.sports-reference.com/cbb/schools/",,TRUE,0,), "/",,TRUE,0)</f>
        <v/>
      </c>
    </row>
    <row r="199">
      <c r="A199" t="n">
        <v>197</v>
      </c>
      <c r="B199" t="inlineStr">
        <is>
          <t>New Hampshire</t>
        </is>
      </c>
      <c r="C199" t="inlineStr">
        <is>
          <t>https://www.sports-reference.com/cbb/schools/new-hampshire/men/2026.html</t>
        </is>
      </c>
      <c r="D199" t="inlineStr">
        <is>
          <t>https://www.sports-reference.com/cbb/schools/new-hampshire/men/2026-gamelogs.html</t>
        </is>
      </c>
      <c r="E199">
        <f t="array" ref="E199">_xlfn.TEXTSPLIT(
_xlfn.TEXTSPLIT(Team_Links[[#This Row],[GameLogs]],"https://www.sports-reference.com/cbb/schools/",,TRUE,0,), "/",,TRUE,0)</f>
        <v/>
      </c>
    </row>
    <row r="200">
      <c r="A200" t="n">
        <v>198</v>
      </c>
      <c r="B200" t="inlineStr">
        <is>
          <t>New Haven</t>
        </is>
      </c>
      <c r="C200" t="inlineStr">
        <is>
          <t>https://www.sports-reference.com/cbb/schools/new-haven/men/2026.html</t>
        </is>
      </c>
      <c r="D200" t="inlineStr">
        <is>
          <t>https://www.sports-reference.com/cbb/schools/new-haven/men/2026-gamelogs.html</t>
        </is>
      </c>
      <c r="E200">
        <f t="array" ref="E200">_xlfn.TEXTSPLIT(
_xlfn.TEXTSPLIT(Team_Links[[#This Row],[GameLogs]],"https://www.sports-reference.com/cbb/schools/",,TRUE,0,), "/",,TRUE,0)</f>
        <v/>
      </c>
    </row>
    <row r="201">
      <c r="A201" t="n">
        <v>199</v>
      </c>
      <c r="B201" t="inlineStr">
        <is>
          <t>New Mexico</t>
        </is>
      </c>
      <c r="C201" t="inlineStr">
        <is>
          <t>https://www.sports-reference.com/cbb/schools/new-mexico/men/2026.html</t>
        </is>
      </c>
      <c r="D201" t="inlineStr">
        <is>
          <t>https://www.sports-reference.com/cbb/schools/new-mexico/men/2026-gamelogs.html</t>
        </is>
      </c>
      <c r="E201">
        <f t="array" ref="E201">_xlfn.TEXTSPLIT(
_xlfn.TEXTSPLIT(Team_Links[[#This Row],[GameLogs]],"https://www.sports-reference.com/cbb/schools/",,TRUE,0,), "/",,TRUE,0)</f>
        <v/>
      </c>
    </row>
    <row r="202">
      <c r="A202" t="n">
        <v>200</v>
      </c>
      <c r="B202" t="inlineStr">
        <is>
          <t>New Mexico State</t>
        </is>
      </c>
      <c r="C202" t="inlineStr">
        <is>
          <t>https://www.sports-reference.com/cbb/schools/new-mexico-state/men/2026.html</t>
        </is>
      </c>
      <c r="D202" t="inlineStr">
        <is>
          <t>https://www.sports-reference.com/cbb/schools/new-mexico-state/men/2026-gamelogs.html</t>
        </is>
      </c>
      <c r="E202">
        <f t="array" ref="E202">_xlfn.TEXTSPLIT(
_xlfn.TEXTSPLIT(Team_Links[[#This Row],[GameLogs]],"https://www.sports-reference.com/cbb/schools/",,TRUE,0,), "/",,TRUE,0)</f>
        <v/>
      </c>
    </row>
    <row r="203">
      <c r="A203" t="n">
        <v>201</v>
      </c>
      <c r="B203" t="inlineStr">
        <is>
          <t>New Orleans</t>
        </is>
      </c>
      <c r="C203" t="inlineStr">
        <is>
          <t>https://www.sports-reference.com/cbb/schools/new-orleans/men/2026.html</t>
        </is>
      </c>
      <c r="D203" t="inlineStr">
        <is>
          <t>https://www.sports-reference.com/cbb/schools/new-orleans/men/2026-gamelogs.html</t>
        </is>
      </c>
      <c r="E203">
        <f t="array" ref="E203">_xlfn.TEXTSPLIT(
_xlfn.TEXTSPLIT(Team_Links[[#This Row],[GameLogs]],"https://www.sports-reference.com/cbb/schools/",,TRUE,0,), "/",,TRUE,0)</f>
        <v/>
      </c>
    </row>
    <row r="204">
      <c r="A204" t="n">
        <v>202</v>
      </c>
      <c r="B204" t="inlineStr">
        <is>
          <t>Niagara</t>
        </is>
      </c>
      <c r="C204" t="inlineStr">
        <is>
          <t>https://www.sports-reference.com/cbb/schools/niagara/men/2026.html</t>
        </is>
      </c>
      <c r="D204" t="inlineStr">
        <is>
          <t>https://www.sports-reference.com/cbb/schools/niagara/men/2026-gamelogs.html</t>
        </is>
      </c>
      <c r="E204">
        <f t="array" ref="E204">_xlfn.TEXTSPLIT(
_xlfn.TEXTSPLIT(Team_Links[[#This Row],[GameLogs]],"https://www.sports-reference.com/cbb/schools/",,TRUE,0,), "/",,TRUE,0)</f>
        <v/>
      </c>
    </row>
    <row r="205">
      <c r="A205" t="n">
        <v>203</v>
      </c>
      <c r="B205" t="inlineStr">
        <is>
          <t>Nicholls State</t>
        </is>
      </c>
      <c r="C205" t="inlineStr">
        <is>
          <t>https://www.sports-reference.com/cbb/schools/nicholls-state/men/2026.html</t>
        </is>
      </c>
      <c r="D205" t="inlineStr">
        <is>
          <t>https://www.sports-reference.com/cbb/schools/nicholls-state/men/2026-gamelogs.html</t>
        </is>
      </c>
      <c r="E205">
        <f t="array" ref="E205">_xlfn.TEXTSPLIT(
_xlfn.TEXTSPLIT(Team_Links[[#This Row],[GameLogs]],"https://www.sports-reference.com/cbb/schools/",,TRUE,0,), "/",,TRUE,0)</f>
        <v/>
      </c>
    </row>
    <row r="206">
      <c r="A206" t="n">
        <v>204</v>
      </c>
      <c r="B206" t="inlineStr">
        <is>
          <t>NJIT</t>
        </is>
      </c>
      <c r="C206" t="inlineStr">
        <is>
          <t>https://www.sports-reference.com/cbb/schools/njit/men/2026.html</t>
        </is>
      </c>
      <c r="D206" t="inlineStr">
        <is>
          <t>https://www.sports-reference.com/cbb/schools/njit/men/2026-gamelogs.html</t>
        </is>
      </c>
      <c r="E206">
        <f t="array" ref="E206">_xlfn.TEXTSPLIT(
_xlfn.TEXTSPLIT(Team_Links[[#This Row],[GameLogs]],"https://www.sports-reference.com/cbb/schools/",,TRUE,0,), "/",,TRUE,0)</f>
        <v/>
      </c>
    </row>
    <row r="207">
      <c r="A207" t="n">
        <v>205</v>
      </c>
      <c r="B207" t="inlineStr">
        <is>
          <t>Norfolk State</t>
        </is>
      </c>
      <c r="C207" t="inlineStr">
        <is>
          <t>https://www.sports-reference.com/cbb/schools/norfolk-state/men/2026.html</t>
        </is>
      </c>
      <c r="D207" t="inlineStr">
        <is>
          <t>https://www.sports-reference.com/cbb/schools/norfolk-state/men/2026-gamelogs.html</t>
        </is>
      </c>
      <c r="E207">
        <f t="array" ref="E207">_xlfn.TEXTSPLIT(
_xlfn.TEXTSPLIT(Team_Links[[#This Row],[GameLogs]],"https://www.sports-reference.com/cbb/schools/",,TRUE,0,), "/",,TRUE,0)</f>
        <v/>
      </c>
    </row>
    <row r="208">
      <c r="A208" t="n">
        <v>206</v>
      </c>
      <c r="B208" t="inlineStr">
        <is>
          <t>North Alabama</t>
        </is>
      </c>
      <c r="C208" t="inlineStr">
        <is>
          <t>https://www.sports-reference.com/cbb/schools/north-alabama/men/2026.html</t>
        </is>
      </c>
      <c r="D208" t="inlineStr">
        <is>
          <t>https://www.sports-reference.com/cbb/schools/north-alabama/men/2026-gamelogs.html</t>
        </is>
      </c>
      <c r="E208">
        <f t="array" ref="E208">_xlfn.TEXTSPLIT(
_xlfn.TEXTSPLIT(Team_Links[[#This Row],[GameLogs]],"https://www.sports-reference.com/cbb/schools/",,TRUE,0,), "/",,TRUE,0)</f>
        <v/>
      </c>
    </row>
    <row r="209">
      <c r="A209" t="n">
        <v>207</v>
      </c>
      <c r="B209" t="inlineStr">
        <is>
          <t>North Carolina</t>
        </is>
      </c>
      <c r="C209" t="inlineStr">
        <is>
          <t>https://www.sports-reference.com/cbb/schools/north-carolina/men/2026.html</t>
        </is>
      </c>
      <c r="D209" t="inlineStr">
        <is>
          <t>https://www.sports-reference.com/cbb/schools/north-carolina/men/2026-gamelogs.html</t>
        </is>
      </c>
      <c r="E209">
        <f t="array" ref="E209">_xlfn.TEXTSPLIT(
_xlfn.TEXTSPLIT(Team_Links[[#This Row],[GameLogs]],"https://www.sports-reference.com/cbb/schools/",,TRUE,0,), "/",,TRUE,0)</f>
        <v/>
      </c>
    </row>
    <row r="210">
      <c r="A210" t="n">
        <v>208</v>
      </c>
      <c r="B210" t="inlineStr">
        <is>
          <t>North Carolina A&amp;T</t>
        </is>
      </c>
      <c r="C210" t="inlineStr">
        <is>
          <t>https://www.sports-reference.com/cbb/schools/north-carolina-at/men/2026.html</t>
        </is>
      </c>
      <c r="D210" t="inlineStr">
        <is>
          <t>https://www.sports-reference.com/cbb/schools/north-carolina-at/men/2026-gamelogs.html</t>
        </is>
      </c>
      <c r="E210">
        <f t="array" ref="E210">_xlfn.TEXTSPLIT(
_xlfn.TEXTSPLIT(Team_Links[[#This Row],[GameLogs]],"https://www.sports-reference.com/cbb/schools/",,TRUE,0,), "/",,TRUE,0)</f>
        <v/>
      </c>
    </row>
    <row r="211">
      <c r="A211" t="n">
        <v>209</v>
      </c>
      <c r="B211" t="inlineStr">
        <is>
          <t>North Carolina Central</t>
        </is>
      </c>
      <c r="C211" t="inlineStr">
        <is>
          <t>https://www.sports-reference.com/cbb/schools/north-carolina-central/men/2026.html</t>
        </is>
      </c>
      <c r="D211" t="inlineStr">
        <is>
          <t>https://www.sports-reference.com/cbb/schools/north-carolina-central/men/2026-gamelogs.html</t>
        </is>
      </c>
      <c r="E211">
        <f t="array" ref="E211">_xlfn.TEXTSPLIT(
_xlfn.TEXTSPLIT(Team_Links[[#This Row],[GameLogs]],"https://www.sports-reference.com/cbb/schools/",,TRUE,0,), "/",,TRUE,0)</f>
        <v/>
      </c>
    </row>
    <row r="212">
      <c r="A212" t="n">
        <v>210</v>
      </c>
      <c r="B212" t="inlineStr">
        <is>
          <t>North Dakota</t>
        </is>
      </c>
      <c r="C212" t="inlineStr">
        <is>
          <t>https://www.sports-reference.com/cbb/schools/north-dakota/men/2026.html</t>
        </is>
      </c>
      <c r="D212" t="inlineStr">
        <is>
          <t>https://www.sports-reference.com/cbb/schools/north-dakota/men/2026-gamelogs.html</t>
        </is>
      </c>
      <c r="E212">
        <f t="array" ref="E212">_xlfn.TEXTSPLIT(
_xlfn.TEXTSPLIT(Team_Links[[#This Row],[GameLogs]],"https://www.sports-reference.com/cbb/schools/",,TRUE,0,), "/",,TRUE,0)</f>
        <v/>
      </c>
    </row>
    <row r="213">
      <c r="A213" t="n">
        <v>211</v>
      </c>
      <c r="B213" t="inlineStr">
        <is>
          <t>North Dakota State</t>
        </is>
      </c>
      <c r="C213" t="inlineStr">
        <is>
          <t>https://www.sports-reference.com/cbb/schools/north-dakota-state/men/2026.html</t>
        </is>
      </c>
      <c r="D213" t="inlineStr">
        <is>
          <t>https://www.sports-reference.com/cbb/schools/north-dakota-state/men/2026-gamelogs.html</t>
        </is>
      </c>
      <c r="E213">
        <f t="array" ref="E213">_xlfn.TEXTSPLIT(
_xlfn.TEXTSPLIT(Team_Links[[#This Row],[GameLogs]],"https://www.sports-reference.com/cbb/schools/",,TRUE,0,), "/",,TRUE,0)</f>
        <v/>
      </c>
    </row>
    <row r="214">
      <c r="A214" t="n">
        <v>212</v>
      </c>
      <c r="B214" t="inlineStr">
        <is>
          <t>North Florida</t>
        </is>
      </c>
      <c r="C214" t="inlineStr">
        <is>
          <t>https://www.sports-reference.com/cbb/schools/north-florida/men/2026.html</t>
        </is>
      </c>
      <c r="D214" t="inlineStr">
        <is>
          <t>https://www.sports-reference.com/cbb/schools/north-florida/men/2026-gamelogs.html</t>
        </is>
      </c>
      <c r="E214">
        <f t="array" ref="E214">_xlfn.TEXTSPLIT(
_xlfn.TEXTSPLIT(Team_Links[[#This Row],[GameLogs]],"https://www.sports-reference.com/cbb/schools/",,TRUE,0,), "/",,TRUE,0)</f>
        <v/>
      </c>
    </row>
    <row r="215">
      <c r="A215" t="n">
        <v>213</v>
      </c>
      <c r="B215" t="inlineStr">
        <is>
          <t>North Texas</t>
        </is>
      </c>
      <c r="C215" t="inlineStr">
        <is>
          <t>https://www.sports-reference.com/cbb/schools/north-texas/men/2026.html</t>
        </is>
      </c>
      <c r="D215" t="inlineStr">
        <is>
          <t>https://www.sports-reference.com/cbb/schools/north-texas/men/2026-gamelogs.html</t>
        </is>
      </c>
      <c r="E215">
        <f t="array" ref="E215">_xlfn.TEXTSPLIT(
_xlfn.TEXTSPLIT(Team_Links[[#This Row],[GameLogs]],"https://www.sports-reference.com/cbb/schools/",,TRUE,0,), "/",,TRUE,0)</f>
        <v/>
      </c>
    </row>
    <row r="216">
      <c r="A216" t="n">
        <v>214</v>
      </c>
      <c r="B216" t="inlineStr">
        <is>
          <t>Northeastern</t>
        </is>
      </c>
      <c r="C216" t="inlineStr">
        <is>
          <t>https://www.sports-reference.com/cbb/schools/northeastern/men/2026.html</t>
        </is>
      </c>
      <c r="D216" t="inlineStr">
        <is>
          <t>https://www.sports-reference.com/cbb/schools/northeastern/men/2026-gamelogs.html</t>
        </is>
      </c>
      <c r="E216">
        <f t="array" ref="E216">_xlfn.TEXTSPLIT(
_xlfn.TEXTSPLIT(Team_Links[[#This Row],[GameLogs]],"https://www.sports-reference.com/cbb/schools/",,TRUE,0,), "/",,TRUE,0)</f>
        <v/>
      </c>
    </row>
    <row r="217">
      <c r="A217" t="n">
        <v>215</v>
      </c>
      <c r="B217" t="inlineStr">
        <is>
          <t>Northern Arizona</t>
        </is>
      </c>
      <c r="C217" t="inlineStr">
        <is>
          <t>https://www.sports-reference.com/cbb/schools/northern-arizona/men/2026.html</t>
        </is>
      </c>
      <c r="D217" t="inlineStr">
        <is>
          <t>https://www.sports-reference.com/cbb/schools/northern-arizona/men/2026-gamelogs.html</t>
        </is>
      </c>
      <c r="E217">
        <f t="array" ref="E217">_xlfn.TEXTSPLIT(
_xlfn.TEXTSPLIT(Team_Links[[#This Row],[GameLogs]],"https://www.sports-reference.com/cbb/schools/",,TRUE,0,), "/",,TRUE,0)</f>
        <v/>
      </c>
    </row>
    <row r="218">
      <c r="A218" t="n">
        <v>216</v>
      </c>
      <c r="B218" t="inlineStr">
        <is>
          <t>Northern Colorado</t>
        </is>
      </c>
      <c r="C218" t="inlineStr">
        <is>
          <t>https://www.sports-reference.com/cbb/schools/northern-colorado/men/2026.html</t>
        </is>
      </c>
      <c r="D218" t="inlineStr">
        <is>
          <t>https://www.sports-reference.com/cbb/schools/northern-colorado/men/2026-gamelogs.html</t>
        </is>
      </c>
      <c r="E218">
        <f t="array" ref="E218">_xlfn.TEXTSPLIT(
_xlfn.TEXTSPLIT(Team_Links[[#This Row],[GameLogs]],"https://www.sports-reference.com/cbb/schools/",,TRUE,0,), "/",,TRUE,0)</f>
        <v/>
      </c>
    </row>
    <row r="219">
      <c r="A219" t="n">
        <v>217</v>
      </c>
      <c r="B219" t="inlineStr">
        <is>
          <t>Northern Illinois</t>
        </is>
      </c>
      <c r="C219" t="inlineStr">
        <is>
          <t>https://www.sports-reference.com/cbb/schools/northern-illinois/men/2026.html</t>
        </is>
      </c>
      <c r="D219" t="inlineStr">
        <is>
          <t>https://www.sports-reference.com/cbb/schools/northern-illinois/men/2026-gamelogs.html</t>
        </is>
      </c>
      <c r="E219">
        <f t="array" ref="E219">_xlfn.TEXTSPLIT(
_xlfn.TEXTSPLIT(Team_Links[[#This Row],[GameLogs]],"https://www.sports-reference.com/cbb/schools/",,TRUE,0,), "/",,TRUE,0)</f>
        <v/>
      </c>
    </row>
    <row r="220">
      <c r="A220" t="n">
        <v>218</v>
      </c>
      <c r="B220" t="inlineStr">
        <is>
          <t>Northern Iowa</t>
        </is>
      </c>
      <c r="C220" t="inlineStr">
        <is>
          <t>https://www.sports-reference.com/cbb/schools/northern-iowa/men/2026.html</t>
        </is>
      </c>
      <c r="D220" t="inlineStr">
        <is>
          <t>https://www.sports-reference.com/cbb/schools/northern-iowa/men/2026-gamelogs.html</t>
        </is>
      </c>
      <c r="E220">
        <f t="array" ref="E220">_xlfn.TEXTSPLIT(
_xlfn.TEXTSPLIT(Team_Links[[#This Row],[GameLogs]],"https://www.sports-reference.com/cbb/schools/",,TRUE,0,), "/",,TRUE,0)</f>
        <v/>
      </c>
    </row>
    <row r="221">
      <c r="A221" t="n">
        <v>219</v>
      </c>
      <c r="B221" t="inlineStr">
        <is>
          <t>Northern Kentucky</t>
        </is>
      </c>
      <c r="C221" t="inlineStr">
        <is>
          <t>https://www.sports-reference.com/cbb/schools/northern-kentucky/men/2026.html</t>
        </is>
      </c>
      <c r="D221" t="inlineStr">
        <is>
          <t>https://www.sports-reference.com/cbb/schools/northern-kentucky/men/2026-gamelogs.html</t>
        </is>
      </c>
      <c r="E221">
        <f t="array" ref="E221">_xlfn.TEXTSPLIT(
_xlfn.TEXTSPLIT(Team_Links[[#This Row],[GameLogs]],"https://www.sports-reference.com/cbb/schools/",,TRUE,0,), "/",,TRUE,0)</f>
        <v/>
      </c>
    </row>
    <row r="222">
      <c r="A222" t="n">
        <v>220</v>
      </c>
      <c r="B222" t="inlineStr">
        <is>
          <t>Northwestern</t>
        </is>
      </c>
      <c r="C222" t="inlineStr">
        <is>
          <t>https://www.sports-reference.com/cbb/schools/northwestern/men/2026.html</t>
        </is>
      </c>
      <c r="D222" t="inlineStr">
        <is>
          <t>https://www.sports-reference.com/cbb/schools/northwestern/men/2026-gamelogs.html</t>
        </is>
      </c>
      <c r="E222">
        <f t="array" ref="E222">_xlfn.TEXTSPLIT(
_xlfn.TEXTSPLIT(Team_Links[[#This Row],[GameLogs]],"https://www.sports-reference.com/cbb/schools/",,TRUE,0,), "/",,TRUE,0)</f>
        <v/>
      </c>
    </row>
    <row r="223">
      <c r="A223" t="n">
        <v>221</v>
      </c>
      <c r="B223" t="inlineStr">
        <is>
          <t>Northwestern State</t>
        </is>
      </c>
      <c r="C223" t="inlineStr">
        <is>
          <t>https://www.sports-reference.com/cbb/schools/northwestern-state/men/2026.html</t>
        </is>
      </c>
      <c r="D223" t="inlineStr">
        <is>
          <t>https://www.sports-reference.com/cbb/schools/northwestern-state/men/2026-gamelogs.html</t>
        </is>
      </c>
      <c r="E223">
        <f t="array" ref="E223">_xlfn.TEXTSPLIT(
_xlfn.TEXTSPLIT(Team_Links[[#This Row],[GameLogs]],"https://www.sports-reference.com/cbb/schools/",,TRUE,0,), "/",,TRUE,0)</f>
        <v/>
      </c>
    </row>
    <row r="224">
      <c r="A224" t="n">
        <v>222</v>
      </c>
      <c r="B224" t="inlineStr">
        <is>
          <t>Notre Dame</t>
        </is>
      </c>
      <c r="C224" t="inlineStr">
        <is>
          <t>https://www.sports-reference.com/cbb/schools/notre-dame/men/2026.html</t>
        </is>
      </c>
      <c r="D224" t="inlineStr">
        <is>
          <t>https://www.sports-reference.com/cbb/schools/notre-dame/men/2026-gamelogs.html</t>
        </is>
      </c>
      <c r="E224">
        <f t="array" ref="E224">_xlfn.TEXTSPLIT(
_xlfn.TEXTSPLIT(Team_Links[[#This Row],[GameLogs]],"https://www.sports-reference.com/cbb/schools/",,TRUE,0,), "/",,TRUE,0)</f>
        <v/>
      </c>
    </row>
    <row r="225">
      <c r="A225" t="n">
        <v>223</v>
      </c>
      <c r="B225" t="inlineStr">
        <is>
          <t>Oakland</t>
        </is>
      </c>
      <c r="C225" t="inlineStr">
        <is>
          <t>https://www.sports-reference.com/cbb/schools/oakland/men/2026.html</t>
        </is>
      </c>
      <c r="D225" t="inlineStr">
        <is>
          <t>https://www.sports-reference.com/cbb/schools/oakland/men/2026-gamelogs.html</t>
        </is>
      </c>
      <c r="E225">
        <f t="array" ref="E225">_xlfn.TEXTSPLIT(
_xlfn.TEXTSPLIT(Team_Links[[#This Row],[GameLogs]],"https://www.sports-reference.com/cbb/schools/",,TRUE,0,), "/",,TRUE,0)</f>
        <v/>
      </c>
    </row>
    <row r="226">
      <c r="A226" t="n">
        <v>224</v>
      </c>
      <c r="B226" t="inlineStr">
        <is>
          <t>Ohio</t>
        </is>
      </c>
      <c r="C226" t="inlineStr">
        <is>
          <t>https://www.sports-reference.com/cbb/schools/ohio/men/2026.html</t>
        </is>
      </c>
      <c r="D226" t="inlineStr">
        <is>
          <t>https://www.sports-reference.com/cbb/schools/ohio/men/2026-gamelogs.html</t>
        </is>
      </c>
      <c r="E226">
        <f t="array" ref="E226">_xlfn.TEXTSPLIT(
_xlfn.TEXTSPLIT(Team_Links[[#This Row],[GameLogs]],"https://www.sports-reference.com/cbb/schools/",,TRUE,0,), "/",,TRUE,0)</f>
        <v/>
      </c>
    </row>
    <row r="227">
      <c r="A227" t="n">
        <v>225</v>
      </c>
      <c r="B227" t="inlineStr">
        <is>
          <t>Ohio State</t>
        </is>
      </c>
      <c r="C227" t="inlineStr">
        <is>
          <t>https://www.sports-reference.com/cbb/schools/ohio-state/men/2026.html</t>
        </is>
      </c>
      <c r="D227" t="inlineStr">
        <is>
          <t>https://www.sports-reference.com/cbb/schools/ohio-state/men/2026-gamelogs.html</t>
        </is>
      </c>
      <c r="E227">
        <f t="array" ref="E227">_xlfn.TEXTSPLIT(
_xlfn.TEXTSPLIT(Team_Links[[#This Row],[GameLogs]],"https://www.sports-reference.com/cbb/schools/",,TRUE,0,), "/",,TRUE,0)</f>
        <v/>
      </c>
    </row>
    <row r="228">
      <c r="A228" t="n">
        <v>226</v>
      </c>
      <c r="B228" t="inlineStr">
        <is>
          <t>Oklahoma</t>
        </is>
      </c>
      <c r="C228" t="inlineStr">
        <is>
          <t>https://www.sports-reference.com/cbb/schools/oklahoma/men/2026.html</t>
        </is>
      </c>
      <c r="D228" t="inlineStr">
        <is>
          <t>https://www.sports-reference.com/cbb/schools/oklahoma/men/2026-gamelogs.html</t>
        </is>
      </c>
      <c r="E228">
        <f t="array" ref="E228">_xlfn.TEXTSPLIT(
_xlfn.TEXTSPLIT(Team_Links[[#This Row],[GameLogs]],"https://www.sports-reference.com/cbb/schools/",,TRUE,0,), "/",,TRUE,0)</f>
        <v/>
      </c>
    </row>
    <row r="229">
      <c r="A229" t="n">
        <v>227</v>
      </c>
      <c r="B229" t="inlineStr">
        <is>
          <t>Oklahoma State</t>
        </is>
      </c>
      <c r="C229" t="inlineStr">
        <is>
          <t>https://www.sports-reference.com/cbb/schools/oklahoma-state/men/2026.html</t>
        </is>
      </c>
      <c r="D229" t="inlineStr">
        <is>
          <t>https://www.sports-reference.com/cbb/schools/oklahoma-state/men/2026-gamelogs.html</t>
        </is>
      </c>
      <c r="E229">
        <f t="array" ref="E229">_xlfn.TEXTSPLIT(
_xlfn.TEXTSPLIT(Team_Links[[#This Row],[GameLogs]],"https://www.sports-reference.com/cbb/schools/",,TRUE,0,), "/",,TRUE,0)</f>
        <v/>
      </c>
    </row>
    <row r="230">
      <c r="A230" t="n">
        <v>228</v>
      </c>
      <c r="B230" t="inlineStr">
        <is>
          <t>Old Dominion</t>
        </is>
      </c>
      <c r="C230" t="inlineStr">
        <is>
          <t>https://www.sports-reference.com/cbb/schools/old-dominion/men/2026.html</t>
        </is>
      </c>
      <c r="D230" t="inlineStr">
        <is>
          <t>https://www.sports-reference.com/cbb/schools/old-dominion/men/2026-gamelogs.html</t>
        </is>
      </c>
      <c r="E230">
        <f t="array" ref="E230">_xlfn.TEXTSPLIT(
_xlfn.TEXTSPLIT(Team_Links[[#This Row],[GameLogs]],"https://www.sports-reference.com/cbb/schools/",,TRUE,0,), "/",,TRUE,0)</f>
        <v/>
      </c>
    </row>
    <row r="231">
      <c r="A231" t="n">
        <v>229</v>
      </c>
      <c r="B231" t="inlineStr">
        <is>
          <t>Omaha</t>
        </is>
      </c>
      <c r="C231" t="inlineStr">
        <is>
          <t>https://www.sports-reference.com/cbb/schools/nebraska-omaha/men/2026.html</t>
        </is>
      </c>
      <c r="D231" t="inlineStr">
        <is>
          <t>https://www.sports-reference.com/cbb/schools/nebraska-omaha/men/2026-gamelogs.html</t>
        </is>
      </c>
      <c r="E231">
        <f t="array" ref="E231">_xlfn.TEXTSPLIT(
_xlfn.TEXTSPLIT(Team_Links[[#This Row],[GameLogs]],"https://www.sports-reference.com/cbb/schools/",,TRUE,0,), "/",,TRUE,0)</f>
        <v/>
      </c>
    </row>
    <row r="232">
      <c r="A232" t="n">
        <v>230</v>
      </c>
      <c r="B232" t="inlineStr">
        <is>
          <t>Oral Roberts</t>
        </is>
      </c>
      <c r="C232" t="inlineStr">
        <is>
          <t>https://www.sports-reference.com/cbb/schools/oral-roberts/men/2026.html</t>
        </is>
      </c>
      <c r="D232" t="inlineStr">
        <is>
          <t>https://www.sports-reference.com/cbb/schools/oral-roberts/men/2026-gamelogs.html</t>
        </is>
      </c>
      <c r="E232">
        <f t="array" ref="E232">_xlfn.TEXTSPLIT(
_xlfn.TEXTSPLIT(Team_Links[[#This Row],[GameLogs]],"https://www.sports-reference.com/cbb/schools/",,TRUE,0,), "/",,TRUE,0)</f>
        <v/>
      </c>
    </row>
    <row r="233">
      <c r="A233" t="n">
        <v>231</v>
      </c>
      <c r="B233" t="inlineStr">
        <is>
          <t>Oregon</t>
        </is>
      </c>
      <c r="C233" t="inlineStr">
        <is>
          <t>https://www.sports-reference.com/cbb/schools/oregon/men/2026.html</t>
        </is>
      </c>
      <c r="D233" t="inlineStr">
        <is>
          <t>https://www.sports-reference.com/cbb/schools/oregon/men/2026-gamelogs.html</t>
        </is>
      </c>
      <c r="E233">
        <f t="array" ref="E233">_xlfn.TEXTSPLIT(
_xlfn.TEXTSPLIT(Team_Links[[#This Row],[GameLogs]],"https://www.sports-reference.com/cbb/schools/",,TRUE,0,), "/",,TRUE,0)</f>
        <v/>
      </c>
    </row>
    <row r="234">
      <c r="A234" t="n">
        <v>232</v>
      </c>
      <c r="B234" t="inlineStr">
        <is>
          <t>Oregon State</t>
        </is>
      </c>
      <c r="C234" t="inlineStr">
        <is>
          <t>https://www.sports-reference.com/cbb/schools/oregon-state/men/2026.html</t>
        </is>
      </c>
      <c r="D234" t="inlineStr">
        <is>
          <t>https://www.sports-reference.com/cbb/schools/oregon-state/men/2026-gamelogs.html</t>
        </is>
      </c>
      <c r="E234">
        <f t="array" ref="E234">_xlfn.TEXTSPLIT(
_xlfn.TEXTSPLIT(Team_Links[[#This Row],[GameLogs]],"https://www.sports-reference.com/cbb/schools/",,TRUE,0,), "/",,TRUE,0)</f>
        <v/>
      </c>
    </row>
    <row r="235">
      <c r="A235" t="n">
        <v>233</v>
      </c>
      <c r="B235" t="inlineStr">
        <is>
          <t>Pacific</t>
        </is>
      </c>
      <c r="C235" t="inlineStr">
        <is>
          <t>https://www.sports-reference.com/cbb/schools/pacific/men/2026.html</t>
        </is>
      </c>
      <c r="D235" t="inlineStr">
        <is>
          <t>https://www.sports-reference.com/cbb/schools/pacific/men/2026-gamelogs.html</t>
        </is>
      </c>
      <c r="E235">
        <f t="array" ref="E235">_xlfn.TEXTSPLIT(
_xlfn.TEXTSPLIT(Team_Links[[#This Row],[GameLogs]],"https://www.sports-reference.com/cbb/schools/",,TRUE,0,), "/",,TRUE,0)</f>
        <v/>
      </c>
    </row>
    <row r="236">
      <c r="A236" t="n">
        <v>234</v>
      </c>
      <c r="B236" t="inlineStr">
        <is>
          <t>Penn State</t>
        </is>
      </c>
      <c r="C236" t="inlineStr">
        <is>
          <t>https://www.sports-reference.com/cbb/schools/penn-state/men/2026.html</t>
        </is>
      </c>
      <c r="D236" t="inlineStr">
        <is>
          <t>https://www.sports-reference.com/cbb/schools/penn-state/men/2026-gamelogs.html</t>
        </is>
      </c>
      <c r="E236">
        <f t="array" ref="E236">_xlfn.TEXTSPLIT(
_xlfn.TEXTSPLIT(Team_Links[[#This Row],[GameLogs]],"https://www.sports-reference.com/cbb/schools/",,TRUE,0,), "/",,TRUE,0)</f>
        <v/>
      </c>
    </row>
    <row r="237">
      <c r="A237" t="n">
        <v>235</v>
      </c>
      <c r="B237" t="inlineStr">
        <is>
          <t>Pennsylvania</t>
        </is>
      </c>
      <c r="C237" t="inlineStr">
        <is>
          <t>https://www.sports-reference.com/cbb/schools/pennsylvania/men/2026.html</t>
        </is>
      </c>
      <c r="D237" t="inlineStr">
        <is>
          <t>https://www.sports-reference.com/cbb/schools/pennsylvania/men/2026-gamelogs.html</t>
        </is>
      </c>
      <c r="E237">
        <f t="array" ref="E237">_xlfn.TEXTSPLIT(
_xlfn.TEXTSPLIT(Team_Links[[#This Row],[GameLogs]],"https://www.sports-reference.com/cbb/schools/",,TRUE,0,), "/",,TRUE,0)</f>
        <v/>
      </c>
    </row>
    <row r="238">
      <c r="A238" t="n">
        <v>236</v>
      </c>
      <c r="B238" t="inlineStr">
        <is>
          <t>Pepperdine</t>
        </is>
      </c>
      <c r="C238" t="inlineStr">
        <is>
          <t>https://www.sports-reference.com/cbb/schools/pepperdine/men/2026.html</t>
        </is>
      </c>
      <c r="D238" t="inlineStr">
        <is>
          <t>https://www.sports-reference.com/cbb/schools/pepperdine/men/2026-gamelogs.html</t>
        </is>
      </c>
      <c r="E238">
        <f t="array" ref="E238">_xlfn.TEXTSPLIT(
_xlfn.TEXTSPLIT(Team_Links[[#This Row],[GameLogs]],"https://www.sports-reference.com/cbb/schools/",,TRUE,0,), "/",,TRUE,0)</f>
        <v/>
      </c>
    </row>
    <row r="239">
      <c r="A239" t="n">
        <v>237</v>
      </c>
      <c r="B239" t="inlineStr">
        <is>
          <t>Pittsburgh</t>
        </is>
      </c>
      <c r="C239" t="inlineStr">
        <is>
          <t>https://www.sports-reference.com/cbb/schools/pittsburgh/men/2026.html</t>
        </is>
      </c>
      <c r="D239" t="inlineStr">
        <is>
          <t>https://www.sports-reference.com/cbb/schools/pittsburgh/men/2026-gamelogs.html</t>
        </is>
      </c>
      <c r="E239">
        <f t="array" ref="E239">_xlfn.TEXTSPLIT(
_xlfn.TEXTSPLIT(Team_Links[[#This Row],[GameLogs]],"https://www.sports-reference.com/cbb/schools/",,TRUE,0,), "/",,TRUE,0)</f>
        <v/>
      </c>
    </row>
    <row r="240">
      <c r="A240" t="n">
        <v>238</v>
      </c>
      <c r="B240" t="inlineStr">
        <is>
          <t>Portland</t>
        </is>
      </c>
      <c r="C240" t="inlineStr">
        <is>
          <t>https://www.sports-reference.com/cbb/schools/portland/men/2026.html</t>
        </is>
      </c>
      <c r="D240" t="inlineStr">
        <is>
          <t>https://www.sports-reference.com/cbb/schools/portland/men/2026-gamelogs.html</t>
        </is>
      </c>
      <c r="E240">
        <f t="array" ref="E240">_xlfn.TEXTSPLIT(
_xlfn.TEXTSPLIT(Team_Links[[#This Row],[GameLogs]],"https://www.sports-reference.com/cbb/schools/",,TRUE,0,), "/",,TRUE,0)</f>
        <v/>
      </c>
    </row>
    <row r="241">
      <c r="A241" t="n">
        <v>239</v>
      </c>
      <c r="B241" t="inlineStr">
        <is>
          <t>Portland State</t>
        </is>
      </c>
      <c r="C241" t="inlineStr">
        <is>
          <t>https://www.sports-reference.com/cbb/schools/portland-state/men/2026.html</t>
        </is>
      </c>
      <c r="D241" t="inlineStr">
        <is>
          <t>https://www.sports-reference.com/cbb/schools/portland-state/men/2026-gamelogs.html</t>
        </is>
      </c>
      <c r="E241">
        <f t="array" ref="E241">_xlfn.TEXTSPLIT(
_xlfn.TEXTSPLIT(Team_Links[[#This Row],[GameLogs]],"https://www.sports-reference.com/cbb/schools/",,TRUE,0,), "/",,TRUE,0)</f>
        <v/>
      </c>
    </row>
    <row r="242">
      <c r="A242" t="n">
        <v>240</v>
      </c>
      <c r="B242" t="inlineStr">
        <is>
          <t>Prairie View</t>
        </is>
      </c>
      <c r="C242" t="inlineStr">
        <is>
          <t>https://www.sports-reference.com/cbb/schools/prairie-view/men/2026.html</t>
        </is>
      </c>
      <c r="D242" t="inlineStr">
        <is>
          <t>https://www.sports-reference.com/cbb/schools/prairie-view/men/2026-gamelogs.html</t>
        </is>
      </c>
      <c r="E242">
        <f t="array" ref="E242">_xlfn.TEXTSPLIT(
_xlfn.TEXTSPLIT(Team_Links[[#This Row],[GameLogs]],"https://www.sports-reference.com/cbb/schools/",,TRUE,0,), "/",,TRUE,0)</f>
        <v/>
      </c>
    </row>
    <row r="243">
      <c r="A243" t="n">
        <v>241</v>
      </c>
      <c r="B243" t="inlineStr">
        <is>
          <t>Presbyterian</t>
        </is>
      </c>
      <c r="C243" t="inlineStr">
        <is>
          <t>https://www.sports-reference.com/cbb/schools/presbyterian/men/2026.html</t>
        </is>
      </c>
      <c r="D243" t="inlineStr">
        <is>
          <t>https://www.sports-reference.com/cbb/schools/presbyterian/men/2026-gamelogs.html</t>
        </is>
      </c>
      <c r="E243">
        <f t="array" ref="E243">_xlfn.TEXTSPLIT(
_xlfn.TEXTSPLIT(Team_Links[[#This Row],[GameLogs]],"https://www.sports-reference.com/cbb/schools/",,TRUE,0,), "/",,TRUE,0)</f>
        <v/>
      </c>
    </row>
    <row r="244">
      <c r="A244" t="n">
        <v>242</v>
      </c>
      <c r="B244" t="inlineStr">
        <is>
          <t>Princeton</t>
        </is>
      </c>
      <c r="C244" t="inlineStr">
        <is>
          <t>https://www.sports-reference.com/cbb/schools/princeton/men/2026.html</t>
        </is>
      </c>
      <c r="D244" t="inlineStr">
        <is>
          <t>https://www.sports-reference.com/cbb/schools/princeton/men/2026-gamelogs.html</t>
        </is>
      </c>
      <c r="E244">
        <f t="array" ref="E244">_xlfn.TEXTSPLIT(
_xlfn.TEXTSPLIT(Team_Links[[#This Row],[GameLogs]],"https://www.sports-reference.com/cbb/schools/",,TRUE,0,), "/",,TRUE,0)</f>
        <v/>
      </c>
    </row>
    <row r="245">
      <c r="A245" t="n">
        <v>243</v>
      </c>
      <c r="B245" t="inlineStr">
        <is>
          <t>Providence</t>
        </is>
      </c>
      <c r="C245" t="inlineStr">
        <is>
          <t>https://www.sports-reference.com/cbb/schools/providence/men/2026.html</t>
        </is>
      </c>
      <c r="D245" t="inlineStr">
        <is>
          <t>https://www.sports-reference.com/cbb/schools/providence/men/2026-gamelogs.html</t>
        </is>
      </c>
      <c r="E245">
        <f t="array" ref="E245">_xlfn.TEXTSPLIT(
_xlfn.TEXTSPLIT(Team_Links[[#This Row],[GameLogs]],"https://www.sports-reference.com/cbb/schools/",,TRUE,0,), "/",,TRUE,0)</f>
        <v/>
      </c>
    </row>
    <row r="246">
      <c r="A246" t="n">
        <v>244</v>
      </c>
      <c r="B246" t="inlineStr">
        <is>
          <t>Purdue</t>
        </is>
      </c>
      <c r="C246" t="inlineStr">
        <is>
          <t>https://www.sports-reference.com/cbb/schools/purdue/men/2026.html</t>
        </is>
      </c>
      <c r="D246" t="inlineStr">
        <is>
          <t>https://www.sports-reference.com/cbb/schools/purdue/men/2026-gamelogs.html</t>
        </is>
      </c>
      <c r="E246">
        <f t="array" ref="E246">_xlfn.TEXTSPLIT(
_xlfn.TEXTSPLIT(Team_Links[[#This Row],[GameLogs]],"https://www.sports-reference.com/cbb/schools/",,TRUE,0,), "/",,TRUE,0)</f>
        <v/>
      </c>
    </row>
    <row r="247">
      <c r="A247" t="n">
        <v>245</v>
      </c>
      <c r="B247" t="inlineStr">
        <is>
          <t>Purdue Fort Wayne</t>
        </is>
      </c>
      <c r="C247" t="inlineStr">
        <is>
          <t>https://www.sports-reference.com/cbb/schools/ipfw/men/2026.html</t>
        </is>
      </c>
      <c r="D247" t="inlineStr">
        <is>
          <t>https://www.sports-reference.com/cbb/schools/ipfw/men/2026-gamelogs.html</t>
        </is>
      </c>
      <c r="E247">
        <f t="array" ref="E247">_xlfn.TEXTSPLIT(
_xlfn.TEXTSPLIT(Team_Links[[#This Row],[GameLogs]],"https://www.sports-reference.com/cbb/schools/",,TRUE,0,), "/",,TRUE,0)</f>
        <v/>
      </c>
    </row>
    <row r="248">
      <c r="A248" t="n">
        <v>246</v>
      </c>
      <c r="B248" t="inlineStr">
        <is>
          <t>Queens (NC)</t>
        </is>
      </c>
      <c r="C248" t="inlineStr">
        <is>
          <t>https://www.sports-reference.com/cbb/schools/queens-nc/men/2026.html</t>
        </is>
      </c>
      <c r="D248" t="inlineStr">
        <is>
          <t>https://www.sports-reference.com/cbb/schools/queens-nc/men/2026-gamelogs.html</t>
        </is>
      </c>
      <c r="E248">
        <f t="array" ref="E248">_xlfn.TEXTSPLIT(
_xlfn.TEXTSPLIT(Team_Links[[#This Row],[GameLogs]],"https://www.sports-reference.com/cbb/schools/",,TRUE,0,), "/",,TRUE,0)</f>
        <v/>
      </c>
    </row>
    <row r="249">
      <c r="A249" t="n">
        <v>247</v>
      </c>
      <c r="B249" t="inlineStr">
        <is>
          <t>Quinnipiac</t>
        </is>
      </c>
      <c r="C249" t="inlineStr">
        <is>
          <t>https://www.sports-reference.com/cbb/schools/quinnipiac/men/2026.html</t>
        </is>
      </c>
      <c r="D249" t="inlineStr">
        <is>
          <t>https://www.sports-reference.com/cbb/schools/quinnipiac/men/2026-gamelogs.html</t>
        </is>
      </c>
      <c r="E249">
        <f t="array" ref="E249">_xlfn.TEXTSPLIT(
_xlfn.TEXTSPLIT(Team_Links[[#This Row],[GameLogs]],"https://www.sports-reference.com/cbb/schools/",,TRUE,0,), "/",,TRUE,0)</f>
        <v/>
      </c>
    </row>
    <row r="250">
      <c r="A250" t="n">
        <v>248</v>
      </c>
      <c r="B250" t="inlineStr">
        <is>
          <t>Radford</t>
        </is>
      </c>
      <c r="C250" t="inlineStr">
        <is>
          <t>https://www.sports-reference.com/cbb/schools/radford/men/2026.html</t>
        </is>
      </c>
      <c r="D250" t="inlineStr">
        <is>
          <t>https://www.sports-reference.com/cbb/schools/radford/men/2026-gamelogs.html</t>
        </is>
      </c>
      <c r="E250">
        <f t="array" ref="E250">_xlfn.TEXTSPLIT(
_xlfn.TEXTSPLIT(Team_Links[[#This Row],[GameLogs]],"https://www.sports-reference.com/cbb/schools/",,TRUE,0,), "/",,TRUE,0)</f>
        <v/>
      </c>
    </row>
    <row r="251">
      <c r="A251" t="n">
        <v>249</v>
      </c>
      <c r="B251" t="inlineStr">
        <is>
          <t>Rhode Island</t>
        </is>
      </c>
      <c r="C251" t="inlineStr">
        <is>
          <t>https://www.sports-reference.com/cbb/schools/rhode-island/men/2026.html</t>
        </is>
      </c>
      <c r="D251" t="inlineStr">
        <is>
          <t>https://www.sports-reference.com/cbb/schools/rhode-island/men/2026-gamelogs.html</t>
        </is>
      </c>
      <c r="E251">
        <f t="array" ref="E251">_xlfn.TEXTSPLIT(
_xlfn.TEXTSPLIT(Team_Links[[#This Row],[GameLogs]],"https://www.sports-reference.com/cbb/schools/",,TRUE,0,), "/",,TRUE,0)</f>
        <v/>
      </c>
    </row>
    <row r="252">
      <c r="A252" t="n">
        <v>250</v>
      </c>
      <c r="B252" t="inlineStr">
        <is>
          <t>Rice</t>
        </is>
      </c>
      <c r="C252" t="inlineStr">
        <is>
          <t>https://www.sports-reference.com/cbb/schools/rice/men/2026.html</t>
        </is>
      </c>
      <c r="D252" t="inlineStr">
        <is>
          <t>https://www.sports-reference.com/cbb/schools/rice/men/2026-gamelogs.html</t>
        </is>
      </c>
      <c r="E252">
        <f t="array" ref="E252">_xlfn.TEXTSPLIT(
_xlfn.TEXTSPLIT(Team_Links[[#This Row],[GameLogs]],"https://www.sports-reference.com/cbb/schools/",,TRUE,0,), "/",,TRUE,0)</f>
        <v/>
      </c>
    </row>
    <row r="253">
      <c r="A253" t="n">
        <v>251</v>
      </c>
      <c r="B253" t="inlineStr">
        <is>
          <t>Richmond</t>
        </is>
      </c>
      <c r="C253" t="inlineStr">
        <is>
          <t>https://www.sports-reference.com/cbb/schools/richmond/men/2026.html</t>
        </is>
      </c>
      <c r="D253" t="inlineStr">
        <is>
          <t>https://www.sports-reference.com/cbb/schools/richmond/men/2026-gamelogs.html</t>
        </is>
      </c>
      <c r="E253">
        <f t="array" ref="E253">_xlfn.TEXTSPLIT(
_xlfn.TEXTSPLIT(Team_Links[[#This Row],[GameLogs]],"https://www.sports-reference.com/cbb/schools/",,TRUE,0,), "/",,TRUE,0)</f>
        <v/>
      </c>
    </row>
    <row r="254">
      <c r="A254" t="n">
        <v>252</v>
      </c>
      <c r="B254" t="inlineStr">
        <is>
          <t>Rider</t>
        </is>
      </c>
      <c r="C254" t="inlineStr">
        <is>
          <t>https://www.sports-reference.com/cbb/schools/rider/men/2026.html</t>
        </is>
      </c>
      <c r="D254" t="inlineStr">
        <is>
          <t>https://www.sports-reference.com/cbb/schools/rider/men/2026-gamelogs.html</t>
        </is>
      </c>
      <c r="E254">
        <f t="array" ref="E254">_xlfn.TEXTSPLIT(
_xlfn.TEXTSPLIT(Team_Links[[#This Row],[GameLogs]],"https://www.sports-reference.com/cbb/schools/",,TRUE,0,), "/",,TRUE,0)</f>
        <v/>
      </c>
    </row>
    <row r="255">
      <c r="A255" t="n">
        <v>253</v>
      </c>
      <c r="B255" t="inlineStr">
        <is>
          <t>Robert Morris</t>
        </is>
      </c>
      <c r="C255" t="inlineStr">
        <is>
          <t>https://www.sports-reference.com/cbb/schools/robert-morris/men/2026.html</t>
        </is>
      </c>
      <c r="D255" t="inlineStr">
        <is>
          <t>https://www.sports-reference.com/cbb/schools/robert-morris/men/2026-gamelogs.html</t>
        </is>
      </c>
      <c r="E255">
        <f t="array" ref="E255">_xlfn.TEXTSPLIT(
_xlfn.TEXTSPLIT(Team_Links[[#This Row],[GameLogs]],"https://www.sports-reference.com/cbb/schools/",,TRUE,0,), "/",,TRUE,0)</f>
        <v/>
      </c>
    </row>
    <row r="256">
      <c r="A256" t="n">
        <v>254</v>
      </c>
      <c r="B256" t="inlineStr">
        <is>
          <t>Rutgers</t>
        </is>
      </c>
      <c r="C256" t="inlineStr">
        <is>
          <t>https://www.sports-reference.com/cbb/schools/rutgers/men/2026.html</t>
        </is>
      </c>
      <c r="D256" t="inlineStr">
        <is>
          <t>https://www.sports-reference.com/cbb/schools/rutgers/men/2026-gamelogs.html</t>
        </is>
      </c>
      <c r="E256">
        <f t="array" ref="E256">_xlfn.TEXTSPLIT(
_xlfn.TEXTSPLIT(Team_Links[[#This Row],[GameLogs]],"https://www.sports-reference.com/cbb/schools/",,TRUE,0,), "/",,TRUE,0)</f>
        <v/>
      </c>
    </row>
    <row r="257">
      <c r="A257" t="n">
        <v>255</v>
      </c>
      <c r="B257" t="inlineStr">
        <is>
          <t>Sacramento State</t>
        </is>
      </c>
      <c r="C257" t="inlineStr">
        <is>
          <t>https://www.sports-reference.com/cbb/schools/sacramento-state/men/2026.html</t>
        </is>
      </c>
      <c r="D257" t="inlineStr">
        <is>
          <t>https://www.sports-reference.com/cbb/schools/sacramento-state/men/2026-gamelogs.html</t>
        </is>
      </c>
      <c r="E257">
        <f t="array" ref="E257">_xlfn.TEXTSPLIT(
_xlfn.TEXTSPLIT(Team_Links[[#This Row],[GameLogs]],"https://www.sports-reference.com/cbb/schools/",,TRUE,0,), "/",,TRUE,0)</f>
        <v/>
      </c>
    </row>
    <row r="258">
      <c r="A258" t="n">
        <v>256</v>
      </c>
      <c r="B258" t="inlineStr">
        <is>
          <t>Sacred Heart</t>
        </is>
      </c>
      <c r="C258" t="inlineStr">
        <is>
          <t>https://www.sports-reference.com/cbb/schools/sacred-heart/men/2026.html</t>
        </is>
      </c>
      <c r="D258" t="inlineStr">
        <is>
          <t>https://www.sports-reference.com/cbb/schools/sacred-heart/men/2026-gamelogs.html</t>
        </is>
      </c>
      <c r="E258">
        <f t="array" ref="E258">_xlfn.TEXTSPLIT(
_xlfn.TEXTSPLIT(Team_Links[[#This Row],[GameLogs]],"https://www.sports-reference.com/cbb/schools/",,TRUE,0,), "/",,TRUE,0)</f>
        <v/>
      </c>
    </row>
    <row r="259">
      <c r="A259" t="n">
        <v>257</v>
      </c>
      <c r="B259" t="inlineStr">
        <is>
          <t>Saint Francis (PA)</t>
        </is>
      </c>
      <c r="C259" t="inlineStr">
        <is>
          <t>https://www.sports-reference.com/cbb/schools/saint-francis-pa/men/2026.html</t>
        </is>
      </c>
      <c r="D259" t="inlineStr">
        <is>
          <t>https://www.sports-reference.com/cbb/schools/saint-francis-pa/men/2026-gamelogs.html</t>
        </is>
      </c>
      <c r="E259">
        <f t="array" ref="E259">_xlfn.TEXTSPLIT(
_xlfn.TEXTSPLIT(Team_Links[[#This Row],[GameLogs]],"https://www.sports-reference.com/cbb/schools/",,TRUE,0,), "/",,TRUE,0)</f>
        <v/>
      </c>
    </row>
    <row r="260">
      <c r="A260" t="n">
        <v>258</v>
      </c>
      <c r="B260" t="inlineStr">
        <is>
          <t>Saint Joseph's</t>
        </is>
      </c>
      <c r="C260" t="inlineStr">
        <is>
          <t>https://www.sports-reference.com/cbb/schools/saint-josephs/men/2026.html</t>
        </is>
      </c>
      <c r="D260" t="inlineStr">
        <is>
          <t>https://www.sports-reference.com/cbb/schools/saint-josephs/men/2026-gamelogs.html</t>
        </is>
      </c>
      <c r="E260">
        <f t="array" ref="E260">_xlfn.TEXTSPLIT(
_xlfn.TEXTSPLIT(Team_Links[[#This Row],[GameLogs]],"https://www.sports-reference.com/cbb/schools/",,TRUE,0,), "/",,TRUE,0)</f>
        <v/>
      </c>
    </row>
    <row r="261">
      <c r="A261" t="n">
        <v>259</v>
      </c>
      <c r="B261" t="inlineStr">
        <is>
          <t>Saint Louis</t>
        </is>
      </c>
      <c r="C261" t="inlineStr">
        <is>
          <t>https://www.sports-reference.com/cbb/schools/saint-louis/men/2026.html</t>
        </is>
      </c>
      <c r="D261" t="inlineStr">
        <is>
          <t>https://www.sports-reference.com/cbb/schools/saint-louis/men/2026-gamelogs.html</t>
        </is>
      </c>
      <c r="E261">
        <f t="array" ref="E261">_xlfn.TEXTSPLIT(
_xlfn.TEXTSPLIT(Team_Links[[#This Row],[GameLogs]],"https://www.sports-reference.com/cbb/schools/",,TRUE,0,), "/",,TRUE,0)</f>
        <v/>
      </c>
    </row>
    <row r="262">
      <c r="A262" t="n">
        <v>260</v>
      </c>
      <c r="B262" t="inlineStr">
        <is>
          <t>Saint Mary's (CA)</t>
        </is>
      </c>
      <c r="C262" t="inlineStr">
        <is>
          <t>https://www.sports-reference.com/cbb/schools/saint-marys-ca/men/2026.html</t>
        </is>
      </c>
      <c r="D262" t="inlineStr">
        <is>
          <t>https://www.sports-reference.com/cbb/schools/saint-marys-ca/men/2026-gamelogs.html</t>
        </is>
      </c>
      <c r="E262">
        <f t="array" ref="E262">_xlfn.TEXTSPLIT(
_xlfn.TEXTSPLIT(Team_Links[[#This Row],[GameLogs]],"https://www.sports-reference.com/cbb/schools/",,TRUE,0,), "/",,TRUE,0)</f>
        <v/>
      </c>
    </row>
    <row r="263">
      <c r="A263" t="n">
        <v>261</v>
      </c>
      <c r="B263" t="inlineStr">
        <is>
          <t>Saint Peter's</t>
        </is>
      </c>
      <c r="C263" t="inlineStr">
        <is>
          <t>https://www.sports-reference.com/cbb/schools/saint-peters/men/2026.html</t>
        </is>
      </c>
      <c r="D263" t="inlineStr">
        <is>
          <t>https://www.sports-reference.com/cbb/schools/saint-peters/men/2026-gamelogs.html</t>
        </is>
      </c>
      <c r="E263">
        <f t="array" ref="E263">_xlfn.TEXTSPLIT(
_xlfn.TEXTSPLIT(Team_Links[[#This Row],[GameLogs]],"https://www.sports-reference.com/cbb/schools/",,TRUE,0,), "/",,TRUE,0)</f>
        <v/>
      </c>
    </row>
    <row r="264">
      <c r="A264" t="n">
        <v>262</v>
      </c>
      <c r="B264" t="inlineStr">
        <is>
          <t>Sam Houston</t>
        </is>
      </c>
      <c r="C264" t="inlineStr">
        <is>
          <t>https://www.sports-reference.com/cbb/schools/sam-houston-state/men/2026.html</t>
        </is>
      </c>
      <c r="D264" t="inlineStr">
        <is>
          <t>https://www.sports-reference.com/cbb/schools/sam-houston-state/men/2026-gamelogs.html</t>
        </is>
      </c>
      <c r="E264">
        <f t="array" ref="E264">_xlfn.TEXTSPLIT(
_xlfn.TEXTSPLIT(Team_Links[[#This Row],[GameLogs]],"https://www.sports-reference.com/cbb/schools/",,TRUE,0,), "/",,TRUE,0)</f>
        <v/>
      </c>
    </row>
    <row r="265">
      <c r="A265" t="n">
        <v>263</v>
      </c>
      <c r="B265" t="inlineStr">
        <is>
          <t>Samford</t>
        </is>
      </c>
      <c r="C265" t="inlineStr">
        <is>
          <t>https://www.sports-reference.com/cbb/schools/samford/men/2026.html</t>
        </is>
      </c>
      <c r="D265" t="inlineStr">
        <is>
          <t>https://www.sports-reference.com/cbb/schools/samford/men/2026-gamelogs.html</t>
        </is>
      </c>
      <c r="E265">
        <f t="array" ref="E265">_xlfn.TEXTSPLIT(
_xlfn.TEXTSPLIT(Team_Links[[#This Row],[GameLogs]],"https://www.sports-reference.com/cbb/schools/",,TRUE,0,), "/",,TRUE,0)</f>
        <v/>
      </c>
    </row>
    <row r="266">
      <c r="A266" t="n">
        <v>264</v>
      </c>
      <c r="B266" t="inlineStr">
        <is>
          <t>San Diego</t>
        </is>
      </c>
      <c r="C266" t="inlineStr">
        <is>
          <t>https://www.sports-reference.com/cbb/schools/san-diego/men/2026.html</t>
        </is>
      </c>
      <c r="D266" t="inlineStr">
        <is>
          <t>https://www.sports-reference.com/cbb/schools/san-diego/men/2026-gamelogs.html</t>
        </is>
      </c>
      <c r="E266">
        <f t="array" ref="E266">_xlfn.TEXTSPLIT(
_xlfn.TEXTSPLIT(Team_Links[[#This Row],[GameLogs]],"https://www.sports-reference.com/cbb/schools/",,TRUE,0,), "/",,TRUE,0)</f>
        <v/>
      </c>
    </row>
    <row r="267">
      <c r="A267" t="n">
        <v>265</v>
      </c>
      <c r="B267" t="inlineStr">
        <is>
          <t>San Diego State</t>
        </is>
      </c>
      <c r="C267" t="inlineStr">
        <is>
          <t>https://www.sports-reference.com/cbb/schools/san-diego-state/men/2026.html</t>
        </is>
      </c>
      <c r="D267" t="inlineStr">
        <is>
          <t>https://www.sports-reference.com/cbb/schools/san-diego-state/men/2026-gamelogs.html</t>
        </is>
      </c>
      <c r="E267">
        <f t="array" ref="E267">_xlfn.TEXTSPLIT(
_xlfn.TEXTSPLIT(Team_Links[[#This Row],[GameLogs]],"https://www.sports-reference.com/cbb/schools/",,TRUE,0,), "/",,TRUE,0)</f>
        <v/>
      </c>
    </row>
    <row r="268">
      <c r="A268" t="n">
        <v>266</v>
      </c>
      <c r="B268" t="inlineStr">
        <is>
          <t>San Francisco</t>
        </is>
      </c>
      <c r="C268" t="inlineStr">
        <is>
          <t>https://www.sports-reference.com/cbb/schools/san-francisco/men/2026.html</t>
        </is>
      </c>
      <c r="D268" t="inlineStr">
        <is>
          <t>https://www.sports-reference.com/cbb/schools/san-francisco/men/2026-gamelogs.html</t>
        </is>
      </c>
      <c r="E268">
        <f t="array" ref="E268">_xlfn.TEXTSPLIT(
_xlfn.TEXTSPLIT(Team_Links[[#This Row],[GameLogs]],"https://www.sports-reference.com/cbb/schools/",,TRUE,0,), "/",,TRUE,0)</f>
        <v/>
      </c>
    </row>
    <row r="269">
      <c r="A269" t="n">
        <v>267</v>
      </c>
      <c r="B269" t="inlineStr">
        <is>
          <t>San Jose State</t>
        </is>
      </c>
      <c r="C269" t="inlineStr">
        <is>
          <t>https://www.sports-reference.com/cbb/schools/san-jose-state/men/2026.html</t>
        </is>
      </c>
      <c r="D269" t="inlineStr">
        <is>
          <t>https://www.sports-reference.com/cbb/schools/san-jose-state/men/2026-gamelogs.html</t>
        </is>
      </c>
      <c r="E269">
        <f t="array" ref="E269">_xlfn.TEXTSPLIT(
_xlfn.TEXTSPLIT(Team_Links[[#This Row],[GameLogs]],"https://www.sports-reference.com/cbb/schools/",,TRUE,0,), "/",,TRUE,0)</f>
        <v/>
      </c>
    </row>
    <row r="270">
      <c r="A270" t="n">
        <v>268</v>
      </c>
      <c r="B270" t="inlineStr">
        <is>
          <t>Santa Clara</t>
        </is>
      </c>
      <c r="C270" t="inlineStr">
        <is>
          <t>https://www.sports-reference.com/cbb/schools/santa-clara/men/2026.html</t>
        </is>
      </c>
      <c r="D270" t="inlineStr">
        <is>
          <t>https://www.sports-reference.com/cbb/schools/santa-clara/men/2026-gamelogs.html</t>
        </is>
      </c>
      <c r="E270">
        <f t="array" ref="E270">_xlfn.TEXTSPLIT(
_xlfn.TEXTSPLIT(Team_Links[[#This Row],[GameLogs]],"https://www.sports-reference.com/cbb/schools/",,TRUE,0,), "/",,TRUE,0)</f>
        <v/>
      </c>
    </row>
    <row r="271">
      <c r="A271" t="n">
        <v>269</v>
      </c>
      <c r="B271" t="inlineStr">
        <is>
          <t>Seattle</t>
        </is>
      </c>
      <c r="C271" t="inlineStr">
        <is>
          <t>https://www.sports-reference.com/cbb/schools/seattle/men/2026.html</t>
        </is>
      </c>
      <c r="D271" t="inlineStr">
        <is>
          <t>https://www.sports-reference.com/cbb/schools/seattle/men/2026-gamelogs.html</t>
        </is>
      </c>
      <c r="E271">
        <f t="array" ref="E271">_xlfn.TEXTSPLIT(
_xlfn.TEXTSPLIT(Team_Links[[#This Row],[GameLogs]],"https://www.sports-reference.com/cbb/schools/",,TRUE,0,), "/",,TRUE,0)</f>
        <v/>
      </c>
    </row>
    <row r="272">
      <c r="A272" t="n">
        <v>270</v>
      </c>
      <c r="B272" t="inlineStr">
        <is>
          <t>Seton Hall</t>
        </is>
      </c>
      <c r="C272" t="inlineStr">
        <is>
          <t>https://www.sports-reference.com/cbb/schools/seton-hall/men/2026.html</t>
        </is>
      </c>
      <c r="D272" t="inlineStr">
        <is>
          <t>https://www.sports-reference.com/cbb/schools/seton-hall/men/2026-gamelogs.html</t>
        </is>
      </c>
      <c r="E272">
        <f t="array" ref="E272">_xlfn.TEXTSPLIT(
_xlfn.TEXTSPLIT(Team_Links[[#This Row],[GameLogs]],"https://www.sports-reference.com/cbb/schools/",,TRUE,0,), "/",,TRUE,0)</f>
        <v/>
      </c>
    </row>
    <row r="273">
      <c r="A273" t="n">
        <v>271</v>
      </c>
      <c r="B273" t="inlineStr">
        <is>
          <t>Siena</t>
        </is>
      </c>
      <c r="C273" t="inlineStr">
        <is>
          <t>https://www.sports-reference.com/cbb/schools/siena/men/2026.html</t>
        </is>
      </c>
      <c r="D273" t="inlineStr">
        <is>
          <t>https://www.sports-reference.com/cbb/schools/siena/men/2026-gamelogs.html</t>
        </is>
      </c>
      <c r="E273">
        <f t="array" ref="E273">_xlfn.TEXTSPLIT(
_xlfn.TEXTSPLIT(Team_Links[[#This Row],[GameLogs]],"https://www.sports-reference.com/cbb/schools/",,TRUE,0,), "/",,TRUE,0)</f>
        <v/>
      </c>
    </row>
    <row r="274">
      <c r="A274" t="n">
        <v>272</v>
      </c>
      <c r="B274" t="inlineStr">
        <is>
          <t>South Alabama</t>
        </is>
      </c>
      <c r="C274" t="inlineStr">
        <is>
          <t>https://www.sports-reference.com/cbb/schools/south-alabama/men/2026.html</t>
        </is>
      </c>
      <c r="D274" t="inlineStr">
        <is>
          <t>https://www.sports-reference.com/cbb/schools/south-alabama/men/2026-gamelogs.html</t>
        </is>
      </c>
      <c r="E274">
        <f t="array" ref="E274">_xlfn.TEXTSPLIT(
_xlfn.TEXTSPLIT(Team_Links[[#This Row],[GameLogs]],"https://www.sports-reference.com/cbb/schools/",,TRUE,0,), "/",,TRUE,0)</f>
        <v/>
      </c>
    </row>
    <row r="275">
      <c r="A275" t="n">
        <v>273</v>
      </c>
      <c r="B275" t="inlineStr">
        <is>
          <t>South Carolina</t>
        </is>
      </c>
      <c r="C275" t="inlineStr">
        <is>
          <t>https://www.sports-reference.com/cbb/schools/south-carolina/men/2026.html</t>
        </is>
      </c>
      <c r="D275" t="inlineStr">
        <is>
          <t>https://www.sports-reference.com/cbb/schools/south-carolina/men/2026-gamelogs.html</t>
        </is>
      </c>
      <c r="E275">
        <f t="array" ref="E275">_xlfn.TEXTSPLIT(
_xlfn.TEXTSPLIT(Team_Links[[#This Row],[GameLogs]],"https://www.sports-reference.com/cbb/schools/",,TRUE,0,), "/",,TRUE,0)</f>
        <v/>
      </c>
    </row>
    <row r="276">
      <c r="A276" t="n">
        <v>274</v>
      </c>
      <c r="B276" t="inlineStr">
        <is>
          <t>South Carolina State</t>
        </is>
      </c>
      <c r="C276" t="inlineStr">
        <is>
          <t>https://www.sports-reference.com/cbb/schools/south-carolina-state/men/2026.html</t>
        </is>
      </c>
      <c r="D276" t="inlineStr">
        <is>
          <t>https://www.sports-reference.com/cbb/schools/south-carolina-state/men/2026-gamelogs.html</t>
        </is>
      </c>
      <c r="E276">
        <f t="array" ref="E276">_xlfn.TEXTSPLIT(
_xlfn.TEXTSPLIT(Team_Links[[#This Row],[GameLogs]],"https://www.sports-reference.com/cbb/schools/",,TRUE,0,), "/",,TRUE,0)</f>
        <v/>
      </c>
    </row>
    <row r="277">
      <c r="A277" t="n">
        <v>275</v>
      </c>
      <c r="B277" t="inlineStr">
        <is>
          <t>South Carolina Upstate</t>
        </is>
      </c>
      <c r="C277" t="inlineStr">
        <is>
          <t>https://www.sports-reference.com/cbb/schools/south-carolina-upstate/men/2026.html</t>
        </is>
      </c>
      <c r="D277" t="inlineStr">
        <is>
          <t>https://www.sports-reference.com/cbb/schools/south-carolina-upstate/men/2026-gamelogs.html</t>
        </is>
      </c>
      <c r="E277">
        <f t="array" ref="E277">_xlfn.TEXTSPLIT(
_xlfn.TEXTSPLIT(Team_Links[[#This Row],[GameLogs]],"https://www.sports-reference.com/cbb/schools/",,TRUE,0,), "/",,TRUE,0)</f>
        <v/>
      </c>
    </row>
    <row r="278">
      <c r="A278" t="n">
        <v>276</v>
      </c>
      <c r="B278" t="inlineStr">
        <is>
          <t>South Dakota</t>
        </is>
      </c>
      <c r="C278" t="inlineStr">
        <is>
          <t>https://www.sports-reference.com/cbb/schools/south-dakota/men/2026.html</t>
        </is>
      </c>
      <c r="D278" t="inlineStr">
        <is>
          <t>https://www.sports-reference.com/cbb/schools/south-dakota/men/2026-gamelogs.html</t>
        </is>
      </c>
      <c r="E278">
        <f t="array" ref="E278">_xlfn.TEXTSPLIT(
_xlfn.TEXTSPLIT(Team_Links[[#This Row],[GameLogs]],"https://www.sports-reference.com/cbb/schools/",,TRUE,0,), "/",,TRUE,0)</f>
        <v/>
      </c>
    </row>
    <row r="279">
      <c r="A279" t="n">
        <v>277</v>
      </c>
      <c r="B279" t="inlineStr">
        <is>
          <t>South Dakota State</t>
        </is>
      </c>
      <c r="C279" t="inlineStr">
        <is>
          <t>https://www.sports-reference.com/cbb/schools/south-dakota-state/men/2026.html</t>
        </is>
      </c>
      <c r="D279" t="inlineStr">
        <is>
          <t>https://www.sports-reference.com/cbb/schools/south-dakota-state/men/2026-gamelogs.html</t>
        </is>
      </c>
      <c r="E279">
        <f t="array" ref="E279">_xlfn.TEXTSPLIT(
_xlfn.TEXTSPLIT(Team_Links[[#This Row],[GameLogs]],"https://www.sports-reference.com/cbb/schools/",,TRUE,0,), "/",,TRUE,0)</f>
        <v/>
      </c>
    </row>
    <row r="280">
      <c r="A280" t="n">
        <v>278</v>
      </c>
      <c r="B280" t="inlineStr">
        <is>
          <t>South Florida</t>
        </is>
      </c>
      <c r="C280" t="inlineStr">
        <is>
          <t>https://www.sports-reference.com/cbb/schools/south-florida/men/2026.html</t>
        </is>
      </c>
      <c r="D280" t="inlineStr">
        <is>
          <t>https://www.sports-reference.com/cbb/schools/south-florida/men/2026-gamelogs.html</t>
        </is>
      </c>
      <c r="E280">
        <f t="array" ref="E280">_xlfn.TEXTSPLIT(
_xlfn.TEXTSPLIT(Team_Links[[#This Row],[GameLogs]],"https://www.sports-reference.com/cbb/schools/",,TRUE,0,), "/",,TRUE,0)</f>
        <v/>
      </c>
    </row>
    <row r="281">
      <c r="A281" t="n">
        <v>279</v>
      </c>
      <c r="B281" t="inlineStr">
        <is>
          <t>Southeast Missouri State</t>
        </is>
      </c>
      <c r="C281" t="inlineStr">
        <is>
          <t>https://www.sports-reference.com/cbb/schools/southeast-missouri-state/men/2026.html</t>
        </is>
      </c>
      <c r="D281" t="inlineStr">
        <is>
          <t>https://www.sports-reference.com/cbb/schools/southeast-missouri-state/men/2026-gamelogs.html</t>
        </is>
      </c>
      <c r="E281">
        <f t="array" ref="E281">_xlfn.TEXTSPLIT(
_xlfn.TEXTSPLIT(Team_Links[[#This Row],[GameLogs]],"https://www.sports-reference.com/cbb/schools/",,TRUE,0,), "/",,TRUE,0)</f>
        <v/>
      </c>
    </row>
    <row r="282">
      <c r="A282" t="n">
        <v>280</v>
      </c>
      <c r="B282" t="inlineStr">
        <is>
          <t>Southeastern Louisiana</t>
        </is>
      </c>
      <c r="C282" t="inlineStr">
        <is>
          <t>https://www.sports-reference.com/cbb/schools/southeastern-louisiana/men/2026.html</t>
        </is>
      </c>
      <c r="D282" t="inlineStr">
        <is>
          <t>https://www.sports-reference.com/cbb/schools/southeastern-louisiana/men/2026-gamelogs.html</t>
        </is>
      </c>
      <c r="E282">
        <f t="array" ref="E282">_xlfn.TEXTSPLIT(
_xlfn.TEXTSPLIT(Team_Links[[#This Row],[GameLogs]],"https://www.sports-reference.com/cbb/schools/",,TRUE,0,), "/",,TRUE,0)</f>
        <v/>
      </c>
    </row>
    <row r="283">
      <c r="A283" t="n">
        <v>281</v>
      </c>
      <c r="B283" t="inlineStr">
        <is>
          <t>Southern</t>
        </is>
      </c>
      <c r="C283" t="inlineStr">
        <is>
          <t>https://www.sports-reference.com/cbb/schools/southern/men/2026.html</t>
        </is>
      </c>
      <c r="D283" t="inlineStr">
        <is>
          <t>https://www.sports-reference.com/cbb/schools/southern/men/2026-gamelogs.html</t>
        </is>
      </c>
      <c r="E283">
        <f t="array" ref="E283">_xlfn.TEXTSPLIT(
_xlfn.TEXTSPLIT(Team_Links[[#This Row],[GameLogs]],"https://www.sports-reference.com/cbb/schools/",,TRUE,0,), "/",,TRUE,0)</f>
        <v/>
      </c>
    </row>
    <row r="284">
      <c r="A284" t="n">
        <v>282</v>
      </c>
      <c r="B284" t="inlineStr">
        <is>
          <t>Southern California</t>
        </is>
      </c>
      <c r="C284" t="inlineStr">
        <is>
          <t>https://www.sports-reference.com/cbb/schools/southern-california/men/2026.html</t>
        </is>
      </c>
      <c r="D284" t="inlineStr">
        <is>
          <t>https://www.sports-reference.com/cbb/schools/southern-california/men/2026-gamelogs.html</t>
        </is>
      </c>
      <c r="E284">
        <f t="array" ref="E284">_xlfn.TEXTSPLIT(
_xlfn.TEXTSPLIT(Team_Links[[#This Row],[GameLogs]],"https://www.sports-reference.com/cbb/schools/",,TRUE,0,), "/",,TRUE,0)</f>
        <v/>
      </c>
    </row>
    <row r="285">
      <c r="A285" t="n">
        <v>283</v>
      </c>
      <c r="B285" t="inlineStr">
        <is>
          <t>Southern Illinois</t>
        </is>
      </c>
      <c r="C285" t="inlineStr">
        <is>
          <t>https://www.sports-reference.com/cbb/schools/southern-illinois/men/2026.html</t>
        </is>
      </c>
      <c r="D285" t="inlineStr">
        <is>
          <t>https://www.sports-reference.com/cbb/schools/southern-illinois/men/2026-gamelogs.html</t>
        </is>
      </c>
      <c r="E285">
        <f t="array" ref="E285">_xlfn.TEXTSPLIT(
_xlfn.TEXTSPLIT(Team_Links[[#This Row],[GameLogs]],"https://www.sports-reference.com/cbb/schools/",,TRUE,0,), "/",,TRUE,0)</f>
        <v/>
      </c>
    </row>
    <row r="286">
      <c r="A286" t="n">
        <v>284</v>
      </c>
      <c r="B286" t="inlineStr">
        <is>
          <t>SIU Edwardsville</t>
        </is>
      </c>
      <c r="C286" t="inlineStr">
        <is>
          <t>https://www.sports-reference.com/cbb/schools/southern-illinois-edwardsville/men/2026.html</t>
        </is>
      </c>
      <c r="D286" t="inlineStr">
        <is>
          <t>https://www.sports-reference.com/cbb/schools/southern-illinois-edwardsville/men/2026-gamelogs.html</t>
        </is>
      </c>
      <c r="E286">
        <f t="array" ref="E286">_xlfn.TEXTSPLIT(
_xlfn.TEXTSPLIT(Team_Links[[#This Row],[GameLogs]],"https://www.sports-reference.com/cbb/schools/",,TRUE,0,), "/",,TRUE,0)</f>
        <v/>
      </c>
    </row>
    <row r="287">
      <c r="A287" t="n">
        <v>285</v>
      </c>
      <c r="B287" t="inlineStr">
        <is>
          <t>Southern Indiana</t>
        </is>
      </c>
      <c r="C287" t="inlineStr">
        <is>
          <t>https://www.sports-reference.com/cbb/schools/southern-indiana/men/2026.html</t>
        </is>
      </c>
      <c r="D287" t="inlineStr">
        <is>
          <t>https://www.sports-reference.com/cbb/schools/southern-indiana/men/2026-gamelogs.html</t>
        </is>
      </c>
      <c r="E287">
        <f t="array" ref="E287">_xlfn.TEXTSPLIT(
_xlfn.TEXTSPLIT(Team_Links[[#This Row],[GameLogs]],"https://www.sports-reference.com/cbb/schools/",,TRUE,0,), "/",,TRUE,0)</f>
        <v/>
      </c>
    </row>
    <row r="288">
      <c r="A288" t="n">
        <v>286</v>
      </c>
      <c r="B288" t="inlineStr">
        <is>
          <t>Southern Methodist</t>
        </is>
      </c>
      <c r="C288" t="inlineStr">
        <is>
          <t>https://www.sports-reference.com/cbb/schools/southern-methodist/men/2026.html</t>
        </is>
      </c>
      <c r="D288" t="inlineStr">
        <is>
          <t>https://www.sports-reference.com/cbb/schools/southern-methodist/men/2026-gamelogs.html</t>
        </is>
      </c>
      <c r="E288">
        <f t="array" ref="E288">_xlfn.TEXTSPLIT(
_xlfn.TEXTSPLIT(Team_Links[[#This Row],[GameLogs]],"https://www.sports-reference.com/cbb/schools/",,TRUE,0,), "/",,TRUE,0)</f>
        <v/>
      </c>
    </row>
    <row r="289">
      <c r="A289" t="n">
        <v>287</v>
      </c>
      <c r="B289" t="inlineStr">
        <is>
          <t>Southern Mississippi</t>
        </is>
      </c>
      <c r="C289" t="inlineStr">
        <is>
          <t>https://www.sports-reference.com/cbb/schools/southern-mississippi/men/2026.html</t>
        </is>
      </c>
      <c r="D289" t="inlineStr">
        <is>
          <t>https://www.sports-reference.com/cbb/schools/southern-mississippi/men/2026-gamelogs.html</t>
        </is>
      </c>
      <c r="E289">
        <f t="array" ref="E289">_xlfn.TEXTSPLIT(
_xlfn.TEXTSPLIT(Team_Links[[#This Row],[GameLogs]],"https://www.sports-reference.com/cbb/schools/",,TRUE,0,), "/",,TRUE,0)</f>
        <v/>
      </c>
    </row>
    <row r="290">
      <c r="A290" t="n">
        <v>288</v>
      </c>
      <c r="B290" t="inlineStr">
        <is>
          <t>Southern Utah</t>
        </is>
      </c>
      <c r="C290" t="inlineStr">
        <is>
          <t>https://www.sports-reference.com/cbb/schools/southern-utah/men/2026.html</t>
        </is>
      </c>
      <c r="D290" t="inlineStr">
        <is>
          <t>https://www.sports-reference.com/cbb/schools/southern-utah/men/2026-gamelogs.html</t>
        </is>
      </c>
      <c r="E290">
        <f t="array" ref="E290">_xlfn.TEXTSPLIT(
_xlfn.TEXTSPLIT(Team_Links[[#This Row],[GameLogs]],"https://www.sports-reference.com/cbb/schools/",,TRUE,0,), "/",,TRUE,0)</f>
        <v/>
      </c>
    </row>
    <row r="291">
      <c r="A291" t="n">
        <v>289</v>
      </c>
      <c r="B291" t="inlineStr">
        <is>
          <t>St. Bonaventure</t>
        </is>
      </c>
      <c r="C291" t="inlineStr">
        <is>
          <t>https://www.sports-reference.com/cbb/schools/st-bonaventure/men/2026.html</t>
        </is>
      </c>
      <c r="D291" t="inlineStr">
        <is>
          <t>https://www.sports-reference.com/cbb/schools/st-bonaventure/men/2026-gamelogs.html</t>
        </is>
      </c>
      <c r="E291">
        <f t="array" ref="E291">_xlfn.TEXTSPLIT(
_xlfn.TEXTSPLIT(Team_Links[[#This Row],[GameLogs]],"https://www.sports-reference.com/cbb/schools/",,TRUE,0,), "/",,TRUE,0)</f>
        <v/>
      </c>
    </row>
    <row r="292">
      <c r="A292" t="n">
        <v>290</v>
      </c>
      <c r="B292" t="inlineStr">
        <is>
          <t>St. John's (NY)</t>
        </is>
      </c>
      <c r="C292" t="inlineStr">
        <is>
          <t>https://www.sports-reference.com/cbb/schools/st-johns-ny/men/2026.html</t>
        </is>
      </c>
      <c r="D292" t="inlineStr">
        <is>
          <t>https://www.sports-reference.com/cbb/schools/st-johns-ny/men/2026-gamelogs.html</t>
        </is>
      </c>
      <c r="E292">
        <f t="array" ref="E292">_xlfn.TEXTSPLIT(
_xlfn.TEXTSPLIT(Team_Links[[#This Row],[GameLogs]],"https://www.sports-reference.com/cbb/schools/",,TRUE,0,), "/",,TRUE,0)</f>
        <v/>
      </c>
    </row>
    <row r="293">
      <c r="A293" t="n">
        <v>291</v>
      </c>
      <c r="B293" t="inlineStr">
        <is>
          <t>St. Thomas</t>
        </is>
      </c>
      <c r="C293" t="inlineStr">
        <is>
          <t>https://www.sports-reference.com/cbb/schools/st-thomas-mn/men/2026.html</t>
        </is>
      </c>
      <c r="D293" t="inlineStr">
        <is>
          <t>https://www.sports-reference.com/cbb/schools/st-thomas-mn/men/2026-gamelogs.html</t>
        </is>
      </c>
      <c r="E293">
        <f t="array" ref="E293">_xlfn.TEXTSPLIT(
_xlfn.TEXTSPLIT(Team_Links[[#This Row],[GameLogs]],"https://www.sports-reference.com/cbb/schools/",,TRUE,0,), "/",,TRUE,0)</f>
        <v/>
      </c>
    </row>
    <row r="294">
      <c r="A294" t="n">
        <v>292</v>
      </c>
      <c r="B294" t="inlineStr">
        <is>
          <t>Stanford</t>
        </is>
      </c>
      <c r="C294" t="inlineStr">
        <is>
          <t>https://www.sports-reference.com/cbb/schools/stanford/men/2026.html</t>
        </is>
      </c>
      <c r="D294" t="inlineStr">
        <is>
          <t>https://www.sports-reference.com/cbb/schools/stanford/men/2026-gamelogs.html</t>
        </is>
      </c>
      <c r="E294">
        <f t="array" ref="E294">_xlfn.TEXTSPLIT(
_xlfn.TEXTSPLIT(Team_Links[[#This Row],[GameLogs]],"https://www.sports-reference.com/cbb/schools/",,TRUE,0,), "/",,TRUE,0)</f>
        <v/>
      </c>
    </row>
    <row r="295">
      <c r="A295" t="n">
        <v>293</v>
      </c>
      <c r="B295" t="inlineStr">
        <is>
          <t>Stephen F. Austin</t>
        </is>
      </c>
      <c r="C295" t="inlineStr">
        <is>
          <t>https://www.sports-reference.com/cbb/schools/stephen-f-austin/men/2026.html</t>
        </is>
      </c>
      <c r="D295" t="inlineStr">
        <is>
          <t>https://www.sports-reference.com/cbb/schools/stephen-f-austin/men/2026-gamelogs.html</t>
        </is>
      </c>
      <c r="E295">
        <f t="array" ref="E295">_xlfn.TEXTSPLIT(
_xlfn.TEXTSPLIT(Team_Links[[#This Row],[GameLogs]],"https://www.sports-reference.com/cbb/schools/",,TRUE,0,), "/",,TRUE,0)</f>
        <v/>
      </c>
    </row>
    <row r="296">
      <c r="A296" t="n">
        <v>294</v>
      </c>
      <c r="B296" t="inlineStr">
        <is>
          <t>Stetson</t>
        </is>
      </c>
      <c r="C296" t="inlineStr">
        <is>
          <t>https://www.sports-reference.com/cbb/schools/stetson/men/2026.html</t>
        </is>
      </c>
      <c r="D296" t="inlineStr">
        <is>
          <t>https://www.sports-reference.com/cbb/schools/stetson/men/2026-gamelogs.html</t>
        </is>
      </c>
      <c r="E296">
        <f t="array" ref="E296">_xlfn.TEXTSPLIT(
_xlfn.TEXTSPLIT(Team_Links[[#This Row],[GameLogs]],"https://www.sports-reference.com/cbb/schools/",,TRUE,0,), "/",,TRUE,0)</f>
        <v/>
      </c>
    </row>
    <row r="297">
      <c r="A297" t="n">
        <v>295</v>
      </c>
      <c r="B297" t="inlineStr">
        <is>
          <t>Stonehill</t>
        </is>
      </c>
      <c r="C297" t="inlineStr">
        <is>
          <t>https://www.sports-reference.com/cbb/schools/stonehill/men/2026.html</t>
        </is>
      </c>
      <c r="D297" t="inlineStr">
        <is>
          <t>https://www.sports-reference.com/cbb/schools/stonehill/men/2026-gamelogs.html</t>
        </is>
      </c>
      <c r="E297">
        <f t="array" ref="E297">_xlfn.TEXTSPLIT(
_xlfn.TEXTSPLIT(Team_Links[[#This Row],[GameLogs]],"https://www.sports-reference.com/cbb/schools/",,TRUE,0,), "/",,TRUE,0)</f>
        <v/>
      </c>
    </row>
    <row r="298">
      <c r="A298" t="n">
        <v>296</v>
      </c>
      <c r="B298" t="inlineStr">
        <is>
          <t>Stony Brook</t>
        </is>
      </c>
      <c r="C298" t="inlineStr">
        <is>
          <t>https://www.sports-reference.com/cbb/schools/stony-brook/men/2026.html</t>
        </is>
      </c>
      <c r="D298" t="inlineStr">
        <is>
          <t>https://www.sports-reference.com/cbb/schools/stony-brook/men/2026-gamelogs.html</t>
        </is>
      </c>
      <c r="E298">
        <f t="array" ref="E298">_xlfn.TEXTSPLIT(
_xlfn.TEXTSPLIT(Team_Links[[#This Row],[GameLogs]],"https://www.sports-reference.com/cbb/schools/",,TRUE,0,), "/",,TRUE,0)</f>
        <v/>
      </c>
    </row>
    <row r="299">
      <c r="A299" t="n">
        <v>297</v>
      </c>
      <c r="B299" t="inlineStr">
        <is>
          <t>Syracuse</t>
        </is>
      </c>
      <c r="C299" t="inlineStr">
        <is>
          <t>https://www.sports-reference.com/cbb/schools/syracuse/men/2026.html</t>
        </is>
      </c>
      <c r="D299" t="inlineStr">
        <is>
          <t>https://www.sports-reference.com/cbb/schools/syracuse/men/2026-gamelogs.html</t>
        </is>
      </c>
      <c r="E299">
        <f t="array" ref="E299">_xlfn.TEXTSPLIT(
_xlfn.TEXTSPLIT(Team_Links[[#This Row],[GameLogs]],"https://www.sports-reference.com/cbb/schools/",,TRUE,0,), "/",,TRUE,0)</f>
        <v/>
      </c>
    </row>
    <row r="300">
      <c r="A300" t="n">
        <v>298</v>
      </c>
      <c r="B300" t="inlineStr">
        <is>
          <t>Tarleton State</t>
        </is>
      </c>
      <c r="C300" t="inlineStr">
        <is>
          <t>https://www.sports-reference.com/cbb/schools/tarleton-state/men/2026.html</t>
        </is>
      </c>
      <c r="D300" t="inlineStr">
        <is>
          <t>https://www.sports-reference.com/cbb/schools/tarleton-state/men/2026-gamelogs.html</t>
        </is>
      </c>
      <c r="E300">
        <f t="array" ref="E300">_xlfn.TEXTSPLIT(
_xlfn.TEXTSPLIT(Team_Links[[#This Row],[GameLogs]],"https://www.sports-reference.com/cbb/schools/",,TRUE,0,), "/",,TRUE,0)</f>
        <v/>
      </c>
    </row>
    <row r="301">
      <c r="A301" t="n">
        <v>299</v>
      </c>
      <c r="B301" t="inlineStr">
        <is>
          <t>TCU</t>
        </is>
      </c>
      <c r="C301" t="inlineStr">
        <is>
          <t>https://www.sports-reference.com/cbb/schools/texas-christian/men/2026.html</t>
        </is>
      </c>
      <c r="D301" t="inlineStr">
        <is>
          <t>https://www.sports-reference.com/cbb/schools/texas-christian/men/2026-gamelogs.html</t>
        </is>
      </c>
      <c r="E301">
        <f t="array" ref="E301">_xlfn.TEXTSPLIT(
_xlfn.TEXTSPLIT(Team_Links[[#This Row],[GameLogs]],"https://www.sports-reference.com/cbb/schools/",,TRUE,0,), "/",,TRUE,0)</f>
        <v/>
      </c>
    </row>
    <row r="302">
      <c r="A302" t="n">
        <v>300</v>
      </c>
      <c r="B302" t="inlineStr">
        <is>
          <t>Temple</t>
        </is>
      </c>
      <c r="C302" t="inlineStr">
        <is>
          <t>https://www.sports-reference.com/cbb/schools/temple/men/2026.html</t>
        </is>
      </c>
      <c r="D302" t="inlineStr">
        <is>
          <t>https://www.sports-reference.com/cbb/schools/temple/men/2026-gamelogs.html</t>
        </is>
      </c>
      <c r="E302">
        <f t="array" ref="E302">_xlfn.TEXTSPLIT(
_xlfn.TEXTSPLIT(Team_Links[[#This Row],[GameLogs]],"https://www.sports-reference.com/cbb/schools/",,TRUE,0,), "/",,TRUE,0)</f>
        <v/>
      </c>
    </row>
    <row r="303">
      <c r="A303" t="n">
        <v>301</v>
      </c>
      <c r="B303" t="inlineStr">
        <is>
          <t>Tennessee</t>
        </is>
      </c>
      <c r="C303" t="inlineStr">
        <is>
          <t>https://www.sports-reference.com/cbb/schools/tennessee/men/2026.html</t>
        </is>
      </c>
      <c r="D303" t="inlineStr">
        <is>
          <t>https://www.sports-reference.com/cbb/schools/tennessee/men/2026-gamelogs.html</t>
        </is>
      </c>
      <c r="E303">
        <f t="array" ref="E303">_xlfn.TEXTSPLIT(
_xlfn.TEXTSPLIT(Team_Links[[#This Row],[GameLogs]],"https://www.sports-reference.com/cbb/schools/",,TRUE,0,), "/",,TRUE,0)</f>
        <v/>
      </c>
    </row>
    <row r="304">
      <c r="A304" t="n">
        <v>302</v>
      </c>
      <c r="B304" t="inlineStr">
        <is>
          <t>Tennessee State</t>
        </is>
      </c>
      <c r="C304" t="inlineStr">
        <is>
          <t>https://www.sports-reference.com/cbb/schools/tennessee-state/men/2026.html</t>
        </is>
      </c>
      <c r="D304" t="inlineStr">
        <is>
          <t>https://www.sports-reference.com/cbb/schools/tennessee-state/men/2026-gamelogs.html</t>
        </is>
      </c>
      <c r="E304">
        <f t="array" ref="E304">_xlfn.TEXTSPLIT(
_xlfn.TEXTSPLIT(Team_Links[[#This Row],[GameLogs]],"https://www.sports-reference.com/cbb/schools/",,TRUE,0,), "/",,TRUE,0)</f>
        <v/>
      </c>
    </row>
    <row r="305">
      <c r="A305" t="n">
        <v>303</v>
      </c>
      <c r="B305" t="inlineStr">
        <is>
          <t>Tennessee Tech</t>
        </is>
      </c>
      <c r="C305" t="inlineStr">
        <is>
          <t>https://www.sports-reference.com/cbb/schools/tennessee-tech/men/2026.html</t>
        </is>
      </c>
      <c r="D305" t="inlineStr">
        <is>
          <t>https://www.sports-reference.com/cbb/schools/tennessee-tech/men/2026-gamelogs.html</t>
        </is>
      </c>
      <c r="E305">
        <f t="array" ref="E305">_xlfn.TEXTSPLIT(
_xlfn.TEXTSPLIT(Team_Links[[#This Row],[GameLogs]],"https://www.sports-reference.com/cbb/schools/",,TRUE,0,), "/",,TRUE,0)</f>
        <v/>
      </c>
    </row>
    <row r="306">
      <c r="A306" t="n">
        <v>304</v>
      </c>
      <c r="B306" t="inlineStr">
        <is>
          <t>Tennessee-Martin</t>
        </is>
      </c>
      <c r="C306" t="inlineStr">
        <is>
          <t>https://www.sports-reference.com/cbb/schools/tennessee-martin/men/2026.html</t>
        </is>
      </c>
      <c r="D306" t="inlineStr">
        <is>
          <t>https://www.sports-reference.com/cbb/schools/tennessee-martin/men/2026-gamelogs.html</t>
        </is>
      </c>
      <c r="E306">
        <f t="array" ref="E306">_xlfn.TEXTSPLIT(
_xlfn.TEXTSPLIT(Team_Links[[#This Row],[GameLogs]],"https://www.sports-reference.com/cbb/schools/",,TRUE,0,), "/",,TRUE,0)</f>
        <v/>
      </c>
    </row>
    <row r="307">
      <c r="A307" t="n">
        <v>305</v>
      </c>
      <c r="B307" t="inlineStr">
        <is>
          <t>Texas</t>
        </is>
      </c>
      <c r="C307" t="inlineStr">
        <is>
          <t>https://www.sports-reference.com/cbb/schools/texas/men/2026.html</t>
        </is>
      </c>
      <c r="D307" t="inlineStr">
        <is>
          <t>https://www.sports-reference.com/cbb/schools/texas/men/2026-gamelogs.html</t>
        </is>
      </c>
      <c r="E307">
        <f t="array" ref="E307">_xlfn.TEXTSPLIT(
_xlfn.TEXTSPLIT(Team_Links[[#This Row],[GameLogs]],"https://www.sports-reference.com/cbb/schools/",,TRUE,0,), "/",,TRUE,0)</f>
        <v/>
      </c>
    </row>
    <row r="308">
      <c r="A308" t="n">
        <v>306</v>
      </c>
      <c r="B308" t="inlineStr">
        <is>
          <t>Texas A&amp;M</t>
        </is>
      </c>
      <c r="C308" t="inlineStr">
        <is>
          <t>https://www.sports-reference.com/cbb/schools/texas-am/men/2026.html</t>
        </is>
      </c>
      <c r="D308" t="inlineStr">
        <is>
          <t>https://www.sports-reference.com/cbb/schools/texas-am/men/2026-gamelogs.html</t>
        </is>
      </c>
      <c r="E308">
        <f t="array" ref="E308">_xlfn.TEXTSPLIT(
_xlfn.TEXTSPLIT(Team_Links[[#This Row],[GameLogs]],"https://www.sports-reference.com/cbb/schools/",,TRUE,0,), "/",,TRUE,0)</f>
        <v/>
      </c>
    </row>
    <row r="309">
      <c r="A309" t="n">
        <v>307</v>
      </c>
      <c r="B309" t="inlineStr">
        <is>
          <t>Texas A&amp;M-Corpus Christi</t>
        </is>
      </c>
      <c r="C309" t="inlineStr">
        <is>
          <t>https://www.sports-reference.com/cbb/schools/texas-am-corpus-christi/men/2026.html</t>
        </is>
      </c>
      <c r="D309" t="inlineStr">
        <is>
          <t>https://www.sports-reference.com/cbb/schools/texas-am-corpus-christi/men/2026-gamelogs.html</t>
        </is>
      </c>
      <c r="E309">
        <f t="array" ref="E309">_xlfn.TEXTSPLIT(
_xlfn.TEXTSPLIT(Team_Links[[#This Row],[GameLogs]],"https://www.sports-reference.com/cbb/schools/",,TRUE,0,), "/",,TRUE,0)</f>
        <v/>
      </c>
    </row>
    <row r="310">
      <c r="A310" t="n">
        <v>308</v>
      </c>
      <c r="B310" t="inlineStr">
        <is>
          <t>Texas Southern</t>
        </is>
      </c>
      <c r="C310" t="inlineStr">
        <is>
          <t>https://www.sports-reference.com/cbb/schools/texas-southern/men/2026.html</t>
        </is>
      </c>
      <c r="D310" t="inlineStr">
        <is>
          <t>https://www.sports-reference.com/cbb/schools/texas-southern/men/2026-gamelogs.html</t>
        </is>
      </c>
      <c r="E310">
        <f t="array" ref="E310">_xlfn.TEXTSPLIT(
_xlfn.TEXTSPLIT(Team_Links[[#This Row],[GameLogs]],"https://www.sports-reference.com/cbb/schools/",,TRUE,0,), "/",,TRUE,0)</f>
        <v/>
      </c>
    </row>
    <row r="311">
      <c r="A311" t="n">
        <v>309</v>
      </c>
      <c r="B311" t="inlineStr">
        <is>
          <t>Texas State</t>
        </is>
      </c>
      <c r="C311" t="inlineStr">
        <is>
          <t>https://www.sports-reference.com/cbb/schools/texas-state/men/2026.html</t>
        </is>
      </c>
      <c r="D311" t="inlineStr">
        <is>
          <t>https://www.sports-reference.com/cbb/schools/texas-state/men/2026-gamelogs.html</t>
        </is>
      </c>
      <c r="E311">
        <f t="array" ref="E311">_xlfn.TEXTSPLIT(
_xlfn.TEXTSPLIT(Team_Links[[#This Row],[GameLogs]],"https://www.sports-reference.com/cbb/schools/",,TRUE,0,), "/",,TRUE,0)</f>
        <v/>
      </c>
    </row>
    <row r="312">
      <c r="A312" t="n">
        <v>310</v>
      </c>
      <c r="B312" t="inlineStr">
        <is>
          <t>Texas Tech</t>
        </is>
      </c>
      <c r="C312" t="inlineStr">
        <is>
          <t>https://www.sports-reference.com/cbb/schools/texas-tech/men/2026.html</t>
        </is>
      </c>
      <c r="D312" t="inlineStr">
        <is>
          <t>https://www.sports-reference.com/cbb/schools/texas-tech/men/2026-gamelogs.html</t>
        </is>
      </c>
      <c r="E312">
        <f t="array" ref="E312">_xlfn.TEXTSPLIT(
_xlfn.TEXTSPLIT(Team_Links[[#This Row],[GameLogs]],"https://www.sports-reference.com/cbb/schools/",,TRUE,0,), "/",,TRUE,0)</f>
        <v/>
      </c>
    </row>
    <row r="313">
      <c r="A313" t="n">
        <v>311</v>
      </c>
      <c r="B313" t="inlineStr">
        <is>
          <t>Texas-Rio Grande Valley</t>
        </is>
      </c>
      <c r="C313" t="inlineStr">
        <is>
          <t>https://www.sports-reference.com/cbb/schools/texas-pan-american/men/2026.html</t>
        </is>
      </c>
      <c r="D313" t="inlineStr">
        <is>
          <t>https://www.sports-reference.com/cbb/schools/texas-pan-american/men/2026-gamelogs.html</t>
        </is>
      </c>
      <c r="E313">
        <f t="array" ref="E313">_xlfn.TEXTSPLIT(
_xlfn.TEXTSPLIT(Team_Links[[#This Row],[GameLogs]],"https://www.sports-reference.com/cbb/schools/",,TRUE,0,), "/",,TRUE,0)</f>
        <v/>
      </c>
    </row>
    <row r="314">
      <c r="A314" t="n">
        <v>312</v>
      </c>
      <c r="B314" t="inlineStr">
        <is>
          <t>The Citadel</t>
        </is>
      </c>
      <c r="C314" t="inlineStr">
        <is>
          <t>https://www.sports-reference.com/cbb/schools/citadel/men/2026.html</t>
        </is>
      </c>
      <c r="D314" t="inlineStr">
        <is>
          <t>https://www.sports-reference.com/cbb/schools/citadel/men/2026-gamelogs.html</t>
        </is>
      </c>
      <c r="E314">
        <f t="array" ref="E314">_xlfn.TEXTSPLIT(
_xlfn.TEXTSPLIT(Team_Links[[#This Row],[GameLogs]],"https://www.sports-reference.com/cbb/schools/",,TRUE,0,), "/",,TRUE,0)</f>
        <v/>
      </c>
    </row>
    <row r="315">
      <c r="A315" t="n">
        <v>313</v>
      </c>
      <c r="B315" t="inlineStr">
        <is>
          <t>Toledo</t>
        </is>
      </c>
      <c r="C315" t="inlineStr">
        <is>
          <t>https://www.sports-reference.com/cbb/schools/toledo/men/2026.html</t>
        </is>
      </c>
      <c r="D315" t="inlineStr">
        <is>
          <t>https://www.sports-reference.com/cbb/schools/toledo/men/2026-gamelogs.html</t>
        </is>
      </c>
      <c r="E315">
        <f t="array" ref="E315">_xlfn.TEXTSPLIT(
_xlfn.TEXTSPLIT(Team_Links[[#This Row],[GameLogs]],"https://www.sports-reference.com/cbb/schools/",,TRUE,0,), "/",,TRUE,0)</f>
        <v/>
      </c>
    </row>
    <row r="316">
      <c r="A316" t="n">
        <v>314</v>
      </c>
      <c r="B316" t="inlineStr">
        <is>
          <t>Towson</t>
        </is>
      </c>
      <c r="C316" t="inlineStr">
        <is>
          <t>https://www.sports-reference.com/cbb/schools/towson/men/2026.html</t>
        </is>
      </c>
      <c r="D316" t="inlineStr">
        <is>
          <t>https://www.sports-reference.com/cbb/schools/towson/men/2026-gamelogs.html</t>
        </is>
      </c>
      <c r="E316">
        <f t="array" ref="E316">_xlfn.TEXTSPLIT(
_xlfn.TEXTSPLIT(Team_Links[[#This Row],[GameLogs]],"https://www.sports-reference.com/cbb/schools/",,TRUE,0,), "/",,TRUE,0)</f>
        <v/>
      </c>
    </row>
    <row r="317">
      <c r="A317" t="n">
        <v>315</v>
      </c>
      <c r="B317" t="inlineStr">
        <is>
          <t>Troy</t>
        </is>
      </c>
      <c r="C317" t="inlineStr">
        <is>
          <t>https://www.sports-reference.com/cbb/schools/troy/men/2026.html</t>
        </is>
      </c>
      <c r="D317" t="inlineStr">
        <is>
          <t>https://www.sports-reference.com/cbb/schools/troy/men/2026-gamelogs.html</t>
        </is>
      </c>
      <c r="E317">
        <f t="array" ref="E317">_xlfn.TEXTSPLIT(
_xlfn.TEXTSPLIT(Team_Links[[#This Row],[GameLogs]],"https://www.sports-reference.com/cbb/schools/",,TRUE,0,), "/",,TRUE,0)</f>
        <v/>
      </c>
    </row>
    <row r="318">
      <c r="A318" t="n">
        <v>316</v>
      </c>
      <c r="B318" t="inlineStr">
        <is>
          <t>Tulane</t>
        </is>
      </c>
      <c r="C318" t="inlineStr">
        <is>
          <t>https://www.sports-reference.com/cbb/schools/tulane/men/2026.html</t>
        </is>
      </c>
      <c r="D318" t="inlineStr">
        <is>
          <t>https://www.sports-reference.com/cbb/schools/tulane/men/2026-gamelogs.html</t>
        </is>
      </c>
      <c r="E318">
        <f t="array" ref="E318">_xlfn.TEXTSPLIT(
_xlfn.TEXTSPLIT(Team_Links[[#This Row],[GameLogs]],"https://www.sports-reference.com/cbb/schools/",,TRUE,0,), "/",,TRUE,0)</f>
        <v/>
      </c>
    </row>
    <row r="319">
      <c r="A319" t="n">
        <v>317</v>
      </c>
      <c r="B319" t="inlineStr">
        <is>
          <t>Tulsa</t>
        </is>
      </c>
      <c r="C319" t="inlineStr">
        <is>
          <t>https://www.sports-reference.com/cbb/schools/tulsa/men/2026.html</t>
        </is>
      </c>
      <c r="D319" t="inlineStr">
        <is>
          <t>https://www.sports-reference.com/cbb/schools/tulsa/men/2026-gamelogs.html</t>
        </is>
      </c>
      <c r="E319">
        <f t="array" ref="E319">_xlfn.TEXTSPLIT(
_xlfn.TEXTSPLIT(Team_Links[[#This Row],[GameLogs]],"https://www.sports-reference.com/cbb/schools/",,TRUE,0,), "/",,TRUE,0)</f>
        <v/>
      </c>
    </row>
    <row r="320">
      <c r="A320" t="n">
        <v>318</v>
      </c>
      <c r="B320" t="inlineStr">
        <is>
          <t>UAB</t>
        </is>
      </c>
      <c r="C320" t="inlineStr">
        <is>
          <t>https://www.sports-reference.com/cbb/schools/alabama-birmingham/men/2026.html</t>
        </is>
      </c>
      <c r="D320" t="inlineStr">
        <is>
          <t>https://www.sports-reference.com/cbb/schools/alabama-birmingham/men/2026-gamelogs.html</t>
        </is>
      </c>
      <c r="E320">
        <f t="array" ref="E320">_xlfn.TEXTSPLIT(
_xlfn.TEXTSPLIT(Team_Links[[#This Row],[GameLogs]],"https://www.sports-reference.com/cbb/schools/",,TRUE,0,), "/",,TRUE,0)</f>
        <v/>
      </c>
    </row>
    <row r="321">
      <c r="A321" t="n">
        <v>319</v>
      </c>
      <c r="B321" t="inlineStr">
        <is>
          <t>UC Davis</t>
        </is>
      </c>
      <c r="C321" t="inlineStr">
        <is>
          <t>https://www.sports-reference.com/cbb/schools/california-davis/men/2026.html</t>
        </is>
      </c>
      <c r="D321" t="inlineStr">
        <is>
          <t>https://www.sports-reference.com/cbb/schools/california-davis/men/2026-gamelogs.html</t>
        </is>
      </c>
      <c r="E321">
        <f t="array" ref="E321">_xlfn.TEXTSPLIT(
_xlfn.TEXTSPLIT(Team_Links[[#This Row],[GameLogs]],"https://www.sports-reference.com/cbb/schools/",,TRUE,0,), "/",,TRUE,0)</f>
        <v/>
      </c>
    </row>
    <row r="322">
      <c r="A322" t="n">
        <v>320</v>
      </c>
      <c r="B322" t="inlineStr">
        <is>
          <t>UC Irvine</t>
        </is>
      </c>
      <c r="C322" t="inlineStr">
        <is>
          <t>https://www.sports-reference.com/cbb/schools/california-irvine/men/2026.html</t>
        </is>
      </c>
      <c r="D322" t="inlineStr">
        <is>
          <t>https://www.sports-reference.com/cbb/schools/california-irvine/men/2026-gamelogs.html</t>
        </is>
      </c>
      <c r="E322">
        <f t="array" ref="E322">_xlfn.TEXTSPLIT(
_xlfn.TEXTSPLIT(Team_Links[[#This Row],[GameLogs]],"https://www.sports-reference.com/cbb/schools/",,TRUE,0,), "/",,TRUE,0)</f>
        <v/>
      </c>
    </row>
    <row r="323">
      <c r="A323" t="n">
        <v>321</v>
      </c>
      <c r="B323" t="inlineStr">
        <is>
          <t>UC Riverside</t>
        </is>
      </c>
      <c r="C323" t="inlineStr">
        <is>
          <t>https://www.sports-reference.com/cbb/schools/california-riverside/men/2026.html</t>
        </is>
      </c>
      <c r="D323" t="inlineStr">
        <is>
          <t>https://www.sports-reference.com/cbb/schools/california-riverside/men/2026-gamelogs.html</t>
        </is>
      </c>
      <c r="E323">
        <f t="array" ref="E323">_xlfn.TEXTSPLIT(
_xlfn.TEXTSPLIT(Team_Links[[#This Row],[GameLogs]],"https://www.sports-reference.com/cbb/schools/",,TRUE,0,), "/",,TRUE,0)</f>
        <v/>
      </c>
    </row>
    <row r="324">
      <c r="A324" t="n">
        <v>322</v>
      </c>
      <c r="B324" t="inlineStr">
        <is>
          <t>UC San Diego</t>
        </is>
      </c>
      <c r="C324" t="inlineStr">
        <is>
          <t>https://www.sports-reference.com/cbb/schools/california-san-diego/men/2026.html</t>
        </is>
      </c>
      <c r="D324" t="inlineStr">
        <is>
          <t>https://www.sports-reference.com/cbb/schools/california-san-diego/men/2026-gamelogs.html</t>
        </is>
      </c>
      <c r="E324">
        <f t="array" ref="E324">_xlfn.TEXTSPLIT(
_xlfn.TEXTSPLIT(Team_Links[[#This Row],[GameLogs]],"https://www.sports-reference.com/cbb/schools/",,TRUE,0,), "/",,TRUE,0)</f>
        <v/>
      </c>
    </row>
    <row r="325">
      <c r="A325" t="n">
        <v>323</v>
      </c>
      <c r="B325" t="inlineStr">
        <is>
          <t>UC Santa Barbara</t>
        </is>
      </c>
      <c r="C325" t="inlineStr">
        <is>
          <t>https://www.sports-reference.com/cbb/schools/california-santa-barbara/men/2026.html</t>
        </is>
      </c>
      <c r="D325" t="inlineStr">
        <is>
          <t>https://www.sports-reference.com/cbb/schools/california-santa-barbara/men/2026-gamelogs.html</t>
        </is>
      </c>
      <c r="E325">
        <f t="array" ref="E325">_xlfn.TEXTSPLIT(
_xlfn.TEXTSPLIT(Team_Links[[#This Row],[GameLogs]],"https://www.sports-reference.com/cbb/schools/",,TRUE,0,), "/",,TRUE,0)</f>
        <v/>
      </c>
    </row>
    <row r="326">
      <c r="A326" t="n">
        <v>324</v>
      </c>
      <c r="B326" t="inlineStr">
        <is>
          <t>UCF</t>
        </is>
      </c>
      <c r="C326" t="inlineStr">
        <is>
          <t>https://www.sports-reference.com/cbb/schools/central-florida/men/2026.html</t>
        </is>
      </c>
      <c r="D326" t="inlineStr">
        <is>
          <t>https://www.sports-reference.com/cbb/schools/central-florida/men/2026-gamelogs.html</t>
        </is>
      </c>
      <c r="E326">
        <f t="array" ref="E326">_xlfn.TEXTSPLIT(
_xlfn.TEXTSPLIT(Team_Links[[#This Row],[GameLogs]],"https://www.sports-reference.com/cbb/schools/",,TRUE,0,), "/",,TRUE,0)</f>
        <v/>
      </c>
    </row>
    <row r="327">
      <c r="A327" t="n">
        <v>325</v>
      </c>
      <c r="B327" t="inlineStr">
        <is>
          <t>UCLA</t>
        </is>
      </c>
      <c r="C327" t="inlineStr">
        <is>
          <t>https://www.sports-reference.com/cbb/schools/ucla/men/2026.html</t>
        </is>
      </c>
      <c r="D327" t="inlineStr">
        <is>
          <t>https://www.sports-reference.com/cbb/schools/ucla/men/2026-gamelogs.html</t>
        </is>
      </c>
      <c r="E327">
        <f t="array" ref="E327">_xlfn.TEXTSPLIT(
_xlfn.TEXTSPLIT(Team_Links[[#This Row],[GameLogs]],"https://www.sports-reference.com/cbb/schools/",,TRUE,0,), "/",,TRUE,0)</f>
        <v/>
      </c>
    </row>
    <row r="328">
      <c r="A328" t="n">
        <v>326</v>
      </c>
      <c r="B328" t="inlineStr">
        <is>
          <t>UNC Asheville</t>
        </is>
      </c>
      <c r="C328" t="inlineStr">
        <is>
          <t>https://www.sports-reference.com/cbb/schools/north-carolina-asheville/men/2026.html</t>
        </is>
      </c>
      <c r="D328" t="inlineStr">
        <is>
          <t>https://www.sports-reference.com/cbb/schools/north-carolina-asheville/men/2026-gamelogs.html</t>
        </is>
      </c>
      <c r="E328">
        <f t="array" ref="E328">_xlfn.TEXTSPLIT(
_xlfn.TEXTSPLIT(Team_Links[[#This Row],[GameLogs]],"https://www.sports-reference.com/cbb/schools/",,TRUE,0,), "/",,TRUE,0)</f>
        <v/>
      </c>
    </row>
    <row r="329">
      <c r="A329" t="n">
        <v>327</v>
      </c>
      <c r="B329" t="inlineStr">
        <is>
          <t>UNC Greensboro</t>
        </is>
      </c>
      <c r="C329" t="inlineStr">
        <is>
          <t>https://www.sports-reference.com/cbb/schools/north-carolina-greensboro/men/2026.html</t>
        </is>
      </c>
      <c r="D329" t="inlineStr">
        <is>
          <t>https://www.sports-reference.com/cbb/schools/north-carolina-greensboro/men/2026-gamelogs.html</t>
        </is>
      </c>
      <c r="E329">
        <f t="array" ref="E329">_xlfn.TEXTSPLIT(
_xlfn.TEXTSPLIT(Team_Links[[#This Row],[GameLogs]],"https://www.sports-reference.com/cbb/schools/",,TRUE,0,), "/",,TRUE,0)</f>
        <v/>
      </c>
    </row>
    <row r="330">
      <c r="A330" t="n">
        <v>328</v>
      </c>
      <c r="B330" t="inlineStr">
        <is>
          <t>UNC Wilmington</t>
        </is>
      </c>
      <c r="C330" t="inlineStr">
        <is>
          <t>https://www.sports-reference.com/cbb/schools/north-carolina-wilmington/men/2026.html</t>
        </is>
      </c>
      <c r="D330" t="inlineStr">
        <is>
          <t>https://www.sports-reference.com/cbb/schools/north-carolina-wilmington/men/2026-gamelogs.html</t>
        </is>
      </c>
      <c r="E330">
        <f t="array" ref="E330">_xlfn.TEXTSPLIT(
_xlfn.TEXTSPLIT(Team_Links[[#This Row],[GameLogs]],"https://www.sports-reference.com/cbb/schools/",,TRUE,0,), "/",,TRUE,0)</f>
        <v/>
      </c>
    </row>
    <row r="331">
      <c r="A331" t="n">
        <v>329</v>
      </c>
      <c r="B331" t="inlineStr">
        <is>
          <t>UT Arlington</t>
        </is>
      </c>
      <c r="C331" t="inlineStr">
        <is>
          <t>https://www.sports-reference.com/cbb/schools/texas-arlington/men/2026.html</t>
        </is>
      </c>
      <c r="D331" t="inlineStr">
        <is>
          <t>https://www.sports-reference.com/cbb/schools/texas-arlington/men/2026-gamelogs.html</t>
        </is>
      </c>
      <c r="E331">
        <f t="array" ref="E331">_xlfn.TEXTSPLIT(
_xlfn.TEXTSPLIT(Team_Links[[#This Row],[GameLogs]],"https://www.sports-reference.com/cbb/schools/",,TRUE,0,), "/",,TRUE,0)</f>
        <v/>
      </c>
    </row>
    <row r="332">
      <c r="A332" t="n">
        <v>330</v>
      </c>
      <c r="B332" t="inlineStr">
        <is>
          <t>Utah</t>
        </is>
      </c>
      <c r="C332" t="inlineStr">
        <is>
          <t>https://www.sports-reference.com/cbb/schools/utah/men/2026.html</t>
        </is>
      </c>
      <c r="D332" t="inlineStr">
        <is>
          <t>https://www.sports-reference.com/cbb/schools/utah/men/2026-gamelogs.html</t>
        </is>
      </c>
      <c r="E332">
        <f t="array" ref="E332">_xlfn.TEXTSPLIT(
_xlfn.TEXTSPLIT(Team_Links[[#This Row],[GameLogs]],"https://www.sports-reference.com/cbb/schools/",,TRUE,0,), "/",,TRUE,0)</f>
        <v/>
      </c>
    </row>
    <row r="333">
      <c r="A333" t="n">
        <v>331</v>
      </c>
      <c r="B333" t="inlineStr">
        <is>
          <t>Utah State</t>
        </is>
      </c>
      <c r="C333" t="inlineStr">
        <is>
          <t>https://www.sports-reference.com/cbb/schools/utah-state/men/2026.html</t>
        </is>
      </c>
      <c r="D333" t="inlineStr">
        <is>
          <t>https://www.sports-reference.com/cbb/schools/utah-state/men/2026-gamelogs.html</t>
        </is>
      </c>
      <c r="E333">
        <f t="array" ref="E333">_xlfn.TEXTSPLIT(
_xlfn.TEXTSPLIT(Team_Links[[#This Row],[GameLogs]],"https://www.sports-reference.com/cbb/schools/",,TRUE,0,), "/",,TRUE,0)</f>
        <v/>
      </c>
    </row>
    <row r="334">
      <c r="A334" t="n">
        <v>332</v>
      </c>
      <c r="B334" t="inlineStr">
        <is>
          <t>Utah Tech</t>
        </is>
      </c>
      <c r="C334" t="inlineStr">
        <is>
          <t>https://www.sports-reference.com/cbb/schools/dixie-state/men/2026.html</t>
        </is>
      </c>
      <c r="D334" t="inlineStr">
        <is>
          <t>https://www.sports-reference.com/cbb/schools/dixie-state/men/2026-gamelogs.html</t>
        </is>
      </c>
      <c r="E334">
        <f t="array" ref="E334">_xlfn.TEXTSPLIT(
_xlfn.TEXTSPLIT(Team_Links[[#This Row],[GameLogs]],"https://www.sports-reference.com/cbb/schools/",,TRUE,0,), "/",,TRUE,0)</f>
        <v/>
      </c>
    </row>
    <row r="335">
      <c r="A335" t="n">
        <v>333</v>
      </c>
      <c r="B335" t="inlineStr">
        <is>
          <t>Utah Valley</t>
        </is>
      </c>
      <c r="C335" t="inlineStr">
        <is>
          <t>https://www.sports-reference.com/cbb/schools/utah-valley/men/2026.html</t>
        </is>
      </c>
      <c r="D335" t="inlineStr">
        <is>
          <t>https://www.sports-reference.com/cbb/schools/utah-valley/men/2026-gamelogs.html</t>
        </is>
      </c>
      <c r="E335">
        <f t="array" ref="E335">_xlfn.TEXTSPLIT(
_xlfn.TEXTSPLIT(Team_Links[[#This Row],[GameLogs]],"https://www.sports-reference.com/cbb/schools/",,TRUE,0,), "/",,TRUE,0)</f>
        <v/>
      </c>
    </row>
    <row r="336">
      <c r="A336" t="n">
        <v>334</v>
      </c>
      <c r="B336" t="inlineStr">
        <is>
          <t>UTEP</t>
        </is>
      </c>
      <c r="C336" t="inlineStr">
        <is>
          <t>https://www.sports-reference.com/cbb/schools/texas-el-paso/men/2026.html</t>
        </is>
      </c>
      <c r="D336" t="inlineStr">
        <is>
          <t>https://www.sports-reference.com/cbb/schools/texas-el-paso/men/2026-gamelogs.html</t>
        </is>
      </c>
      <c r="E336">
        <f t="array" ref="E336">_xlfn.TEXTSPLIT(
_xlfn.TEXTSPLIT(Team_Links[[#This Row],[GameLogs]],"https://www.sports-reference.com/cbb/schools/",,TRUE,0,), "/",,TRUE,0)</f>
        <v/>
      </c>
    </row>
    <row r="337">
      <c r="A337" t="n">
        <v>335</v>
      </c>
      <c r="B337" t="inlineStr">
        <is>
          <t>UTSA</t>
        </is>
      </c>
      <c r="C337" t="inlineStr">
        <is>
          <t>https://www.sports-reference.com/cbb/schools/texas-san-antonio/men/2026.html</t>
        </is>
      </c>
      <c r="D337" t="inlineStr">
        <is>
          <t>https://www.sports-reference.com/cbb/schools/texas-san-antonio/men/2026-gamelogs.html</t>
        </is>
      </c>
      <c r="E337">
        <f t="array" ref="E337">_xlfn.TEXTSPLIT(
_xlfn.TEXTSPLIT(Team_Links[[#This Row],[GameLogs]],"https://www.sports-reference.com/cbb/schools/",,TRUE,0,), "/",,TRUE,0)</f>
        <v/>
      </c>
    </row>
    <row r="338">
      <c r="A338" t="n">
        <v>336</v>
      </c>
      <c r="B338" t="inlineStr">
        <is>
          <t>Valparaiso</t>
        </is>
      </c>
      <c r="C338" t="inlineStr">
        <is>
          <t>https://www.sports-reference.com/cbb/schools/valparaiso/men/2026.html</t>
        </is>
      </c>
      <c r="D338" t="inlineStr">
        <is>
          <t>https://www.sports-reference.com/cbb/schools/valparaiso/men/2026-gamelogs.html</t>
        </is>
      </c>
      <c r="E338">
        <f t="array" ref="E338">_xlfn.TEXTSPLIT(
_xlfn.TEXTSPLIT(Team_Links[[#This Row],[GameLogs]],"https://www.sports-reference.com/cbb/schools/",,TRUE,0,), "/",,TRUE,0)</f>
        <v/>
      </c>
    </row>
    <row r="339">
      <c r="A339" t="n">
        <v>337</v>
      </c>
      <c r="B339" t="inlineStr">
        <is>
          <t>Vanderbilt</t>
        </is>
      </c>
      <c r="C339" t="inlineStr">
        <is>
          <t>https://www.sports-reference.com/cbb/schools/vanderbilt/men/2026.html</t>
        </is>
      </c>
      <c r="D339" t="inlineStr">
        <is>
          <t>https://www.sports-reference.com/cbb/schools/vanderbilt/men/2026-gamelogs.html</t>
        </is>
      </c>
      <c r="E339">
        <f t="array" ref="E339">_xlfn.TEXTSPLIT(
_xlfn.TEXTSPLIT(Team_Links[[#This Row],[GameLogs]],"https://www.sports-reference.com/cbb/schools/",,TRUE,0,), "/",,TRUE,0)</f>
        <v/>
      </c>
    </row>
    <row r="340">
      <c r="A340" t="n">
        <v>338</v>
      </c>
      <c r="B340" t="inlineStr">
        <is>
          <t>Vermont</t>
        </is>
      </c>
      <c r="C340" t="inlineStr">
        <is>
          <t>https://www.sports-reference.com/cbb/schools/vermont/men/2026.html</t>
        </is>
      </c>
      <c r="D340" t="inlineStr">
        <is>
          <t>https://www.sports-reference.com/cbb/schools/vermont/men/2026-gamelogs.html</t>
        </is>
      </c>
      <c r="E340">
        <f t="array" ref="E340">_xlfn.TEXTSPLIT(
_xlfn.TEXTSPLIT(Team_Links[[#This Row],[GameLogs]],"https://www.sports-reference.com/cbb/schools/",,TRUE,0,), "/",,TRUE,0)</f>
        <v/>
      </c>
    </row>
    <row r="341">
      <c r="A341" t="n">
        <v>339</v>
      </c>
      <c r="B341" t="inlineStr">
        <is>
          <t>Villanova</t>
        </is>
      </c>
      <c r="C341" t="inlineStr">
        <is>
          <t>https://www.sports-reference.com/cbb/schools/villanova/men/2026.html</t>
        </is>
      </c>
      <c r="D341" t="inlineStr">
        <is>
          <t>https://www.sports-reference.com/cbb/schools/villanova/men/2026-gamelogs.html</t>
        </is>
      </c>
      <c r="E341">
        <f t="array" ref="E341">_xlfn.TEXTSPLIT(
_xlfn.TEXTSPLIT(Team_Links[[#This Row],[GameLogs]],"https://www.sports-reference.com/cbb/schools/",,TRUE,0,), "/",,TRUE,0)</f>
        <v/>
      </c>
    </row>
    <row r="342">
      <c r="A342" t="n">
        <v>340</v>
      </c>
      <c r="B342" t="inlineStr">
        <is>
          <t>Virginia</t>
        </is>
      </c>
      <c r="C342" t="inlineStr">
        <is>
          <t>https://www.sports-reference.com/cbb/schools/virginia/men/2026.html</t>
        </is>
      </c>
      <c r="D342" t="inlineStr">
        <is>
          <t>https://www.sports-reference.com/cbb/schools/virginia/men/2026-gamelogs.html</t>
        </is>
      </c>
      <c r="E342">
        <f t="array" ref="E342">_xlfn.TEXTSPLIT(
_xlfn.TEXTSPLIT(Team_Links[[#This Row],[GameLogs]],"https://www.sports-reference.com/cbb/schools/",,TRUE,0,), "/",,TRUE,0)</f>
        <v/>
      </c>
    </row>
    <row r="343">
      <c r="A343" t="n">
        <v>341</v>
      </c>
      <c r="B343" t="inlineStr">
        <is>
          <t>Virginia Commonwealth</t>
        </is>
      </c>
      <c r="C343" t="inlineStr">
        <is>
          <t>https://www.sports-reference.com/cbb/schools/virginia-commonwealth/men/2026.html</t>
        </is>
      </c>
      <c r="D343" t="inlineStr">
        <is>
          <t>https://www.sports-reference.com/cbb/schools/virginia-commonwealth/men/2026-gamelogs.html</t>
        </is>
      </c>
      <c r="E343">
        <f t="array" ref="E343">_xlfn.TEXTSPLIT(
_xlfn.TEXTSPLIT(Team_Links[[#This Row],[GameLogs]],"https://www.sports-reference.com/cbb/schools/",,TRUE,0,), "/",,TRUE,0)</f>
        <v/>
      </c>
    </row>
    <row r="344">
      <c r="A344" t="n">
        <v>342</v>
      </c>
      <c r="B344" t="inlineStr">
        <is>
          <t>VMI</t>
        </is>
      </c>
      <c r="C344" t="inlineStr">
        <is>
          <t>https://www.sports-reference.com/cbb/schools/virginia-military-institute/men/2026.html</t>
        </is>
      </c>
      <c r="D344" t="inlineStr">
        <is>
          <t>https://www.sports-reference.com/cbb/schools/virginia-military-institute/men/2026-gamelogs.html</t>
        </is>
      </c>
      <c r="E344">
        <f t="array" ref="E344">_xlfn.TEXTSPLIT(
_xlfn.TEXTSPLIT(Team_Links[[#This Row],[GameLogs]],"https://www.sports-reference.com/cbb/schools/",,TRUE,0,), "/",,TRUE,0)</f>
        <v/>
      </c>
    </row>
    <row r="345">
      <c r="A345" t="n">
        <v>343</v>
      </c>
      <c r="B345" t="inlineStr">
        <is>
          <t>Virginia Tech</t>
        </is>
      </c>
      <c r="C345" t="inlineStr">
        <is>
          <t>https://www.sports-reference.com/cbb/schools/virginia-tech/men/2026.html</t>
        </is>
      </c>
      <c r="D345" t="inlineStr">
        <is>
          <t>https://www.sports-reference.com/cbb/schools/virginia-tech/men/2026-gamelogs.html</t>
        </is>
      </c>
      <c r="E345">
        <f t="array" ref="E345">_xlfn.TEXTSPLIT(
_xlfn.TEXTSPLIT(Team_Links[[#This Row],[GameLogs]],"https://www.sports-reference.com/cbb/schools/",,TRUE,0,), "/",,TRUE,0)</f>
        <v/>
      </c>
    </row>
    <row r="346">
      <c r="A346" t="n">
        <v>344</v>
      </c>
      <c r="B346" t="inlineStr">
        <is>
          <t>Wagner</t>
        </is>
      </c>
      <c r="C346" t="inlineStr">
        <is>
          <t>https://www.sports-reference.com/cbb/schools/wagner/men/2026.html</t>
        </is>
      </c>
      <c r="D346" t="inlineStr">
        <is>
          <t>https://www.sports-reference.com/cbb/schools/wagner/men/2026-gamelogs.html</t>
        </is>
      </c>
      <c r="E346">
        <f t="array" ref="E346">_xlfn.TEXTSPLIT(
_xlfn.TEXTSPLIT(Team_Links[[#This Row],[GameLogs]],"https://www.sports-reference.com/cbb/schools/",,TRUE,0,), "/",,TRUE,0)</f>
        <v/>
      </c>
    </row>
    <row r="347">
      <c r="A347" t="n">
        <v>345</v>
      </c>
      <c r="B347" t="inlineStr">
        <is>
          <t>Wake Forest</t>
        </is>
      </c>
      <c r="C347" t="inlineStr">
        <is>
          <t>https://www.sports-reference.com/cbb/schools/wake-forest/men/2026.html</t>
        </is>
      </c>
      <c r="D347" t="inlineStr">
        <is>
          <t>https://www.sports-reference.com/cbb/schools/wake-forest/men/2026-gamelogs.html</t>
        </is>
      </c>
      <c r="E347">
        <f t="array" ref="E347">_xlfn.TEXTSPLIT(
_xlfn.TEXTSPLIT(Team_Links[[#This Row],[GameLogs]],"https://www.sports-reference.com/cbb/schools/",,TRUE,0,), "/",,TRUE,0)</f>
        <v/>
      </c>
    </row>
    <row r="348">
      <c r="A348" t="n">
        <v>346</v>
      </c>
      <c r="B348" t="inlineStr">
        <is>
          <t>Washington</t>
        </is>
      </c>
      <c r="C348" t="inlineStr">
        <is>
          <t>https://www.sports-reference.com/cbb/schools/washington/men/2026.html</t>
        </is>
      </c>
      <c r="D348" t="inlineStr">
        <is>
          <t>https://www.sports-reference.com/cbb/schools/washington/men/2026-gamelogs.html</t>
        </is>
      </c>
      <c r="E348">
        <f t="array" ref="E348">_xlfn.TEXTSPLIT(
_xlfn.TEXTSPLIT(Team_Links[[#This Row],[GameLogs]],"https://www.sports-reference.com/cbb/schools/",,TRUE,0,), "/",,TRUE,0)</f>
        <v/>
      </c>
    </row>
    <row r="349">
      <c r="A349" t="n">
        <v>347</v>
      </c>
      <c r="B349" t="inlineStr">
        <is>
          <t>Washington State</t>
        </is>
      </c>
      <c r="C349" t="inlineStr">
        <is>
          <t>https://www.sports-reference.com/cbb/schools/washington-state/men/2026.html</t>
        </is>
      </c>
      <c r="D349" t="inlineStr">
        <is>
          <t>https://www.sports-reference.com/cbb/schools/washington-state/men/2026-gamelogs.html</t>
        </is>
      </c>
      <c r="E349">
        <f t="array" ref="E349">_xlfn.TEXTSPLIT(
_xlfn.TEXTSPLIT(Team_Links[[#This Row],[GameLogs]],"https://www.sports-reference.com/cbb/schools/",,TRUE,0,), "/",,TRUE,0)</f>
        <v/>
      </c>
    </row>
    <row r="350">
      <c r="A350" t="n">
        <v>348</v>
      </c>
      <c r="B350" t="inlineStr">
        <is>
          <t>Weber State</t>
        </is>
      </c>
      <c r="C350" t="inlineStr">
        <is>
          <t>https://www.sports-reference.com/cbb/schools/weber-state/men/2026.html</t>
        </is>
      </c>
      <c r="D350" t="inlineStr">
        <is>
          <t>https://www.sports-reference.com/cbb/schools/weber-state/men/2026-gamelogs.html</t>
        </is>
      </c>
      <c r="E350">
        <f t="array" ref="E350">_xlfn.TEXTSPLIT(
_xlfn.TEXTSPLIT(Team_Links[[#This Row],[GameLogs]],"https://www.sports-reference.com/cbb/schools/",,TRUE,0,), "/",,TRUE,0)</f>
        <v/>
      </c>
    </row>
    <row r="351">
      <c r="A351" t="n">
        <v>349</v>
      </c>
      <c r="B351" t="inlineStr">
        <is>
          <t>West Georgia</t>
        </is>
      </c>
      <c r="C351" t="inlineStr">
        <is>
          <t>https://www.sports-reference.com/cbb/schools/west-georgia/men/2026.html</t>
        </is>
      </c>
      <c r="D351" t="inlineStr">
        <is>
          <t>https://www.sports-reference.com/cbb/schools/west-georgia/men/2026-gamelogs.html</t>
        </is>
      </c>
      <c r="E351">
        <f t="array" ref="E351">_xlfn.TEXTSPLIT(
_xlfn.TEXTSPLIT(Team_Links[[#This Row],[GameLogs]],"https://www.sports-reference.com/cbb/schools/",,TRUE,0,), "/",,TRUE,0)</f>
        <v/>
      </c>
    </row>
    <row r="352">
      <c r="A352" t="n">
        <v>350</v>
      </c>
      <c r="B352" t="inlineStr">
        <is>
          <t>West Virginia</t>
        </is>
      </c>
      <c r="C352" t="inlineStr">
        <is>
          <t>https://www.sports-reference.com/cbb/schools/west-virginia/men/2026.html</t>
        </is>
      </c>
      <c r="D352" t="inlineStr">
        <is>
          <t>https://www.sports-reference.com/cbb/schools/west-virginia/men/2026-gamelogs.html</t>
        </is>
      </c>
      <c r="E352">
        <f t="array" ref="E352">_xlfn.TEXTSPLIT(
_xlfn.TEXTSPLIT(Team_Links[[#This Row],[GameLogs]],"https://www.sports-reference.com/cbb/schools/",,TRUE,0,), "/",,TRUE,0)</f>
        <v/>
      </c>
    </row>
    <row r="353">
      <c r="A353" t="n">
        <v>351</v>
      </c>
      <c r="B353" t="inlineStr">
        <is>
          <t>Western Carolina</t>
        </is>
      </c>
      <c r="C353" t="inlineStr">
        <is>
          <t>https://www.sports-reference.com/cbb/schools/western-carolina/men/2026.html</t>
        </is>
      </c>
      <c r="D353" t="inlineStr">
        <is>
          <t>https://www.sports-reference.com/cbb/schools/western-carolina/men/2026-gamelogs.html</t>
        </is>
      </c>
      <c r="E353">
        <f t="array" ref="E353">_xlfn.TEXTSPLIT(
_xlfn.TEXTSPLIT(Team_Links[[#This Row],[GameLogs]],"https://www.sports-reference.com/cbb/schools/",,TRUE,0,), "/",,TRUE,0)</f>
        <v/>
      </c>
    </row>
    <row r="354">
      <c r="A354" t="n">
        <v>352</v>
      </c>
      <c r="B354" t="inlineStr">
        <is>
          <t>Western Illinois</t>
        </is>
      </c>
      <c r="C354" t="inlineStr">
        <is>
          <t>https://www.sports-reference.com/cbb/schools/western-illinois/men/2026.html</t>
        </is>
      </c>
      <c r="D354" t="inlineStr">
        <is>
          <t>https://www.sports-reference.com/cbb/schools/western-illinois/men/2026-gamelogs.html</t>
        </is>
      </c>
      <c r="E354">
        <f t="array" ref="E354">_xlfn.TEXTSPLIT(
_xlfn.TEXTSPLIT(Team_Links[[#This Row],[GameLogs]],"https://www.sports-reference.com/cbb/schools/",,TRUE,0,), "/",,TRUE,0)</f>
        <v/>
      </c>
    </row>
    <row r="355">
      <c r="A355" t="n">
        <v>353</v>
      </c>
      <c r="B355" t="inlineStr">
        <is>
          <t>Western Kentucky</t>
        </is>
      </c>
      <c r="C355" t="inlineStr">
        <is>
          <t>https://www.sports-reference.com/cbb/schools/western-kentucky/men/2026.html</t>
        </is>
      </c>
      <c r="D355" t="inlineStr">
        <is>
          <t>https://www.sports-reference.com/cbb/schools/western-kentucky/men/2026-gamelogs.html</t>
        </is>
      </c>
      <c r="E355">
        <f t="array" ref="E355">_xlfn.TEXTSPLIT(
_xlfn.TEXTSPLIT(Team_Links[[#This Row],[GameLogs]],"https://www.sports-reference.com/cbb/schools/",,TRUE,0,), "/",,TRUE,0)</f>
        <v/>
      </c>
    </row>
    <row r="356">
      <c r="A356" t="n">
        <v>354</v>
      </c>
      <c r="B356" t="inlineStr">
        <is>
          <t>Western Michigan</t>
        </is>
      </c>
      <c r="C356" t="inlineStr">
        <is>
          <t>https://www.sports-reference.com/cbb/schools/western-michigan/men/2026.html</t>
        </is>
      </c>
      <c r="D356" t="inlineStr">
        <is>
          <t>https://www.sports-reference.com/cbb/schools/western-michigan/men/2026-gamelogs.html</t>
        </is>
      </c>
      <c r="E356">
        <f t="array" ref="E356">_xlfn.TEXTSPLIT(
_xlfn.TEXTSPLIT(Team_Links[[#This Row],[GameLogs]],"https://www.sports-reference.com/cbb/schools/",,TRUE,0,), "/",,TRUE,0)</f>
        <v/>
      </c>
    </row>
    <row r="357">
      <c r="A357" t="n">
        <v>355</v>
      </c>
      <c r="B357" t="inlineStr">
        <is>
          <t>Wichita State</t>
        </is>
      </c>
      <c r="C357" t="inlineStr">
        <is>
          <t>https://www.sports-reference.com/cbb/schools/wichita-state/men/2026.html</t>
        </is>
      </c>
      <c r="D357" t="inlineStr">
        <is>
          <t>https://www.sports-reference.com/cbb/schools/wichita-state/men/2026-gamelogs.html</t>
        </is>
      </c>
      <c r="E357">
        <f t="array" ref="E357">_xlfn.TEXTSPLIT(
_xlfn.TEXTSPLIT(Team_Links[[#This Row],[GameLogs]],"https://www.sports-reference.com/cbb/schools/",,TRUE,0,), "/",,TRUE,0)</f>
        <v/>
      </c>
    </row>
    <row r="358">
      <c r="A358" t="n">
        <v>356</v>
      </c>
      <c r="B358" t="inlineStr">
        <is>
          <t>William &amp; Mary</t>
        </is>
      </c>
      <c r="C358" t="inlineStr">
        <is>
          <t>https://www.sports-reference.com/cbb/schools/william-mary/men/2026.html</t>
        </is>
      </c>
      <c r="D358" t="inlineStr">
        <is>
          <t>https://www.sports-reference.com/cbb/schools/william-mary/men/2026-gamelogs.html</t>
        </is>
      </c>
      <c r="E358">
        <f t="array" ref="E358">_xlfn.TEXTSPLIT(
_xlfn.TEXTSPLIT(Team_Links[[#This Row],[GameLogs]],"https://www.sports-reference.com/cbb/schools/",,TRUE,0,), "/",,TRUE,0)</f>
        <v/>
      </c>
    </row>
    <row r="359">
      <c r="A359" t="n">
        <v>357</v>
      </c>
      <c r="B359" t="inlineStr">
        <is>
          <t>Winthrop</t>
        </is>
      </c>
      <c r="C359" t="inlineStr">
        <is>
          <t>https://www.sports-reference.com/cbb/schools/winthrop/men/2026.html</t>
        </is>
      </c>
      <c r="D359" t="inlineStr">
        <is>
          <t>https://www.sports-reference.com/cbb/schools/winthrop/men/2026-gamelogs.html</t>
        </is>
      </c>
      <c r="E359">
        <f t="array" ref="E359">_xlfn.TEXTSPLIT(
_xlfn.TEXTSPLIT(Team_Links[[#This Row],[GameLogs]],"https://www.sports-reference.com/cbb/schools/",,TRUE,0,), "/",,TRUE,0)</f>
        <v/>
      </c>
    </row>
    <row r="360">
      <c r="A360" t="n">
        <v>358</v>
      </c>
      <c r="B360" t="inlineStr">
        <is>
          <t>Wisconsin</t>
        </is>
      </c>
      <c r="C360" t="inlineStr">
        <is>
          <t>https://www.sports-reference.com/cbb/schools/wisconsin/men/2026.html</t>
        </is>
      </c>
      <c r="D360" t="inlineStr">
        <is>
          <t>https://www.sports-reference.com/cbb/schools/wisconsin/men/2026-gamelogs.html</t>
        </is>
      </c>
      <c r="E360">
        <f t="array" ref="E360">_xlfn.TEXTSPLIT(
_xlfn.TEXTSPLIT(Team_Links[[#This Row],[GameLogs]],"https://www.sports-reference.com/cbb/schools/",,TRUE,0,), "/",,TRUE,0)</f>
        <v/>
      </c>
    </row>
    <row r="361">
      <c r="A361" t="n">
        <v>359</v>
      </c>
      <c r="B361" t="inlineStr">
        <is>
          <t>Wofford</t>
        </is>
      </c>
      <c r="C361" t="inlineStr">
        <is>
          <t>https://www.sports-reference.com/cbb/schools/wofford/men/2026.html</t>
        </is>
      </c>
      <c r="D361" t="inlineStr">
        <is>
          <t>https://www.sports-reference.com/cbb/schools/wofford/men/2026-gamelogs.html</t>
        </is>
      </c>
      <c r="E361">
        <f t="array" ref="E361">_xlfn.TEXTSPLIT(
_xlfn.TEXTSPLIT(Team_Links[[#This Row],[GameLogs]],"https://www.sports-reference.com/cbb/schools/",,TRUE,0,), "/",,TRUE,0)</f>
        <v/>
      </c>
    </row>
    <row r="362">
      <c r="A362" t="n">
        <v>360</v>
      </c>
      <c r="B362" t="inlineStr">
        <is>
          <t>Wright State</t>
        </is>
      </c>
      <c r="C362" t="inlineStr">
        <is>
          <t>https://www.sports-reference.com/cbb/schools/wright-state/men/2026.html</t>
        </is>
      </c>
      <c r="D362" t="inlineStr">
        <is>
          <t>https://www.sports-reference.com/cbb/schools/wright-state/men/2026-gamelogs.html</t>
        </is>
      </c>
      <c r="E362">
        <f t="array" ref="E362">_xlfn.TEXTSPLIT(
_xlfn.TEXTSPLIT(Team_Links[[#This Row],[GameLogs]],"https://www.sports-reference.com/cbb/schools/",,TRUE,0,), "/",,TRUE,0)</f>
        <v/>
      </c>
    </row>
    <row r="363">
      <c r="A363" t="n">
        <v>361</v>
      </c>
      <c r="B363" t="inlineStr">
        <is>
          <t>Wyoming</t>
        </is>
      </c>
      <c r="C363" t="inlineStr">
        <is>
          <t>https://www.sports-reference.com/cbb/schools/wyoming/men/2026.html</t>
        </is>
      </c>
      <c r="D363" t="inlineStr">
        <is>
          <t>https://www.sports-reference.com/cbb/schools/wyoming/men/2026-gamelogs.html</t>
        </is>
      </c>
      <c r="E363">
        <f t="array" ref="E363">_xlfn.TEXTSPLIT(
_xlfn.TEXTSPLIT(Team_Links[[#This Row],[GameLogs]],"https://www.sports-reference.com/cbb/schools/",,TRUE,0,), "/",,TRUE,0)</f>
        <v/>
      </c>
    </row>
    <row r="364">
      <c r="A364" t="n">
        <v>362</v>
      </c>
      <c r="B364" t="inlineStr">
        <is>
          <t>Xavier</t>
        </is>
      </c>
      <c r="C364" t="inlineStr">
        <is>
          <t>https://www.sports-reference.com/cbb/schools/xavier/men/2026.html</t>
        </is>
      </c>
      <c r="D364" t="inlineStr">
        <is>
          <t>https://www.sports-reference.com/cbb/schools/xavier/men/2026-gamelogs.html</t>
        </is>
      </c>
      <c r="E364">
        <f t="array" ref="E364">_xlfn.TEXTSPLIT(
_xlfn.TEXTSPLIT(Team_Links[[#This Row],[GameLogs]],"https://www.sports-reference.com/cbb/schools/",,TRUE,0,), "/",,TRUE,0)</f>
        <v/>
      </c>
    </row>
    <row r="365">
      <c r="A365" t="n">
        <v>363</v>
      </c>
      <c r="B365" t="inlineStr">
        <is>
          <t>Yale</t>
        </is>
      </c>
      <c r="C365" t="inlineStr">
        <is>
          <t>https://www.sports-reference.com/cbb/schools/yale/men/2026.html</t>
        </is>
      </c>
      <c r="D365" t="inlineStr">
        <is>
          <t>https://www.sports-reference.com/cbb/schools/yale/men/2026-gamelogs.html</t>
        </is>
      </c>
      <c r="E365">
        <f t="array" ref="E365">_xlfn.TEXTSPLIT(
_xlfn.TEXTSPLIT(Team_Links[[#This Row],[GameLogs]],"https://www.sports-reference.com/cbb/schools/",,TRUE,0,), "/",,TRUE,0)</f>
        <v/>
      </c>
    </row>
    <row r="366">
      <c r="A366" t="n">
        <v>364</v>
      </c>
      <c r="B366" t="inlineStr">
        <is>
          <t>Youngstown State</t>
        </is>
      </c>
      <c r="C366" t="inlineStr">
        <is>
          <t>https://www.sports-reference.com/cbb/schools/youngstown-state/men/2026.html</t>
        </is>
      </c>
      <c r="D366" t="inlineStr">
        <is>
          <t>https://www.sports-reference.com/cbb/schools/youngstown-state/men/2026-gamelogs.html</t>
        </is>
      </c>
      <c r="E366">
        <f t="array" ref="E366">_xlfn.TEXTSPLIT(
_xlfn.TEXTSPLIT(Team_Links[[#This Row],[GameLogs]],"https://www.sports-reference.com/cbb/schools/",,TRUE,0,), "/",,TRUE,0)</f>
        <v/>
      </c>
    </row>
  </sheetData>
  <hyperlinks>
    <hyperlink xmlns:r="http://schemas.openxmlformats.org/officeDocument/2006/relationships" ref="C185" r:id="rId1"/>
  </hyperlinks>
  <pageMargins left="0.7" right="0.7" top="0.75" bottom="0.75" header="0.3" footer="0.3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tabColor rgb="FFFEC89C"/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G20" sqref="G20"/>
    </sheetView>
  </sheetViews>
  <sheetFormatPr baseColWidth="8" defaultRowHeight="16.8" customHeight="1"/>
  <cols>
    <col width="5.33203125" bestFit="1" customWidth="1" style="1" min="1" max="1"/>
    <col width="11.77734375" customWidth="1" style="1" min="2" max="2"/>
    <col width="26.88671875" customWidth="1" min="3" max="3"/>
    <col width="21.109375" bestFit="1" customWidth="1" min="4" max="4"/>
    <col width="5.44140625" bestFit="1" customWidth="1" style="1" min="5" max="5"/>
  </cols>
  <sheetData>
    <row r="1" ht="16.8" customHeight="1">
      <c r="A1" s="21" t="inlineStr">
        <is>
          <t>Seed</t>
        </is>
      </c>
      <c r="B1" s="21" t="inlineStr">
        <is>
          <t>Region</t>
        </is>
      </c>
      <c r="C1" s="21" t="inlineStr">
        <is>
          <t>Team</t>
        </is>
      </c>
      <c r="D1" s="21" t="inlineStr">
        <is>
          <t>Hyperlink Name</t>
        </is>
      </c>
      <c r="E1" s="21" t="inlineStr">
        <is>
          <t>Logo</t>
        </is>
      </c>
    </row>
    <row r="2" ht="16.8" customHeight="1">
      <c r="A2" s="1" t="n">
        <v>1</v>
      </c>
      <c r="B2" s="1" t="inlineStr">
        <is>
          <t>South</t>
        </is>
      </c>
      <c r="C2" t="inlineStr">
        <is>
          <t>Abilene Christian</t>
        </is>
      </c>
      <c r="D2">
        <f>_xlfn.XLOOKUP(Teams[[#This Row],[Team]],Team_Links[School],Team_Links[PartialLink],,0,1)</f>
        <v/>
      </c>
      <c r="E2" s="1">
        <f>_xlfn.IMAGE(_xlfn.CONCAT("https://cdn.ssref.net/req/202510241/tlogo/ncaa/",TEXT(Teams[[#This Row],[Hyperlink Name]],),"-2025.png"))</f>
        <v/>
      </c>
      <c r="F2" s="66" t="n"/>
    </row>
    <row r="3" ht="16.8" customHeight="1">
      <c r="A3" s="1" t="n">
        <v>16</v>
      </c>
      <c r="B3" s="1" t="inlineStr">
        <is>
          <t>South</t>
        </is>
      </c>
      <c r="C3" t="inlineStr">
        <is>
          <t>Air Force</t>
        </is>
      </c>
      <c r="D3">
        <f>_xlfn.XLOOKUP(Teams[[#This Row],[Team]],Team_Links[School],Team_Links[PartialLink],,0,1)</f>
        <v/>
      </c>
      <c r="E3" s="1">
        <f>_xlfn.IMAGE(_xlfn.CONCAT("https://cdn.ssref.net/req/202510241/tlogo/ncaa/",TEXT(Teams[[#This Row],[Hyperlink Name]],),"-2025.png"))</f>
        <v/>
      </c>
    </row>
    <row r="4" ht="16.8" customHeight="1">
      <c r="A4" s="1" t="n">
        <v>8</v>
      </c>
      <c r="B4" s="1" t="inlineStr">
        <is>
          <t>South</t>
        </is>
      </c>
      <c r="C4" t="inlineStr">
        <is>
          <t>Akron</t>
        </is>
      </c>
      <c r="D4">
        <f>_xlfn.XLOOKUP(Teams[[#This Row],[Team]],Team_Links[School],Team_Links[PartialLink],,0,1)</f>
        <v/>
      </c>
      <c r="E4" s="1">
        <f>_xlfn.IMAGE(_xlfn.CONCAT("https://cdn.ssref.net/req/202510241/tlogo/ncaa/",TEXT(Teams[[#This Row],[Hyperlink Name]],),"-2025.png"))</f>
        <v/>
      </c>
    </row>
    <row r="5" ht="16.8" customHeight="1">
      <c r="A5" s="1" t="n">
        <v>9</v>
      </c>
      <c r="B5" s="1" t="inlineStr">
        <is>
          <t>South</t>
        </is>
      </c>
      <c r="C5" t="inlineStr">
        <is>
          <t>Alabama</t>
        </is>
      </c>
      <c r="D5">
        <f>_xlfn.XLOOKUP(Teams[[#This Row],[Team]],Team_Links[School],Team_Links[PartialLink],,0,1)</f>
        <v/>
      </c>
      <c r="E5" s="1">
        <f>_xlfn.IMAGE(_xlfn.CONCAT("https://cdn.ssref.net/req/202510241/tlogo/ncaa/",TEXT(Teams[[#This Row],[Hyperlink Name]],),"-2025.png"))</f>
        <v/>
      </c>
    </row>
    <row r="6" ht="16.8" customHeight="1">
      <c r="A6" s="1" t="n">
        <v>5</v>
      </c>
      <c r="B6" s="1" t="inlineStr">
        <is>
          <t>South</t>
        </is>
      </c>
      <c r="C6" t="inlineStr">
        <is>
          <t>Alabama A&amp;M</t>
        </is>
      </c>
      <c r="D6">
        <f>_xlfn.XLOOKUP(Teams[[#This Row],[Team]],Team_Links[School],Team_Links[PartialLink],,0,1)</f>
        <v/>
      </c>
      <c r="E6" s="1">
        <f>_xlfn.IMAGE(_xlfn.CONCAT("https://cdn.ssref.net/req/202510241/tlogo/ncaa/",TEXT(Teams[[#This Row],[Hyperlink Name]],),"-2025.png"))</f>
        <v/>
      </c>
    </row>
    <row r="7" ht="16.8" customHeight="1">
      <c r="A7" s="1" t="n">
        <v>12</v>
      </c>
      <c r="B7" s="1" t="inlineStr">
        <is>
          <t>South</t>
        </is>
      </c>
      <c r="C7" t="inlineStr">
        <is>
          <t>Alabama State</t>
        </is>
      </c>
      <c r="D7">
        <f>_xlfn.XLOOKUP(Teams[[#This Row],[Team]],Team_Links[School],Team_Links[PartialLink],,0,1)</f>
        <v/>
      </c>
      <c r="E7" s="1">
        <f>_xlfn.IMAGE(_xlfn.CONCAT("https://cdn.ssref.net/req/202510241/tlogo/ncaa/",TEXT(Teams[[#This Row],[Hyperlink Name]],),"-2025.png"))</f>
        <v/>
      </c>
    </row>
    <row r="8" ht="16.8" customHeight="1">
      <c r="A8" s="1" t="n">
        <v>4</v>
      </c>
      <c r="B8" s="1" t="inlineStr">
        <is>
          <t>South</t>
        </is>
      </c>
      <c r="C8" t="inlineStr">
        <is>
          <t>Albany (NY)</t>
        </is>
      </c>
      <c r="D8">
        <f>_xlfn.XLOOKUP(Teams[[#This Row],[Team]],Team_Links[School],Team_Links[PartialLink],,0,1)</f>
        <v/>
      </c>
      <c r="E8" s="1">
        <f>_xlfn.IMAGE(_xlfn.CONCAT("https://cdn.ssref.net/req/202510241/tlogo/ncaa/",TEXT(Teams[[#This Row],[Hyperlink Name]],),"-2025.png"))</f>
        <v/>
      </c>
    </row>
    <row r="9" ht="16.8" customHeight="1">
      <c r="A9" s="1" t="n">
        <v>13</v>
      </c>
      <c r="B9" s="1" t="inlineStr">
        <is>
          <t>South</t>
        </is>
      </c>
      <c r="C9" t="inlineStr">
        <is>
          <t>Alcorn State</t>
        </is>
      </c>
      <c r="D9">
        <f>_xlfn.XLOOKUP(Teams[[#This Row],[Team]],Team_Links[School],Team_Links[PartialLink],,0,1)</f>
        <v/>
      </c>
      <c r="E9" s="1">
        <f>_xlfn.IMAGE(_xlfn.CONCAT("https://cdn.ssref.net/req/202510241/tlogo/ncaa/",TEXT(Teams[[#This Row],[Hyperlink Name]],),"-2025.png"))</f>
        <v/>
      </c>
    </row>
    <row r="10" ht="16.8" customHeight="1">
      <c r="A10" s="1" t="n">
        <v>6</v>
      </c>
      <c r="B10" s="1" t="inlineStr">
        <is>
          <t>South</t>
        </is>
      </c>
      <c r="C10" t="inlineStr">
        <is>
          <t>American</t>
        </is>
      </c>
      <c r="D10">
        <f>_xlfn.XLOOKUP(Teams[[#This Row],[Team]],Team_Links[School],Team_Links[PartialLink],,0,1)</f>
        <v/>
      </c>
      <c r="E10" s="1">
        <f>_xlfn.IMAGE(_xlfn.CONCAT("https://cdn.ssref.net/req/202510241/tlogo/ncaa/",TEXT(Teams[[#This Row],[Hyperlink Name]],),"-2025.png"))</f>
        <v/>
      </c>
    </row>
    <row r="11" ht="16.8" customHeight="1">
      <c r="A11" s="1" t="n">
        <v>11</v>
      </c>
      <c r="B11" s="1" t="inlineStr">
        <is>
          <t>South</t>
        </is>
      </c>
      <c r="C11" t="inlineStr">
        <is>
          <t>Appalachian State</t>
        </is>
      </c>
      <c r="D11">
        <f>_xlfn.XLOOKUP(Teams[[#This Row],[Team]],Team_Links[School],Team_Links[PartialLink],,0,1)</f>
        <v/>
      </c>
      <c r="E11" s="1">
        <f>_xlfn.IMAGE(_xlfn.CONCAT("https://cdn.ssref.net/req/202510241/tlogo/ncaa/",TEXT(Teams[[#This Row],[Hyperlink Name]],),"-2025.png"))</f>
        <v/>
      </c>
    </row>
    <row r="12" ht="16.8" customHeight="1">
      <c r="A12" s="1" t="n">
        <v>3</v>
      </c>
      <c r="B12" s="1" t="inlineStr">
        <is>
          <t>South</t>
        </is>
      </c>
      <c r="C12" t="inlineStr">
        <is>
          <t>Arizona</t>
        </is>
      </c>
      <c r="D12">
        <f>_xlfn.XLOOKUP(Teams[[#This Row],[Team]],Team_Links[School],Team_Links[PartialLink],,0,1)</f>
        <v/>
      </c>
      <c r="E12" s="1">
        <f>_xlfn.IMAGE(_xlfn.CONCAT("https://cdn.ssref.net/req/202510241/tlogo/ncaa/",TEXT(Teams[[#This Row],[Hyperlink Name]],),"-2025.png"))</f>
        <v/>
      </c>
    </row>
    <row r="13" ht="16.8" customHeight="1">
      <c r="A13" s="1" t="n">
        <v>14</v>
      </c>
      <c r="B13" s="1" t="inlineStr">
        <is>
          <t>South</t>
        </is>
      </c>
      <c r="C13" t="inlineStr">
        <is>
          <t>Arizona State</t>
        </is>
      </c>
      <c r="D13">
        <f>_xlfn.XLOOKUP(Teams[[#This Row],[Team]],Team_Links[School],Team_Links[PartialLink],,0,1)</f>
        <v/>
      </c>
      <c r="E13" s="1">
        <f>_xlfn.IMAGE(_xlfn.CONCAT("https://cdn.ssref.net/req/202510241/tlogo/ncaa/",TEXT(Teams[[#This Row],[Hyperlink Name]],),"-2025.png"))</f>
        <v/>
      </c>
    </row>
    <row r="14" ht="16.8" customHeight="1">
      <c r="A14" s="1" t="n">
        <v>7</v>
      </c>
      <c r="B14" s="1" t="inlineStr">
        <is>
          <t>South</t>
        </is>
      </c>
      <c r="C14" t="inlineStr">
        <is>
          <t>Arkansas</t>
        </is>
      </c>
      <c r="D14">
        <f>_xlfn.XLOOKUP(Teams[[#This Row],[Team]],Team_Links[School],Team_Links[PartialLink],,0,1)</f>
        <v/>
      </c>
      <c r="E14" s="1">
        <f>_xlfn.IMAGE(_xlfn.CONCAT("https://cdn.ssref.net/req/202510241/tlogo/ncaa/",TEXT(Teams[[#This Row],[Hyperlink Name]],),"-2025.png"))</f>
        <v/>
      </c>
    </row>
    <row r="15" ht="16.8" customHeight="1">
      <c r="A15" s="1" t="n">
        <v>10</v>
      </c>
      <c r="B15" s="1" t="inlineStr">
        <is>
          <t>South</t>
        </is>
      </c>
      <c r="C15" t="inlineStr">
        <is>
          <t>Arkansas State</t>
        </is>
      </c>
      <c r="D15">
        <f>_xlfn.XLOOKUP(Teams[[#This Row],[Team]],Team_Links[School],Team_Links[PartialLink],,0,1)</f>
        <v/>
      </c>
      <c r="E15" s="1">
        <f>_xlfn.IMAGE(_xlfn.CONCAT("https://cdn.ssref.net/req/202510241/tlogo/ncaa/",TEXT(Teams[[#This Row],[Hyperlink Name]],),"-2025.png"))</f>
        <v/>
      </c>
    </row>
    <row r="16" ht="16.8" customHeight="1">
      <c r="A16" s="1" t="n">
        <v>2</v>
      </c>
      <c r="B16" s="1" t="inlineStr">
        <is>
          <t>South</t>
        </is>
      </c>
      <c r="C16" t="inlineStr">
        <is>
          <t>Arkansas-Pine Bluff</t>
        </is>
      </c>
      <c r="D16">
        <f>_xlfn.XLOOKUP(Teams[[#This Row],[Team]],Team_Links[School],Team_Links[PartialLink],,0,1)</f>
        <v/>
      </c>
      <c r="E16" s="1">
        <f>_xlfn.IMAGE(_xlfn.CONCAT("https://cdn.ssref.net/req/202510241/tlogo/ncaa/",TEXT(Teams[[#This Row],[Hyperlink Name]],),"-2025.png"))</f>
        <v/>
      </c>
    </row>
    <row r="17" ht="16.8" customHeight="1">
      <c r="A17" s="1" t="n">
        <v>15</v>
      </c>
      <c r="B17" s="1" t="inlineStr">
        <is>
          <t>South</t>
        </is>
      </c>
      <c r="C17" t="inlineStr">
        <is>
          <t>Army</t>
        </is>
      </c>
      <c r="D17">
        <f>_xlfn.XLOOKUP(Teams[[#This Row],[Team]],Team_Links[School],Team_Links[PartialLink],,0,1)</f>
        <v/>
      </c>
      <c r="E17" s="1">
        <f>_xlfn.IMAGE(_xlfn.CONCAT("https://cdn.ssref.net/req/202510241/tlogo/ncaa/",TEXT(Teams[[#This Row],[Hyperlink Name]],),"-2025.png"))</f>
        <v/>
      </c>
    </row>
    <row r="18" ht="16.8" customHeight="1">
      <c r="A18" s="1" t="n">
        <v>1</v>
      </c>
      <c r="B18" s="1" t="inlineStr">
        <is>
          <t>West</t>
        </is>
      </c>
      <c r="C18" t="inlineStr">
        <is>
          <t>Auburn</t>
        </is>
      </c>
      <c r="D18">
        <f>_xlfn.XLOOKUP(Teams[[#This Row],[Team]],Team_Links[School],Team_Links[PartialLink],,0,1)</f>
        <v/>
      </c>
      <c r="E18" s="1">
        <f>_xlfn.IMAGE(_xlfn.CONCAT("https://cdn.ssref.net/req/202510241/tlogo/ncaa/",TEXT(Teams[[#This Row],[Hyperlink Name]],),"-2025.png"))</f>
        <v/>
      </c>
    </row>
    <row r="19" ht="16.8" customHeight="1">
      <c r="A19" s="1" t="n">
        <v>16</v>
      </c>
      <c r="B19" s="1" t="inlineStr">
        <is>
          <t>West</t>
        </is>
      </c>
      <c r="C19" t="inlineStr">
        <is>
          <t>Austin Peay</t>
        </is>
      </c>
      <c r="D19">
        <f>_xlfn.XLOOKUP(Teams[[#This Row],[Team]],Team_Links[School],Team_Links[PartialLink],,0,1)</f>
        <v/>
      </c>
      <c r="E19" s="1">
        <f>_xlfn.IMAGE(_xlfn.CONCAT("https://cdn.ssref.net/req/202510241/tlogo/ncaa/",TEXT(Teams[[#This Row],[Hyperlink Name]],),"-2025.png"))</f>
        <v/>
      </c>
    </row>
    <row r="20" ht="16.8" customHeight="1">
      <c r="A20" s="1" t="n">
        <v>8</v>
      </c>
      <c r="B20" s="1" t="inlineStr">
        <is>
          <t>West</t>
        </is>
      </c>
      <c r="C20" t="inlineStr">
        <is>
          <t>Ball State</t>
        </is>
      </c>
      <c r="D20">
        <f>_xlfn.XLOOKUP(Teams[[#This Row],[Team]],Team_Links[School],Team_Links[PartialLink],,0,1)</f>
        <v/>
      </c>
      <c r="E20" s="1">
        <f>_xlfn.IMAGE(_xlfn.CONCAT("https://cdn.ssref.net/req/202510241/tlogo/ncaa/",TEXT(Teams[[#This Row],[Hyperlink Name]],),"-2025.png"))</f>
        <v/>
      </c>
    </row>
    <row r="21" ht="16.8" customHeight="1">
      <c r="A21" s="1" t="n">
        <v>9</v>
      </c>
      <c r="B21" s="1" t="inlineStr">
        <is>
          <t>West</t>
        </is>
      </c>
      <c r="C21" t="inlineStr">
        <is>
          <t>Baylor</t>
        </is>
      </c>
      <c r="D21">
        <f>_xlfn.XLOOKUP(Teams[[#This Row],[Team]],Team_Links[School],Team_Links[PartialLink],,0,1)</f>
        <v/>
      </c>
      <c r="E21" s="1">
        <f>_xlfn.IMAGE(_xlfn.CONCAT("https://cdn.ssref.net/req/202510241/tlogo/ncaa/",TEXT(Teams[[#This Row],[Hyperlink Name]],),"-2025.png"))</f>
        <v/>
      </c>
    </row>
    <row r="22" ht="16.8" customHeight="1">
      <c r="A22" s="1" t="n">
        <v>5</v>
      </c>
      <c r="B22" s="1" t="inlineStr">
        <is>
          <t>West</t>
        </is>
      </c>
      <c r="C22" t="inlineStr">
        <is>
          <t>Bellarmine</t>
        </is>
      </c>
      <c r="D22">
        <f>_xlfn.XLOOKUP(Teams[[#This Row],[Team]],Team_Links[School],Team_Links[PartialLink],,0,1)</f>
        <v/>
      </c>
      <c r="E22" s="1">
        <f>_xlfn.IMAGE(_xlfn.CONCAT("https://cdn.ssref.net/req/202510241/tlogo/ncaa/",TEXT(Teams[[#This Row],[Hyperlink Name]],),"-2025.png"))</f>
        <v/>
      </c>
    </row>
    <row r="23" ht="16.8" customHeight="1">
      <c r="A23" s="1" t="n">
        <v>12</v>
      </c>
      <c r="B23" s="1" t="inlineStr">
        <is>
          <t>West</t>
        </is>
      </c>
      <c r="C23" t="inlineStr">
        <is>
          <t>Belmont</t>
        </is>
      </c>
      <c r="D23">
        <f>_xlfn.XLOOKUP(Teams[[#This Row],[Team]],Team_Links[School],Team_Links[PartialLink],,0,1)</f>
        <v/>
      </c>
      <c r="E23" s="1">
        <f>_xlfn.IMAGE(_xlfn.CONCAT("https://cdn.ssref.net/req/202510241/tlogo/ncaa/",TEXT(Teams[[#This Row],[Hyperlink Name]],),"-2025.png"))</f>
        <v/>
      </c>
    </row>
    <row r="24" ht="16.8" customHeight="1">
      <c r="A24" s="1" t="n">
        <v>4</v>
      </c>
      <c r="B24" s="1" t="inlineStr">
        <is>
          <t>West</t>
        </is>
      </c>
      <c r="C24" t="inlineStr">
        <is>
          <t>Bethune-Cookman</t>
        </is>
      </c>
      <c r="D24">
        <f>_xlfn.XLOOKUP(Teams[[#This Row],[Team]],Team_Links[School],Team_Links[PartialLink],,0,1)</f>
        <v/>
      </c>
      <c r="E24" s="1">
        <f>_xlfn.IMAGE(_xlfn.CONCAT("https://cdn.ssref.net/req/202510241/tlogo/ncaa/",TEXT(Teams[[#This Row],[Hyperlink Name]],),"-2025.png"))</f>
        <v/>
      </c>
    </row>
    <row r="25" ht="16.8" customHeight="1">
      <c r="A25" s="1" t="n">
        <v>13</v>
      </c>
      <c r="B25" s="1" t="inlineStr">
        <is>
          <t>West</t>
        </is>
      </c>
      <c r="C25" t="inlineStr">
        <is>
          <t>Binghamton</t>
        </is>
      </c>
      <c r="D25">
        <f>_xlfn.XLOOKUP(Teams[[#This Row],[Team]],Team_Links[School],Team_Links[PartialLink],,0,1)</f>
        <v/>
      </c>
      <c r="E25" s="1">
        <f>_xlfn.IMAGE(_xlfn.CONCAT("https://cdn.ssref.net/req/202510241/tlogo/ncaa/",TEXT(Teams[[#This Row],[Hyperlink Name]],),"-2025.png"))</f>
        <v/>
      </c>
    </row>
    <row r="26" ht="16.8" customHeight="1">
      <c r="A26" s="1" t="n">
        <v>6</v>
      </c>
      <c r="B26" s="1" t="inlineStr">
        <is>
          <t>West</t>
        </is>
      </c>
      <c r="C26" t="inlineStr">
        <is>
          <t>Boise State</t>
        </is>
      </c>
      <c r="D26">
        <f>_xlfn.XLOOKUP(Teams[[#This Row],[Team]],Team_Links[School],Team_Links[PartialLink],,0,1)</f>
        <v/>
      </c>
      <c r="E26" s="1">
        <f>_xlfn.IMAGE(_xlfn.CONCAT("https://cdn.ssref.net/req/202510241/tlogo/ncaa/",TEXT(Teams[[#This Row],[Hyperlink Name]],),"-2025.png"))</f>
        <v/>
      </c>
    </row>
    <row r="27" ht="16.8" customHeight="1">
      <c r="A27" s="1" t="n">
        <v>11</v>
      </c>
      <c r="B27" s="1" t="inlineStr">
        <is>
          <t>West</t>
        </is>
      </c>
      <c r="C27" t="inlineStr">
        <is>
          <t>Boston College</t>
        </is>
      </c>
      <c r="D27">
        <f>_xlfn.XLOOKUP(Teams[[#This Row],[Team]],Team_Links[School],Team_Links[PartialLink],,0,1)</f>
        <v/>
      </c>
      <c r="E27" s="1">
        <f>_xlfn.IMAGE(_xlfn.CONCAT("https://cdn.ssref.net/req/202510241/tlogo/ncaa/",TEXT(Teams[[#This Row],[Hyperlink Name]],),"-2025.png"))</f>
        <v/>
      </c>
    </row>
    <row r="28" ht="16.8" customHeight="1">
      <c r="A28" s="1" t="n">
        <v>3</v>
      </c>
      <c r="B28" s="1" t="inlineStr">
        <is>
          <t>West</t>
        </is>
      </c>
      <c r="C28" t="inlineStr">
        <is>
          <t>Florida</t>
        </is>
      </c>
      <c r="D28">
        <f>_xlfn.XLOOKUP(Teams[[#This Row],[Team]],Team_Links[School],Team_Links[PartialLink],,0,1)</f>
        <v/>
      </c>
      <c r="E28" s="1">
        <f>_xlfn.IMAGE(_xlfn.CONCAT("https://cdn.ssref.net/req/202510241/tlogo/ncaa/",TEXT(Teams[[#This Row],[Hyperlink Name]],),"-2025.png"))</f>
        <v/>
      </c>
    </row>
    <row r="29" ht="16.8" customHeight="1">
      <c r="A29" s="1" t="n">
        <v>14</v>
      </c>
      <c r="B29" s="1" t="inlineStr">
        <is>
          <t>West</t>
        </is>
      </c>
      <c r="C29" t="inlineStr">
        <is>
          <t>Duke</t>
        </is>
      </c>
      <c r="D29">
        <f>_xlfn.XLOOKUP(Teams[[#This Row],[Team]],Team_Links[School],Team_Links[PartialLink],,0,1)</f>
        <v/>
      </c>
      <c r="E29" s="1">
        <f>_xlfn.IMAGE(_xlfn.CONCAT("https://cdn.ssref.net/req/202510241/tlogo/ncaa/",TEXT(Teams[[#This Row],[Hyperlink Name]],),"-2025.png"))</f>
        <v/>
      </c>
    </row>
    <row r="30" ht="16.8" customHeight="1">
      <c r="A30" s="1" t="n">
        <v>7</v>
      </c>
      <c r="B30" s="1" t="inlineStr">
        <is>
          <t>West</t>
        </is>
      </c>
      <c r="C30" t="inlineStr">
        <is>
          <t>Bradley</t>
        </is>
      </c>
      <c r="D30">
        <f>_xlfn.XLOOKUP(Teams[[#This Row],[Team]],Team_Links[School],Team_Links[PartialLink],,0,1)</f>
        <v/>
      </c>
      <c r="E30" s="1">
        <f>_xlfn.IMAGE(_xlfn.CONCAT("https://cdn.ssref.net/req/202510241/tlogo/ncaa/",TEXT(Teams[[#This Row],[Hyperlink Name]],),"-2025.png"))</f>
        <v/>
      </c>
    </row>
    <row r="31" ht="16.8" customHeight="1">
      <c r="A31" s="1" t="n">
        <v>10</v>
      </c>
      <c r="B31" s="1" t="inlineStr">
        <is>
          <t>West</t>
        </is>
      </c>
      <c r="C31" t="inlineStr">
        <is>
          <t>Brigham Young</t>
        </is>
      </c>
      <c r="D31">
        <f>_xlfn.XLOOKUP(Teams[[#This Row],[Team]],Team_Links[School],Team_Links[PartialLink],,0,1)</f>
        <v/>
      </c>
      <c r="E31" s="1">
        <f>_xlfn.IMAGE(_xlfn.CONCAT("https://cdn.ssref.net/req/202510241/tlogo/ncaa/",TEXT(Teams[[#This Row],[Hyperlink Name]],),"-2025.png"))</f>
        <v/>
      </c>
    </row>
    <row r="32" ht="16.8" customHeight="1">
      <c r="A32" s="1" t="n">
        <v>2</v>
      </c>
      <c r="B32" s="1" t="inlineStr">
        <is>
          <t>West</t>
        </is>
      </c>
      <c r="C32" t="inlineStr">
        <is>
          <t>Brown</t>
        </is>
      </c>
      <c r="D32">
        <f>_xlfn.XLOOKUP(Teams[[#This Row],[Team]],Team_Links[School],Team_Links[PartialLink],,0,1)</f>
        <v/>
      </c>
      <c r="E32" s="1">
        <f>_xlfn.IMAGE(_xlfn.CONCAT("https://cdn.ssref.net/req/202510241/tlogo/ncaa/",TEXT(Teams[[#This Row],[Hyperlink Name]],),"-2025.png"))</f>
        <v/>
      </c>
    </row>
    <row r="33" ht="16.8" customHeight="1">
      <c r="A33" s="1" t="n">
        <v>15</v>
      </c>
      <c r="B33" s="1" t="inlineStr">
        <is>
          <t>West</t>
        </is>
      </c>
      <c r="C33" t="inlineStr">
        <is>
          <t>Bryant</t>
        </is>
      </c>
      <c r="D33">
        <f>_xlfn.XLOOKUP(Teams[[#This Row],[Team]],Team_Links[School],Team_Links[PartialLink],,0,1)</f>
        <v/>
      </c>
      <c r="E33" s="1">
        <f>_xlfn.IMAGE(_xlfn.CONCAT("https://cdn.ssref.net/req/202510241/tlogo/ncaa/",TEXT(Teams[[#This Row],[Hyperlink Name]],),"-2025.png"))</f>
        <v/>
      </c>
    </row>
    <row r="34" ht="16.8" customHeight="1">
      <c r="A34" s="1" t="n">
        <v>1</v>
      </c>
      <c r="B34" s="1" t="inlineStr">
        <is>
          <t>East</t>
        </is>
      </c>
      <c r="C34" t="inlineStr">
        <is>
          <t>Bucknell</t>
        </is>
      </c>
      <c r="D34">
        <f>_xlfn.XLOOKUP(Teams[[#This Row],[Team]],Team_Links[School],Team_Links[PartialLink],,0,1)</f>
        <v/>
      </c>
      <c r="E34" s="1">
        <f>_xlfn.IMAGE(_xlfn.CONCAT("https://cdn.ssref.net/req/202510241/tlogo/ncaa/",TEXT(Teams[[#This Row],[Hyperlink Name]],),"-2025.png"))</f>
        <v/>
      </c>
    </row>
    <row r="35" ht="16.8" customHeight="1">
      <c r="A35" s="1" t="n">
        <v>16</v>
      </c>
      <c r="B35" s="1" t="inlineStr">
        <is>
          <t>East</t>
        </is>
      </c>
      <c r="C35" t="inlineStr">
        <is>
          <t>Buffalo</t>
        </is>
      </c>
      <c r="D35">
        <f>_xlfn.XLOOKUP(Teams[[#This Row],[Team]],Team_Links[School],Team_Links[PartialLink],,0,1)</f>
        <v/>
      </c>
      <c r="E35" s="1">
        <f>_xlfn.IMAGE(_xlfn.CONCAT("https://cdn.ssref.net/req/202510241/tlogo/ncaa/",TEXT(Teams[[#This Row],[Hyperlink Name]],),"-2025.png"))</f>
        <v/>
      </c>
    </row>
    <row r="36" ht="16.8" customHeight="1">
      <c r="A36" s="1" t="n">
        <v>8</v>
      </c>
      <c r="B36" s="1" t="inlineStr">
        <is>
          <t>East</t>
        </is>
      </c>
      <c r="C36" t="inlineStr">
        <is>
          <t>Butler</t>
        </is>
      </c>
      <c r="D36">
        <f>_xlfn.XLOOKUP(Teams[[#This Row],[Team]],Team_Links[School],Team_Links[PartialLink],,0,1)</f>
        <v/>
      </c>
      <c r="E36" s="1">
        <f>_xlfn.IMAGE(_xlfn.CONCAT("https://cdn.ssref.net/req/202510241/tlogo/ncaa/",TEXT(Teams[[#This Row],[Hyperlink Name]],),"-2025.png"))</f>
        <v/>
      </c>
    </row>
    <row r="37" ht="16.8" customHeight="1">
      <c r="A37" s="1" t="n">
        <v>9</v>
      </c>
      <c r="B37" s="1" t="inlineStr">
        <is>
          <t>East</t>
        </is>
      </c>
      <c r="C37" t="inlineStr">
        <is>
          <t>Cal Poly</t>
        </is>
      </c>
      <c r="D37">
        <f>_xlfn.XLOOKUP(Teams[[#This Row],[Team]],Team_Links[School],Team_Links[PartialLink],,0,1)</f>
        <v/>
      </c>
      <c r="E37" s="1">
        <f>_xlfn.IMAGE(_xlfn.CONCAT("https://cdn.ssref.net/req/202510241/tlogo/ncaa/",TEXT(Teams[[#This Row],[Hyperlink Name]],),"-2025.png"))</f>
        <v/>
      </c>
    </row>
    <row r="38" ht="16.8" customHeight="1">
      <c r="A38" s="1" t="n">
        <v>5</v>
      </c>
      <c r="B38" s="1" t="inlineStr">
        <is>
          <t>East</t>
        </is>
      </c>
      <c r="C38" t="inlineStr">
        <is>
          <t>Cal State Bakersfield</t>
        </is>
      </c>
      <c r="D38">
        <f>_xlfn.XLOOKUP(Teams[[#This Row],[Team]],Team_Links[School],Team_Links[PartialLink],,0,1)</f>
        <v/>
      </c>
      <c r="E38" s="1">
        <f>_xlfn.IMAGE(_xlfn.CONCAT("https://cdn.ssref.net/req/202510241/tlogo/ncaa/",TEXT(Teams[[#This Row],[Hyperlink Name]],),"-2025.png"))</f>
        <v/>
      </c>
    </row>
    <row r="39" ht="16.8" customHeight="1">
      <c r="A39" s="1" t="n">
        <v>12</v>
      </c>
      <c r="B39" s="1" t="inlineStr">
        <is>
          <t>East</t>
        </is>
      </c>
      <c r="C39" t="inlineStr">
        <is>
          <t>Cal State Fullerton</t>
        </is>
      </c>
      <c r="D39">
        <f>_xlfn.XLOOKUP(Teams[[#This Row],[Team]],Team_Links[School],Team_Links[PartialLink],,0,1)</f>
        <v/>
      </c>
      <c r="E39" s="1">
        <f>_xlfn.IMAGE(_xlfn.CONCAT("https://cdn.ssref.net/req/202510241/tlogo/ncaa/",TEXT(Teams[[#This Row],[Hyperlink Name]],),"-2025.png"))</f>
        <v/>
      </c>
    </row>
    <row r="40" ht="16.8" customHeight="1">
      <c r="A40" s="1" t="n">
        <v>4</v>
      </c>
      <c r="B40" s="1" t="inlineStr">
        <is>
          <t>East</t>
        </is>
      </c>
      <c r="C40" t="inlineStr">
        <is>
          <t>Cal State Northridge</t>
        </is>
      </c>
      <c r="D40">
        <f>_xlfn.XLOOKUP(Teams[[#This Row],[Team]],Team_Links[School],Team_Links[PartialLink],,0,1)</f>
        <v/>
      </c>
      <c r="E40" s="1">
        <f>_xlfn.IMAGE(_xlfn.CONCAT("https://cdn.ssref.net/req/202510241/tlogo/ncaa/",TEXT(Teams[[#This Row],[Hyperlink Name]],),"-2025.png"))</f>
        <v/>
      </c>
    </row>
    <row r="41" ht="16.8" customHeight="1">
      <c r="A41" s="1" t="n">
        <v>13</v>
      </c>
      <c r="B41" s="1" t="inlineStr">
        <is>
          <t>East</t>
        </is>
      </c>
      <c r="C41" t="inlineStr">
        <is>
          <t>California</t>
        </is>
      </c>
      <c r="D41">
        <f>_xlfn.XLOOKUP(Teams[[#This Row],[Team]],Team_Links[School],Team_Links[PartialLink],,0,1)</f>
        <v/>
      </c>
      <c r="E41" s="1">
        <f>_xlfn.IMAGE(_xlfn.CONCAT("https://cdn.ssref.net/req/202510241/tlogo/ncaa/",TEXT(Teams[[#This Row],[Hyperlink Name]],),"-2025.png"))</f>
        <v/>
      </c>
    </row>
    <row r="42" ht="16.8" customHeight="1">
      <c r="A42" s="1" t="n">
        <v>6</v>
      </c>
      <c r="B42" s="1" t="inlineStr">
        <is>
          <t>East</t>
        </is>
      </c>
      <c r="C42" t="inlineStr">
        <is>
          <t>California Baptist</t>
        </is>
      </c>
      <c r="D42">
        <f>_xlfn.XLOOKUP(Teams[[#This Row],[Team]],Team_Links[School],Team_Links[PartialLink],,0,1)</f>
        <v/>
      </c>
      <c r="E42" s="1">
        <f>_xlfn.IMAGE(_xlfn.CONCAT("https://cdn.ssref.net/req/202510241/tlogo/ncaa/",TEXT(Teams[[#This Row],[Hyperlink Name]],),"-2025.png"))</f>
        <v/>
      </c>
    </row>
    <row r="43" ht="16.8" customHeight="1">
      <c r="A43" s="1" t="n">
        <v>11</v>
      </c>
      <c r="B43" s="1" t="inlineStr">
        <is>
          <t>East</t>
        </is>
      </c>
      <c r="C43" t="inlineStr">
        <is>
          <t>Campbell</t>
        </is>
      </c>
      <c r="D43">
        <f>_xlfn.XLOOKUP(Teams[[#This Row],[Team]],Team_Links[School],Team_Links[PartialLink],,0,1)</f>
        <v/>
      </c>
      <c r="E43" s="1">
        <f>_xlfn.IMAGE(_xlfn.CONCAT("https://cdn.ssref.net/req/202510241/tlogo/ncaa/",TEXT(Teams[[#This Row],[Hyperlink Name]],),"-2025.png"))</f>
        <v/>
      </c>
    </row>
    <row r="44" ht="16.8" customHeight="1">
      <c r="A44" s="1" t="n">
        <v>3</v>
      </c>
      <c r="B44" s="1" t="inlineStr">
        <is>
          <t>East</t>
        </is>
      </c>
      <c r="C44" t="inlineStr">
        <is>
          <t>Canisius</t>
        </is>
      </c>
      <c r="D44">
        <f>_xlfn.XLOOKUP(Teams[[#This Row],[Team]],Team_Links[School],Team_Links[PartialLink],,0,1)</f>
        <v/>
      </c>
      <c r="E44" s="1">
        <f>_xlfn.IMAGE(_xlfn.CONCAT("https://cdn.ssref.net/req/202510241/tlogo/ncaa/",TEXT(Teams[[#This Row],[Hyperlink Name]],),"-2025.png"))</f>
        <v/>
      </c>
    </row>
    <row r="45" ht="16.8" customHeight="1">
      <c r="A45" s="1" t="n">
        <v>14</v>
      </c>
      <c r="B45" s="1" t="inlineStr">
        <is>
          <t>East</t>
        </is>
      </c>
      <c r="C45" t="inlineStr">
        <is>
          <t>Central Arkansas</t>
        </is>
      </c>
      <c r="D45">
        <f>_xlfn.XLOOKUP(Teams[[#This Row],[Team]],Team_Links[School],Team_Links[PartialLink],,0,1)</f>
        <v/>
      </c>
      <c r="E45" s="1">
        <f>_xlfn.IMAGE(_xlfn.CONCAT("https://cdn.ssref.net/req/202510241/tlogo/ncaa/",TEXT(Teams[[#This Row],[Hyperlink Name]],),"-2025.png"))</f>
        <v/>
      </c>
    </row>
    <row r="46" ht="16.8" customHeight="1">
      <c r="A46" s="1" t="n">
        <v>7</v>
      </c>
      <c r="B46" s="1" t="inlineStr">
        <is>
          <t>East</t>
        </is>
      </c>
      <c r="C46" t="inlineStr">
        <is>
          <t>Central Connecticut State</t>
        </is>
      </c>
      <c r="D46">
        <f>_xlfn.XLOOKUP(Teams[[#This Row],[Team]],Team_Links[School],Team_Links[PartialLink],,0,1)</f>
        <v/>
      </c>
      <c r="E46" s="1">
        <f>_xlfn.IMAGE(_xlfn.CONCAT("https://cdn.ssref.net/req/202510241/tlogo/ncaa/",TEXT(Teams[[#This Row],[Hyperlink Name]],),"-2025.png"))</f>
        <v/>
      </c>
    </row>
    <row r="47" ht="16.8" customHeight="1">
      <c r="A47" s="1" t="n">
        <v>10</v>
      </c>
      <c r="B47" s="1" t="inlineStr">
        <is>
          <t>East</t>
        </is>
      </c>
      <c r="C47" t="inlineStr">
        <is>
          <t>Central Michigan</t>
        </is>
      </c>
      <c r="D47">
        <f>_xlfn.XLOOKUP(Teams[[#This Row],[Team]],Team_Links[School],Team_Links[PartialLink],,0,1)</f>
        <v/>
      </c>
      <c r="E47" s="1">
        <f>_xlfn.IMAGE(_xlfn.CONCAT("https://cdn.ssref.net/req/202510241/tlogo/ncaa/",TEXT(Teams[[#This Row],[Hyperlink Name]],),"-2025.png"))</f>
        <v/>
      </c>
    </row>
    <row r="48" ht="16.8" customHeight="1">
      <c r="A48" s="1" t="n">
        <v>2</v>
      </c>
      <c r="B48" s="1" t="inlineStr">
        <is>
          <t>East</t>
        </is>
      </c>
      <c r="C48" t="inlineStr">
        <is>
          <t>Charleston Southern</t>
        </is>
      </c>
      <c r="D48">
        <f>_xlfn.XLOOKUP(Teams[[#This Row],[Team]],Team_Links[School],Team_Links[PartialLink],,0,1)</f>
        <v/>
      </c>
      <c r="E48" s="1">
        <f>_xlfn.IMAGE(_xlfn.CONCAT("https://cdn.ssref.net/req/202510241/tlogo/ncaa/",TEXT(Teams[[#This Row],[Hyperlink Name]],),"-2025.png"))</f>
        <v/>
      </c>
    </row>
    <row r="49" ht="16.8" customHeight="1">
      <c r="A49" s="1" t="n">
        <v>15</v>
      </c>
      <c r="B49" s="1" t="inlineStr">
        <is>
          <t>East</t>
        </is>
      </c>
      <c r="C49" t="inlineStr">
        <is>
          <t>Charlotte</t>
        </is>
      </c>
      <c r="D49">
        <f>_xlfn.XLOOKUP(Teams[[#This Row],[Team]],Team_Links[School],Team_Links[PartialLink],,0,1)</f>
        <v/>
      </c>
      <c r="E49" s="1">
        <f>_xlfn.IMAGE(_xlfn.CONCAT("https://cdn.ssref.net/req/202510241/tlogo/ncaa/",TEXT(Teams[[#This Row],[Hyperlink Name]],),"-2025.png"))</f>
        <v/>
      </c>
    </row>
    <row r="50" ht="16.8" customHeight="1">
      <c r="A50" s="1" t="n">
        <v>1</v>
      </c>
      <c r="B50" s="1" t="inlineStr">
        <is>
          <t>Midwest</t>
        </is>
      </c>
      <c r="C50" t="inlineStr">
        <is>
          <t>Chattanooga</t>
        </is>
      </c>
      <c r="D50">
        <f>_xlfn.XLOOKUP(Teams[[#This Row],[Team]],Team_Links[School],Team_Links[PartialLink],,0,1)</f>
        <v/>
      </c>
      <c r="E50" s="1">
        <f>_xlfn.IMAGE(_xlfn.CONCAT("https://cdn.ssref.net/req/202510241/tlogo/ncaa/",TEXT(Teams[[#This Row],[Hyperlink Name]],),"-2025.png"))</f>
        <v/>
      </c>
    </row>
    <row r="51" ht="16.8" customHeight="1">
      <c r="A51" s="1" t="n">
        <v>16</v>
      </c>
      <c r="B51" s="1" t="inlineStr">
        <is>
          <t>Midwest</t>
        </is>
      </c>
      <c r="C51" t="inlineStr">
        <is>
          <t>Chicago State</t>
        </is>
      </c>
      <c r="D51">
        <f>_xlfn.XLOOKUP(Teams[[#This Row],[Team]],Team_Links[School],Team_Links[PartialLink],,0,1)</f>
        <v/>
      </c>
      <c r="E51" s="1">
        <f>_xlfn.IMAGE(_xlfn.CONCAT("https://cdn.ssref.net/req/202510241/tlogo/ncaa/",TEXT(Teams[[#This Row],[Hyperlink Name]],),"-2025.png"))</f>
        <v/>
      </c>
    </row>
    <row r="52" ht="16.8" customHeight="1">
      <c r="A52" s="1" t="n">
        <v>8</v>
      </c>
      <c r="B52" s="1" t="inlineStr">
        <is>
          <t>Midwest</t>
        </is>
      </c>
      <c r="C52" t="inlineStr">
        <is>
          <t>Cincinnati</t>
        </is>
      </c>
      <c r="D52">
        <f>_xlfn.XLOOKUP(Teams[[#This Row],[Team]],Team_Links[School],Team_Links[PartialLink],,0,1)</f>
        <v/>
      </c>
      <c r="E52" s="1">
        <f>_xlfn.IMAGE(_xlfn.CONCAT("https://cdn.ssref.net/req/202510241/tlogo/ncaa/",TEXT(Teams[[#This Row],[Hyperlink Name]],),"-2025.png"))</f>
        <v/>
      </c>
    </row>
    <row r="53" ht="16.8" customHeight="1">
      <c r="A53" s="1" t="n">
        <v>9</v>
      </c>
      <c r="B53" s="1" t="inlineStr">
        <is>
          <t>Midwest</t>
        </is>
      </c>
      <c r="C53" t="inlineStr">
        <is>
          <t>Clemson</t>
        </is>
      </c>
      <c r="D53">
        <f>_xlfn.XLOOKUP(Teams[[#This Row],[Team]],Team_Links[School],Team_Links[PartialLink],,0,1)</f>
        <v/>
      </c>
      <c r="E53" s="1">
        <f>_xlfn.IMAGE(_xlfn.CONCAT("https://cdn.ssref.net/req/202510241/tlogo/ncaa/",TEXT(Teams[[#This Row],[Hyperlink Name]],),"-2025.png"))</f>
        <v/>
      </c>
    </row>
    <row r="54" ht="16.8" customHeight="1">
      <c r="A54" s="1" t="n">
        <v>5</v>
      </c>
      <c r="B54" s="1" t="inlineStr">
        <is>
          <t>Midwest</t>
        </is>
      </c>
      <c r="C54" t="inlineStr">
        <is>
          <t>Cleveland State</t>
        </is>
      </c>
      <c r="D54">
        <f>_xlfn.XLOOKUP(Teams[[#This Row],[Team]],Team_Links[School],Team_Links[PartialLink],,0,1)</f>
        <v/>
      </c>
      <c r="E54" s="1">
        <f>_xlfn.IMAGE(_xlfn.CONCAT("https://cdn.ssref.net/req/202510241/tlogo/ncaa/",TEXT(Teams[[#This Row],[Hyperlink Name]],),"-2025.png"))</f>
        <v/>
      </c>
    </row>
    <row r="55" ht="16.8" customHeight="1">
      <c r="A55" s="1" t="n">
        <v>12</v>
      </c>
      <c r="B55" s="1" t="inlineStr">
        <is>
          <t>Midwest</t>
        </is>
      </c>
      <c r="C55" t="inlineStr">
        <is>
          <t>Coastal Carolina</t>
        </is>
      </c>
      <c r="D55">
        <f>_xlfn.XLOOKUP(Teams[[#This Row],[Team]],Team_Links[School],Team_Links[PartialLink],,0,1)</f>
        <v/>
      </c>
      <c r="E55" s="1">
        <f>_xlfn.IMAGE(_xlfn.CONCAT("https://cdn.ssref.net/req/202510241/tlogo/ncaa/",TEXT(Teams[[#This Row],[Hyperlink Name]],),"-2025.png"))</f>
        <v/>
      </c>
    </row>
    <row r="56" ht="16.8" customHeight="1">
      <c r="A56" s="1" t="n">
        <v>4</v>
      </c>
      <c r="B56" s="1" t="inlineStr">
        <is>
          <t>Midwest</t>
        </is>
      </c>
      <c r="C56" t="inlineStr">
        <is>
          <t>Colgate</t>
        </is>
      </c>
      <c r="D56">
        <f>_xlfn.XLOOKUP(Teams[[#This Row],[Team]],Team_Links[School],Team_Links[PartialLink],,0,1)</f>
        <v/>
      </c>
      <c r="E56" s="1">
        <f>_xlfn.IMAGE(_xlfn.CONCAT("https://cdn.ssref.net/req/202510241/tlogo/ncaa/",TEXT(Teams[[#This Row],[Hyperlink Name]],),"-2025.png"))</f>
        <v/>
      </c>
    </row>
    <row r="57" ht="16.8" customHeight="1">
      <c r="A57" s="1" t="n">
        <v>13</v>
      </c>
      <c r="B57" s="1" t="inlineStr">
        <is>
          <t>Midwest</t>
        </is>
      </c>
      <c r="C57" t="inlineStr">
        <is>
          <t>College of Charleston</t>
        </is>
      </c>
      <c r="D57">
        <f>_xlfn.XLOOKUP(Teams[[#This Row],[Team]],Team_Links[School],Team_Links[PartialLink],,0,1)</f>
        <v/>
      </c>
      <c r="E57" s="1">
        <f>_xlfn.IMAGE(_xlfn.CONCAT("https://cdn.ssref.net/req/202510241/tlogo/ncaa/",TEXT(Teams[[#This Row],[Hyperlink Name]],),"-2025.png"))</f>
        <v/>
      </c>
    </row>
    <row r="58" ht="16.8" customHeight="1">
      <c r="A58" s="1" t="n">
        <v>6</v>
      </c>
      <c r="B58" s="1" t="inlineStr">
        <is>
          <t>Midwest</t>
        </is>
      </c>
      <c r="C58" t="inlineStr">
        <is>
          <t>Colorado</t>
        </is>
      </c>
      <c r="D58">
        <f>_xlfn.XLOOKUP(Teams[[#This Row],[Team]],Team_Links[School],Team_Links[PartialLink],,0,1)</f>
        <v/>
      </c>
      <c r="E58" s="1">
        <f>_xlfn.IMAGE(_xlfn.CONCAT("https://cdn.ssref.net/req/202510241/tlogo/ncaa/",TEXT(Teams[[#This Row],[Hyperlink Name]],),"-2025.png"))</f>
        <v/>
      </c>
    </row>
    <row r="59" ht="16.8" customHeight="1">
      <c r="A59" s="1" t="n">
        <v>11</v>
      </c>
      <c r="B59" s="1" t="inlineStr">
        <is>
          <t>Midwest</t>
        </is>
      </c>
      <c r="C59" t="inlineStr">
        <is>
          <t>Colorado State</t>
        </is>
      </c>
      <c r="D59">
        <f>_xlfn.XLOOKUP(Teams[[#This Row],[Team]],Team_Links[School],Team_Links[PartialLink],,0,1)</f>
        <v/>
      </c>
      <c r="E59" s="1">
        <f>_xlfn.IMAGE(_xlfn.CONCAT("https://cdn.ssref.net/req/202510241/tlogo/ncaa/",TEXT(Teams[[#This Row],[Hyperlink Name]],),"-2025.png"))</f>
        <v/>
      </c>
    </row>
    <row r="60" ht="16.8" customHeight="1">
      <c r="A60" s="1" t="n">
        <v>3</v>
      </c>
      <c r="B60" s="1" t="inlineStr">
        <is>
          <t>Midwest</t>
        </is>
      </c>
      <c r="C60" t="inlineStr">
        <is>
          <t>Columbia</t>
        </is>
      </c>
      <c r="D60">
        <f>_xlfn.XLOOKUP(Teams[[#This Row],[Team]],Team_Links[School],Team_Links[PartialLink],,0,1)</f>
        <v/>
      </c>
      <c r="E60" s="1">
        <f>_xlfn.IMAGE(_xlfn.CONCAT("https://cdn.ssref.net/req/202510241/tlogo/ncaa/",TEXT(Teams[[#This Row],[Hyperlink Name]],),"-2025.png"))</f>
        <v/>
      </c>
    </row>
    <row r="61" ht="16.8" customHeight="1">
      <c r="A61" s="1" t="n">
        <v>14</v>
      </c>
      <c r="B61" s="1" t="inlineStr">
        <is>
          <t>Midwest</t>
        </is>
      </c>
      <c r="C61" t="inlineStr">
        <is>
          <t>Connecticut</t>
        </is>
      </c>
      <c r="D61">
        <f>_xlfn.XLOOKUP(Teams[[#This Row],[Team]],Team_Links[School],Team_Links[PartialLink],,0,1)</f>
        <v/>
      </c>
      <c r="E61" s="1">
        <f>_xlfn.IMAGE(_xlfn.CONCAT("https://cdn.ssref.net/req/202510241/tlogo/ncaa/",TEXT(Teams[[#This Row],[Hyperlink Name]],),"-2025.png"))</f>
        <v/>
      </c>
    </row>
    <row r="62" ht="16.8" customHeight="1">
      <c r="A62" s="1" t="n">
        <v>7</v>
      </c>
      <c r="B62" s="1" t="inlineStr">
        <is>
          <t>Midwest</t>
        </is>
      </c>
      <c r="C62" t="inlineStr">
        <is>
          <t>Coppin State</t>
        </is>
      </c>
      <c r="D62">
        <f>_xlfn.XLOOKUP(Teams[[#This Row],[Team]],Team_Links[School],Team_Links[PartialLink],,0,1)</f>
        <v/>
      </c>
      <c r="E62" s="1">
        <f>_xlfn.IMAGE(_xlfn.CONCAT("https://cdn.ssref.net/req/202510241/tlogo/ncaa/",TEXT(Teams[[#This Row],[Hyperlink Name]],),"-2025.png"))</f>
        <v/>
      </c>
    </row>
    <row r="63" ht="16.8" customHeight="1">
      <c r="A63" s="1" t="n">
        <v>10</v>
      </c>
      <c r="B63" s="1" t="inlineStr">
        <is>
          <t>Midwest</t>
        </is>
      </c>
      <c r="C63" t="inlineStr">
        <is>
          <t>Cornell</t>
        </is>
      </c>
      <c r="D63">
        <f>_xlfn.XLOOKUP(Teams[[#This Row],[Team]],Team_Links[School],Team_Links[PartialLink],,0,1)</f>
        <v/>
      </c>
      <c r="E63" s="1">
        <f>_xlfn.IMAGE(_xlfn.CONCAT("https://cdn.ssref.net/req/202510241/tlogo/ncaa/",TEXT(Teams[[#This Row],[Hyperlink Name]],),"-2025.png"))</f>
        <v/>
      </c>
    </row>
    <row r="64" ht="16.8" customHeight="1">
      <c r="A64" s="1" t="n">
        <v>2</v>
      </c>
      <c r="B64" s="1" t="inlineStr">
        <is>
          <t>Midwest</t>
        </is>
      </c>
      <c r="C64" t="inlineStr">
        <is>
          <t>Creighton</t>
        </is>
      </c>
      <c r="D64">
        <f>_xlfn.XLOOKUP(Teams[[#This Row],[Team]],Team_Links[School],Team_Links[PartialLink],,0,1)</f>
        <v/>
      </c>
      <c r="E64" s="1">
        <f>_xlfn.IMAGE(_xlfn.CONCAT("https://cdn.ssref.net/req/202510241/tlogo/ncaa/",TEXT(Teams[[#This Row],[Hyperlink Name]],),"-2025.png"))</f>
        <v/>
      </c>
    </row>
    <row r="65" ht="16.8" customHeight="1">
      <c r="A65" s="1" t="n">
        <v>15</v>
      </c>
      <c r="B65" s="1" t="inlineStr">
        <is>
          <t>Midwest</t>
        </is>
      </c>
      <c r="C65" t="inlineStr">
        <is>
          <t>Dartmouth</t>
        </is>
      </c>
      <c r="D65">
        <f>_xlfn.XLOOKUP(Teams[[#This Row],[Team]],Team_Links[School],Team_Links[PartialLink],,0,1)</f>
        <v/>
      </c>
      <c r="E65" s="1">
        <f>_xlfn.IMAGE(_xlfn.CONCAT("https://cdn.ssref.net/req/202510241/tlogo/ncaa/",TEXT(Teams[[#This Row],[Hyperlink Name]],),"-2025.png"))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2">
    <tabColor rgb="FF003E64"/>
    <outlinePr summaryBelow="1" summaryRight="1"/>
    <pageSetUpPr fitToPage="1"/>
  </sheetPr>
  <dimension ref="A1:S72"/>
  <sheetViews>
    <sheetView showGridLines="0" tabSelected="1" topLeftCell="E1" zoomScale="90" zoomScaleNormal="90" workbookViewId="0">
      <pane ySplit="4" topLeftCell="A57" activePane="bottomLeft" state="frozen"/>
      <selection activeCell="E1" sqref="E1"/>
      <selection pane="bottomLeft" activeCell="Q66" sqref="Q66"/>
    </sheetView>
  </sheetViews>
  <sheetFormatPr baseColWidth="8" defaultColWidth="0" defaultRowHeight="13.2" zeroHeight="1"/>
  <cols>
    <col hidden="1" width="8.109375" customWidth="1" style="91" min="1" max="1"/>
    <col hidden="1" width="8.88671875" customWidth="1" style="91" min="2" max="4"/>
    <col width="9.33203125" customWidth="1" style="81" min="5" max="5"/>
    <col width="5.88671875" bestFit="1" customWidth="1" style="81" min="6" max="6"/>
    <col width="22.21875" customWidth="1" style="172" min="7" max="7"/>
    <col width="2.6640625" bestFit="1" customWidth="1" style="173" min="8" max="8"/>
    <col width="22.21875" customWidth="1" style="174" min="9" max="9"/>
    <col width="5.88671875" bestFit="1" customWidth="1" style="81" min="10" max="10"/>
    <col width="5.5546875" customWidth="1" style="174" min="11" max="11"/>
    <col width="10.6640625" customWidth="1" style="174" min="12" max="12"/>
    <col width="5.5546875" customWidth="1" style="174" min="13" max="13"/>
    <col width="10.6640625" customWidth="1" style="174" min="14" max="14"/>
    <col width="24.5546875" customWidth="1" style="174" min="15" max="15"/>
    <col width="6" customWidth="1" style="81" min="16" max="16"/>
    <col width="94.5546875" customWidth="1" style="81" min="17" max="17"/>
    <col hidden="1" width="8.88671875" customWidth="1" style="6" min="18" max="18"/>
    <col width="3.5546875" customWidth="1" style="6" min="19" max="19"/>
    <col width="9.109375" customWidth="1" style="6" min="20" max="20"/>
    <col hidden="1" width="3.5546875" customWidth="1" style="6" min="21" max="22"/>
    <col hidden="1" style="6" min="23" max="23"/>
    <col hidden="1" width="9.109375" customWidth="1" style="6" min="24" max="16384"/>
  </cols>
  <sheetData>
    <row r="1" ht="6" customFormat="1" customHeight="1" s="89">
      <c r="A1" s="85" t="n"/>
      <c r="B1" s="85" t="n"/>
      <c r="C1" s="85" t="n"/>
      <c r="D1" s="85" t="n"/>
      <c r="E1" s="80" t="n"/>
      <c r="F1" s="80" t="n"/>
      <c r="G1" s="86" t="inlineStr">
        <is>
          <t>Tournament Picks for Multiple Players</t>
        </is>
      </c>
      <c r="H1" s="87" t="n"/>
      <c r="I1" s="88" t="n"/>
      <c r="J1" s="80" t="n"/>
      <c r="K1" s="88" t="n"/>
      <c r="L1" s="88" t="n"/>
      <c r="M1" s="88" t="n"/>
      <c r="N1" s="88" t="n"/>
      <c r="O1" s="88" t="n"/>
      <c r="P1" s="80" t="n"/>
      <c r="Q1" s="80" t="n"/>
      <c r="S1" s="89" t="inlineStr">
        <is>
          <t>.</t>
        </is>
      </c>
    </row>
    <row r="2" ht="6" customFormat="1" customHeight="1" s="89" thickBot="1">
      <c r="A2" s="85" t="n"/>
      <c r="B2" s="85" t="n"/>
      <c r="C2" s="85" t="n"/>
      <c r="D2" s="85" t="n"/>
      <c r="E2" s="80" t="n"/>
      <c r="F2" s="80" t="n"/>
      <c r="G2" s="90" t="n"/>
      <c r="H2" s="87" t="n"/>
      <c r="I2" s="88" t="n"/>
      <c r="J2" s="80" t="n"/>
      <c r="K2" s="88" t="n"/>
      <c r="L2" s="88" t="n"/>
      <c r="M2" s="88" t="n"/>
      <c r="N2" s="88" t="n"/>
      <c r="O2" s="88" t="n"/>
      <c r="P2" s="80" t="n"/>
      <c r="Q2" s="80" t="n"/>
    </row>
    <row r="3" ht="13.8" customHeight="1">
      <c r="A3" s="214" t="n"/>
      <c r="B3" s="215" t="n"/>
      <c r="C3" s="215" t="inlineStr">
        <is>
          <t>Loser</t>
        </is>
      </c>
      <c r="D3" s="216" t="inlineStr">
        <is>
          <t>Seed Bonus</t>
        </is>
      </c>
      <c r="E3" s="67" t="inlineStr">
        <is>
          <t>Game #</t>
        </is>
      </c>
      <c r="F3" s="68" t="inlineStr">
        <is>
          <t>Seed</t>
        </is>
      </c>
      <c r="G3" s="238" t="inlineStr">
        <is>
          <t>Pairing</t>
        </is>
      </c>
      <c r="H3" s="299" t="n"/>
      <c r="I3" s="299" t="n"/>
      <c r="J3" s="68" t="inlineStr">
        <is>
          <t>Seed</t>
        </is>
      </c>
      <c r="K3" s="300" t="inlineStr">
        <is>
          <t>Score 1</t>
        </is>
      </c>
      <c r="L3" s="299" t="n"/>
      <c r="M3" s="300" t="inlineStr">
        <is>
          <t>Score 2</t>
        </is>
      </c>
      <c r="N3" s="299" t="n"/>
      <c r="O3" s="68" t="inlineStr">
        <is>
          <t>Winner</t>
        </is>
      </c>
      <c r="P3" s="239" t="n"/>
      <c r="Q3" s="301" t="inlineStr">
        <is>
          <t>Evaluation</t>
        </is>
      </c>
    </row>
    <row r="4" ht="14.4" customHeight="1" thickBot="1">
      <c r="A4" s="217" t="n"/>
      <c r="B4" s="218" t="n"/>
      <c r="C4" s="218" t="n"/>
      <c r="D4" s="219" t="n"/>
      <c r="E4" s="302" t="n"/>
      <c r="F4" s="303" t="n"/>
      <c r="G4" s="303" t="n"/>
      <c r="H4" s="303" t="n"/>
      <c r="I4" s="303" t="n"/>
      <c r="J4" s="303" t="n"/>
      <c r="K4" s="303" t="n"/>
      <c r="L4" s="303" t="n"/>
      <c r="M4" s="303" t="n"/>
      <c r="N4" s="303" t="n"/>
      <c r="O4" s="303" t="n"/>
      <c r="P4" s="240" t="n"/>
      <c r="Q4" s="304" t="n"/>
    </row>
    <row r="5" ht="24" customHeight="1">
      <c r="A5" s="91">
        <f>G5</f>
        <v/>
      </c>
      <c r="B5" s="91">
        <f>I5</f>
        <v/>
      </c>
      <c r="C5" s="91">
        <f>IF(O5="","",IF(A5=O5,B5,A5))</f>
        <v/>
      </c>
      <c r="D5" s="91">
        <f>IF(SeedType=1,0,IF(SeedType=2,VLOOKUP(O5,SeedInfo,2,FALSE)*1,MAX(VLOOKUP(O5,SeedInfo,2,FALSE)-VLOOKUP(C5,SeedInfo,2,FALSE),0)))</f>
        <v/>
      </c>
      <c r="E5" s="129" t="n">
        <v>1</v>
      </c>
      <c r="F5" s="130">
        <f t="array" ref="F5">_xlfn.XLOOKUP(G5,Teams[[#All],[Team]],Teams[[#All],[Seed]],0,0,1)</f>
        <v/>
      </c>
      <c r="G5" s="131" t="inlineStr">
        <is>
          <t>Bucknell</t>
        </is>
      </c>
      <c r="H5" s="181" t="inlineStr">
        <is>
          <t>vs</t>
        </is>
      </c>
      <c r="I5" s="132" t="inlineStr">
        <is>
          <t>Buffalo</t>
        </is>
      </c>
      <c r="J5" s="133">
        <f t="array" ref="J5">_xlfn.XLOOKUP(I5,Teams[[#All],[Team]],Teams[[#All],[Seed]],0,0,1)</f>
        <v/>
      </c>
      <c r="K5" s="84">
        <f>_xlfn.XLOOKUP(G5,Teams!$C:$C,Teams!$E:$E,,0,1)</f>
        <v/>
      </c>
      <c r="L5" s="84" t="n">
        <v>0.02</v>
      </c>
      <c r="M5" s="84">
        <f>_xlfn.XLOOKUP(I5,Teams!$C:$C,Teams!$E:$E,,0,1)</f>
        <v/>
      </c>
      <c r="N5" s="84" t="n">
        <v>0.98</v>
      </c>
      <c r="O5" s="194">
        <f>IF(L5&gt;N5,G5,I5)</f>
        <v/>
      </c>
      <c r="P5" s="209">
        <f>_xlfn.XLOOKUP(O5,Teams!$C:$C,Teams!$E:$E,,0,1)</f>
        <v/>
      </c>
      <c r="Q5" s="223" t="inlineStr"/>
      <c r="R5" s="6">
        <f>IF(
O5=G5,
IF(F5&gt;J5,TRUE,FALSE),
IF(J5&gt;F5,TRUE,FALSE))</f>
        <v/>
      </c>
      <c r="S5" s="98" t="n"/>
    </row>
    <row r="6" ht="24" customHeight="1">
      <c r="A6" s="91">
        <f>G6</f>
        <v/>
      </c>
      <c r="B6" s="91">
        <f>I6</f>
        <v/>
      </c>
      <c r="C6" s="91">
        <f>IF(O6="","",IF(A6=O6,B6,A6))</f>
        <v/>
      </c>
      <c r="D6" s="91">
        <f>IF(SeedType=1,0,IF(SeedType=2,VLOOKUP(O6,SeedInfo,2,FALSE)*1,MAX(VLOOKUP(O6,SeedInfo,2,FALSE)-VLOOKUP(C6,SeedInfo,2,FALSE),0)))</f>
        <v/>
      </c>
      <c r="E6" s="99" t="n">
        <v>2</v>
      </c>
      <c r="F6" s="100">
        <f t="array" ref="F6">_xlfn.XLOOKUP(G6,Teams[[#All],[Team]],Teams[[#All],[Seed]],0,0,1)</f>
        <v/>
      </c>
      <c r="G6" s="101" t="inlineStr">
        <is>
          <t>Butler</t>
        </is>
      </c>
      <c r="H6" s="176" t="inlineStr">
        <is>
          <t>vs</t>
        </is>
      </c>
      <c r="I6" s="102" t="inlineStr">
        <is>
          <t>Cal Poly</t>
        </is>
      </c>
      <c r="J6" s="103">
        <f t="array" ref="J6">_xlfn.XLOOKUP(I6,Teams[[#All],[Team]],Teams[[#All],[Seed]],0,0,1)</f>
        <v/>
      </c>
      <c r="K6" s="82">
        <f>_xlfn.XLOOKUP(G6,Teams!$C:$C,Teams!$E:$E,,0,1)</f>
        <v/>
      </c>
      <c r="L6" s="82" t="n">
        <v>0.6899999999999999</v>
      </c>
      <c r="M6" s="82">
        <f>_xlfn.XLOOKUP(I6,Teams!$C:$C,Teams!$E:$E,,0,1)</f>
        <v/>
      </c>
      <c r="N6" s="82" t="n">
        <v>0.31</v>
      </c>
      <c r="O6" s="189">
        <f>IF(L6&gt;N6,G6,I6)</f>
        <v/>
      </c>
      <c r="P6" s="204">
        <f>_xlfn.XLOOKUP(O6,Teams!$C:$C,Teams!$E:$E,,0,1)</f>
        <v/>
      </c>
      <c r="Q6" s="223" t="inlineStr"/>
      <c r="R6" s="6">
        <f>IF(
O6=G6,
IF(F6&gt;J6,TRUE,FALSE),
IF(J6&gt;F6,TRUE,FALSE))</f>
        <v/>
      </c>
      <c r="S6" s="98" t="n"/>
    </row>
    <row r="7" ht="24" customHeight="1">
      <c r="A7" s="91">
        <f>G7</f>
        <v/>
      </c>
      <c r="B7" s="91">
        <f>I7</f>
        <v/>
      </c>
      <c r="C7" s="91">
        <f>IF(O7="","",IF(A7=O7,B7,A7))</f>
        <v/>
      </c>
      <c r="D7" s="91">
        <f>IF(SeedType=1,0,IF(SeedType=2,VLOOKUP(O7,SeedInfo,2,FALSE)*1,MAX(VLOOKUP(O7,SeedInfo,2,FALSE)-VLOOKUP(C7,SeedInfo,2,FALSE),0)))</f>
        <v/>
      </c>
      <c r="E7" s="99" t="n">
        <v>3</v>
      </c>
      <c r="F7" s="100">
        <f t="array" ref="F7">_xlfn.XLOOKUP(G7,Teams[[#All],[Team]],Teams[[#All],[Seed]],0,0,1)</f>
        <v/>
      </c>
      <c r="G7" s="101" t="inlineStr">
        <is>
          <t>Cal State Bakersfield</t>
        </is>
      </c>
      <c r="H7" s="176" t="inlineStr">
        <is>
          <t>vs</t>
        </is>
      </c>
      <c r="I7" s="102" t="inlineStr">
        <is>
          <t>Cal State Fullerton</t>
        </is>
      </c>
      <c r="J7" s="103">
        <f t="array" ref="J7">_xlfn.XLOOKUP(I7,Teams[[#All],[Team]],Teams[[#All],[Seed]],0,0,1)</f>
        <v/>
      </c>
      <c r="K7" s="82">
        <f>_xlfn.XLOOKUP(G7,Teams!$C:$C,Teams!$E:$E,,0,1)</f>
        <v/>
      </c>
      <c r="L7" s="82" t="n">
        <v>0.25</v>
      </c>
      <c r="M7" s="82">
        <f>_xlfn.XLOOKUP(I7,Teams!$C:$C,Teams!$E:$E,,0,1)</f>
        <v/>
      </c>
      <c r="N7" s="82" t="n">
        <v>0.75</v>
      </c>
      <c r="O7" s="189">
        <f>IF(L7&gt;N7,G7,I7)</f>
        <v/>
      </c>
      <c r="P7" s="204">
        <f>_xlfn.XLOOKUP(O7,Teams!$C:$C,Teams!$E:$E,,0,1)</f>
        <v/>
      </c>
      <c r="Q7" s="223" t="inlineStr"/>
      <c r="R7" s="6">
        <f>IF(
O7=G7,
IF(F7&gt;J7,TRUE,FALSE),
IF(J7&gt;F7,TRUE,FALSE))</f>
        <v/>
      </c>
      <c r="S7" s="98" t="n"/>
    </row>
    <row r="8" ht="24" customHeight="1">
      <c r="A8" s="91">
        <f>G8</f>
        <v/>
      </c>
      <c r="B8" s="91">
        <f>I8</f>
        <v/>
      </c>
      <c r="C8" s="91">
        <f>IF(O8="","",IF(A8=O8,B8,A8))</f>
        <v/>
      </c>
      <c r="D8" s="91">
        <f>IF(SeedType=1,0,IF(SeedType=2,VLOOKUP(O8,SeedInfo,2,FALSE)*1,MAX(VLOOKUP(O8,SeedInfo,2,FALSE)-VLOOKUP(C8,SeedInfo,2,FALSE),0)))</f>
        <v/>
      </c>
      <c r="E8" s="99" t="n">
        <v>4</v>
      </c>
      <c r="F8" s="100">
        <f t="array" ref="F8">_xlfn.XLOOKUP(G8,Teams[[#All],[Team]],Teams[[#All],[Seed]],0,0,1)</f>
        <v/>
      </c>
      <c r="G8" s="101" t="inlineStr">
        <is>
          <t>Cal State Northridge</t>
        </is>
      </c>
      <c r="H8" s="176" t="inlineStr">
        <is>
          <t>vs</t>
        </is>
      </c>
      <c r="I8" s="102" t="inlineStr">
        <is>
          <t>California</t>
        </is>
      </c>
      <c r="J8" s="103">
        <f t="array" ref="J8">_xlfn.XLOOKUP(I8,Teams[[#All],[Team]],Teams[[#All],[Seed]],0,0,1)</f>
        <v/>
      </c>
      <c r="K8" s="82">
        <f>_xlfn.XLOOKUP(G8,Teams!$C:$C,Teams!$E:$E,,0,1)</f>
        <v/>
      </c>
      <c r="L8" s="82" t="n">
        <v>0.89</v>
      </c>
      <c r="M8" s="82">
        <f>_xlfn.XLOOKUP(I8,Teams!$C:$C,Teams!$E:$E,,0,1)</f>
        <v/>
      </c>
      <c r="N8" s="82" t="n">
        <v>0.11</v>
      </c>
      <c r="O8" s="189">
        <f>IF(L8&gt;N8,G8,I8)</f>
        <v/>
      </c>
      <c r="P8" s="204">
        <f>_xlfn.XLOOKUP(O8,Teams!$C:$C,Teams!$E:$E,,0,1)</f>
        <v/>
      </c>
      <c r="Q8" s="223" t="inlineStr"/>
      <c r="R8" s="6">
        <f>IF(
O8=G8,
IF(F8&gt;J8,TRUE,FALSE),
IF(J8&gt;F8,TRUE,FALSE))</f>
        <v/>
      </c>
      <c r="S8" s="98" t="n"/>
    </row>
    <row r="9" ht="24" customHeight="1">
      <c r="A9" s="91">
        <f>G9</f>
        <v/>
      </c>
      <c r="B9" s="91">
        <f>I9</f>
        <v/>
      </c>
      <c r="C9" s="91">
        <f>IF(O9="","",IF(A9=O9,B9,A9))</f>
        <v/>
      </c>
      <c r="D9" s="91">
        <f>IF(SeedType=1,0,IF(SeedType=2,VLOOKUP(O9,SeedInfo,2,FALSE)*1,MAX(VLOOKUP(O9,SeedInfo,2,FALSE)-VLOOKUP(C9,SeedInfo,2,FALSE),0)))</f>
        <v/>
      </c>
      <c r="E9" s="99" t="n">
        <v>5</v>
      </c>
      <c r="F9" s="100">
        <f t="array" ref="F9">_xlfn.XLOOKUP(G9,Teams[[#All],[Team]],Teams[[#All],[Seed]],0,0,1)</f>
        <v/>
      </c>
      <c r="G9" s="101" t="inlineStr">
        <is>
          <t>California Baptist</t>
        </is>
      </c>
      <c r="H9" s="176" t="inlineStr">
        <is>
          <t>vs</t>
        </is>
      </c>
      <c r="I9" s="102" t="inlineStr">
        <is>
          <t>Campbell</t>
        </is>
      </c>
      <c r="J9" s="103">
        <f t="array" ref="J9">_xlfn.XLOOKUP(I9,Teams[[#All],[Team]],Teams[[#All],[Seed]],0,0,1)</f>
        <v/>
      </c>
      <c r="K9" s="82">
        <f>_xlfn.XLOOKUP(G9,Teams!$C:$C,Teams!$E:$E,,0,1)</f>
        <v/>
      </c>
      <c r="L9" s="82" t="n">
        <v>0</v>
      </c>
      <c r="M9" s="82">
        <f>_xlfn.XLOOKUP(I9,Teams!$C:$C,Teams!$E:$E,,0,1)</f>
        <v/>
      </c>
      <c r="N9" s="82" t="n">
        <v>1</v>
      </c>
      <c r="O9" s="189">
        <f>IF(L9&gt;N9,G9,I9)</f>
        <v/>
      </c>
      <c r="P9" s="204">
        <f>_xlfn.XLOOKUP(O9,Teams!$C:$C,Teams!$E:$E,,0,1)</f>
        <v/>
      </c>
      <c r="Q9" s="223" t="inlineStr"/>
      <c r="R9" s="6">
        <f>IF(
O9=G9,
IF(F9&gt;J9,TRUE,FALSE),
IF(J9&gt;F9,TRUE,FALSE))</f>
        <v/>
      </c>
      <c r="S9" s="98" t="n"/>
    </row>
    <row r="10" ht="24" customHeight="1">
      <c r="A10" s="91">
        <f>G10</f>
        <v/>
      </c>
      <c r="B10" s="91">
        <f>I10</f>
        <v/>
      </c>
      <c r="C10" s="91">
        <f>IF(O10="","",IF(A10=O10,B10,A10))</f>
        <v/>
      </c>
      <c r="D10" s="91">
        <f>IF(SeedType=1,0,IF(SeedType=2,VLOOKUP(O10,SeedInfo,2,FALSE)*1,MAX(VLOOKUP(O10,SeedInfo,2,FALSE)-VLOOKUP(C10,SeedInfo,2,FALSE),0)))</f>
        <v/>
      </c>
      <c r="E10" s="99" t="n">
        <v>6</v>
      </c>
      <c r="F10" s="100">
        <f t="array" ref="F10">_xlfn.XLOOKUP(G10,Teams[[#All],[Team]],Teams[[#All],[Seed]],0,0,1)</f>
        <v/>
      </c>
      <c r="G10" s="101" t="inlineStr">
        <is>
          <t>Canisius</t>
        </is>
      </c>
      <c r="H10" s="176" t="inlineStr">
        <is>
          <t>vs</t>
        </is>
      </c>
      <c r="I10" s="102" t="inlineStr">
        <is>
          <t>Central Arkansas</t>
        </is>
      </c>
      <c r="J10" s="103">
        <f t="array" ref="J10">_xlfn.XLOOKUP(I10,Teams[[#All],[Team]],Teams[[#All],[Seed]],0,0,1)</f>
        <v/>
      </c>
      <c r="K10" s="82">
        <f>_xlfn.XLOOKUP(G10,Teams!$C:$C,Teams!$E:$E,,0,1)</f>
        <v/>
      </c>
      <c r="L10" s="82" t="n">
        <v>0.08</v>
      </c>
      <c r="M10" s="82">
        <f>_xlfn.XLOOKUP(I10,Teams!$C:$C,Teams!$E:$E,,0,1)</f>
        <v/>
      </c>
      <c r="N10" s="82" t="n">
        <v>0.92</v>
      </c>
      <c r="O10" s="189">
        <f>IF(L10&gt;N10,G10,I10)</f>
        <v/>
      </c>
      <c r="P10" s="204">
        <f>_xlfn.XLOOKUP(O10,Teams!$C:$C,Teams!$E:$E,,0,1)</f>
        <v/>
      </c>
      <c r="Q10" s="223" t="inlineStr"/>
      <c r="R10" s="6">
        <f>IF(
O10=G10,
IF(F10&gt;J10,TRUE,FALSE),
IF(J10&gt;F10,TRUE,FALSE))</f>
        <v/>
      </c>
      <c r="S10" s="98" t="n"/>
    </row>
    <row r="11" ht="24" customHeight="1">
      <c r="A11" s="91">
        <f>G11</f>
        <v/>
      </c>
      <c r="B11" s="91">
        <f>I11</f>
        <v/>
      </c>
      <c r="C11" s="91">
        <f>IF(O11="","",IF(A11=O11,B11,A11))</f>
        <v/>
      </c>
      <c r="D11" s="91">
        <f>IF(SeedType=1,0,IF(SeedType=2,VLOOKUP(O11,SeedInfo,2,FALSE)*1,MAX(VLOOKUP(O11,SeedInfo,2,FALSE)-VLOOKUP(C11,SeedInfo,2,FALSE),0)))</f>
        <v/>
      </c>
      <c r="E11" s="99" t="n">
        <v>7</v>
      </c>
      <c r="F11" s="100">
        <f t="array" ref="F11">_xlfn.XLOOKUP(G11,Teams[[#All],[Team]],Teams[[#All],[Seed]],0,0,1)</f>
        <v/>
      </c>
      <c r="G11" s="101" t="inlineStr">
        <is>
          <t>Central Connecticut State</t>
        </is>
      </c>
      <c r="H11" s="176" t="inlineStr">
        <is>
          <t>vs</t>
        </is>
      </c>
      <c r="I11" s="102" t="inlineStr">
        <is>
          <t>Central Michigan</t>
        </is>
      </c>
      <c r="J11" s="103">
        <f t="array" ref="J11">_xlfn.XLOOKUP(I11,Teams[[#All],[Team]],Teams[[#All],[Seed]],0,0,1)</f>
        <v/>
      </c>
      <c r="K11" s="82">
        <f>_xlfn.XLOOKUP(G11,Teams!$C:$C,Teams!$E:$E,,0,1)</f>
        <v/>
      </c>
      <c r="L11" s="82" t="n">
        <v>0.06</v>
      </c>
      <c r="M11" s="82">
        <f>_xlfn.XLOOKUP(I11,Teams!$C:$C,Teams!$E:$E,,0,1)</f>
        <v/>
      </c>
      <c r="N11" s="82" t="n">
        <v>0.9399999999999999</v>
      </c>
      <c r="O11" s="189">
        <f>IF(L11&gt;N11,G11,I11)</f>
        <v/>
      </c>
      <c r="P11" s="204">
        <f>_xlfn.XLOOKUP(O11,Teams!$C:$C,Teams!$E:$E,,0,1)</f>
        <v/>
      </c>
      <c r="Q11" s="223" t="inlineStr"/>
      <c r="R11" s="6">
        <f>IF(
O11=G11,
IF(F11&gt;J11,TRUE,FALSE),
IF(J11&gt;F11,TRUE,FALSE))</f>
        <v/>
      </c>
      <c r="S11" s="98" t="n"/>
    </row>
    <row r="12" ht="24" customHeight="1" thickBot="1">
      <c r="A12" s="91">
        <f>G12</f>
        <v/>
      </c>
      <c r="B12" s="91">
        <f>I12</f>
        <v/>
      </c>
      <c r="C12" s="91">
        <f>IF(O12="","",IF(A12=O12,B12,A12))</f>
        <v/>
      </c>
      <c r="D12" s="91">
        <f>IF(SeedType=1,0,IF(SeedType=2,VLOOKUP(O12,SeedInfo,2,FALSE)*1,MAX(VLOOKUP(O12,SeedInfo,2,FALSE)-VLOOKUP(C12,SeedInfo,2,FALSE),0)))</f>
        <v/>
      </c>
      <c r="E12" s="104" t="n">
        <v>8</v>
      </c>
      <c r="F12" s="105">
        <f t="array" ref="F12">_xlfn.XLOOKUP(G12,Teams[[#All],[Team]],Teams[[#All],[Seed]],0,0,1)</f>
        <v/>
      </c>
      <c r="G12" s="106" t="inlineStr">
        <is>
          <t>Charleston Southern</t>
        </is>
      </c>
      <c r="H12" s="177" t="inlineStr">
        <is>
          <t>vs</t>
        </is>
      </c>
      <c r="I12" s="107" t="inlineStr">
        <is>
          <t>Charlotte</t>
        </is>
      </c>
      <c r="J12" s="108">
        <f t="array" ref="J12">_xlfn.XLOOKUP(I12,Teams[[#All],[Team]],Teams[[#All],[Seed]],0,0,1)</f>
        <v/>
      </c>
      <c r="K12" s="109">
        <f>_xlfn.XLOOKUP(G12,Teams!$C:$C,Teams!$E:$E,,0,1)</f>
        <v/>
      </c>
      <c r="L12" s="109" t="n">
        <v>0.9</v>
      </c>
      <c r="M12" s="109">
        <f>_xlfn.XLOOKUP(I12,Teams!$C:$C,Teams!$E:$E,,0,1)</f>
        <v/>
      </c>
      <c r="N12" s="109" t="n">
        <v>0.1</v>
      </c>
      <c r="O12" s="190">
        <f>IF(L12&gt;N12,G12,I12)</f>
        <v/>
      </c>
      <c r="P12" s="205">
        <f>_xlfn.XLOOKUP(O12,Teams!$C:$C,Teams!$E:$E,,0,1)</f>
        <v/>
      </c>
      <c r="Q12" s="224" t="inlineStr"/>
      <c r="R12" s="6">
        <f>IF(
O12=G12,
IF(F12&gt;J12,TRUE,FALSE),
IF(J12&gt;F12,TRUE,FALSE))</f>
        <v/>
      </c>
      <c r="S12" s="98" t="n"/>
    </row>
    <row r="13" ht="24" customHeight="1">
      <c r="A13" s="91">
        <f>G13</f>
        <v/>
      </c>
      <c r="B13" s="91">
        <f>I13</f>
        <v/>
      </c>
      <c r="C13" s="91">
        <f>IF(O13="","",IF(A13=O13,B13,A13))</f>
        <v/>
      </c>
      <c r="D13" s="91">
        <f>IF(SeedType=1,0,IF(SeedType=2,VLOOKUP(O13,SeedInfo,2,FALSE)*1,MAX(VLOOKUP(O13,SeedInfo,2,FALSE)-VLOOKUP(C13,SeedInfo,2,FALSE),0)))</f>
        <v/>
      </c>
      <c r="E13" s="110" t="n">
        <v>9</v>
      </c>
      <c r="F13" s="111">
        <f t="array" ref="F13">_xlfn.XLOOKUP(G13,Teams[[#All],[Team]],Teams[[#All],[Seed]],0,0,1)</f>
        <v/>
      </c>
      <c r="G13" s="112" t="inlineStr">
        <is>
          <t>Auburn</t>
        </is>
      </c>
      <c r="H13" s="221" t="inlineStr">
        <is>
          <t>vs</t>
        </is>
      </c>
      <c r="I13" s="113" t="inlineStr">
        <is>
          <t>Austin Peay</t>
        </is>
      </c>
      <c r="J13" s="114">
        <f t="array" ref="J13">_xlfn.XLOOKUP(I13,Teams[[#All],[Team]],Teams[[#All],[Seed]],0,0,1)</f>
        <v/>
      </c>
      <c r="K13" s="115">
        <f>_xlfn.XLOOKUP(G13,Teams!$C:$C,Teams!$E:$E,,0,1)</f>
        <v/>
      </c>
      <c r="L13" s="115" t="n">
        <v>0.29</v>
      </c>
      <c r="M13" s="115">
        <f>_xlfn.XLOOKUP(I13,Teams!$C:$C,Teams!$E:$E,,0,1)</f>
        <v/>
      </c>
      <c r="N13" s="115" t="n">
        <v>0.71</v>
      </c>
      <c r="O13" s="191">
        <f>IF(L13&gt;N13,G13,I13)</f>
        <v/>
      </c>
      <c r="P13" s="206">
        <f>_xlfn.XLOOKUP(O13,Teams!$C:$C,Teams!$E:$E,,0,1)</f>
        <v/>
      </c>
      <c r="Q13" s="225" t="inlineStr"/>
      <c r="R13" s="6">
        <f>IF(
O13=G13,
IF(F13&gt;J13,TRUE,FALSE),
IF(J13&gt;F13,TRUE,FALSE))</f>
        <v/>
      </c>
      <c r="S13" s="98" t="n"/>
    </row>
    <row r="14" ht="24" customHeight="1">
      <c r="A14" s="91">
        <f>G14</f>
        <v/>
      </c>
      <c r="B14" s="91">
        <f>I14</f>
        <v/>
      </c>
      <c r="C14" s="91">
        <f>IF(O14="","",IF(A14=O14,B14,A14))</f>
        <v/>
      </c>
      <c r="D14" s="91">
        <f>IF(SeedType=1,0,IF(SeedType=2,VLOOKUP(O14,SeedInfo,2,FALSE)*1,MAX(VLOOKUP(O14,SeedInfo,2,FALSE)-VLOOKUP(C14,SeedInfo,2,FALSE),0)))</f>
        <v/>
      </c>
      <c r="E14" s="116" t="n">
        <v>10</v>
      </c>
      <c r="F14" s="117">
        <f t="array" ref="F14">_xlfn.XLOOKUP(G14,Teams[[#All],[Team]],Teams[[#All],[Seed]],0,0,1)</f>
        <v/>
      </c>
      <c r="G14" s="118" t="inlineStr">
        <is>
          <t>Ball State</t>
        </is>
      </c>
      <c r="H14" s="178" t="inlineStr">
        <is>
          <t>vs</t>
        </is>
      </c>
      <c r="I14" s="119" t="inlineStr">
        <is>
          <t>Baylor</t>
        </is>
      </c>
      <c r="J14" s="120">
        <f t="array" ref="J14">_xlfn.XLOOKUP(I14,Teams[[#All],[Team]],Teams[[#All],[Seed]],0,0,1)</f>
        <v/>
      </c>
      <c r="K14" s="83">
        <f>_xlfn.XLOOKUP(G14,Teams!$C:$C,Teams!$E:$E,,0,1)</f>
        <v/>
      </c>
      <c r="L14" s="83" t="n">
        <v>0.34</v>
      </c>
      <c r="M14" s="83">
        <f>_xlfn.XLOOKUP(I14,Teams!$C:$C,Teams!$E:$E,,0,1)</f>
        <v/>
      </c>
      <c r="N14" s="83" t="n">
        <v>0.66</v>
      </c>
      <c r="O14" s="192">
        <f>IF(L14&gt;N14,G14,I14)</f>
        <v/>
      </c>
      <c r="P14" s="207">
        <f>_xlfn.XLOOKUP(O14,Teams!$C:$C,Teams!$E:$E,,0,1)</f>
        <v/>
      </c>
      <c r="Q14" s="226" t="inlineStr"/>
      <c r="R14" s="6">
        <f>IF(
O14=G14,
IF(F14&gt;J14,TRUE,FALSE),
IF(J14&gt;F14,TRUE,FALSE))</f>
        <v/>
      </c>
      <c r="S14" s="98" t="n"/>
    </row>
    <row r="15" ht="24" customHeight="1">
      <c r="A15" s="91">
        <f>G15</f>
        <v/>
      </c>
      <c r="B15" s="91">
        <f>I15</f>
        <v/>
      </c>
      <c r="C15" s="91">
        <f>IF(O15="","",IF(A15=O15,B15,A15))</f>
        <v/>
      </c>
      <c r="D15" s="91">
        <f>IF(SeedType=1,0,IF(SeedType=2,VLOOKUP(O15,SeedInfo,2,FALSE)*1,MAX(VLOOKUP(O15,SeedInfo,2,FALSE)-VLOOKUP(C15,SeedInfo,2,FALSE),0)))</f>
        <v/>
      </c>
      <c r="E15" s="116" t="n">
        <v>11</v>
      </c>
      <c r="F15" s="117">
        <f t="array" ref="F15">_xlfn.XLOOKUP(G15,Teams[[#All],[Team]],Teams[[#All],[Seed]],0,0,1)</f>
        <v/>
      </c>
      <c r="G15" s="118" t="inlineStr">
        <is>
          <t>Bellarmine</t>
        </is>
      </c>
      <c r="H15" s="178" t="inlineStr">
        <is>
          <t>vs</t>
        </is>
      </c>
      <c r="I15" s="119" t="inlineStr">
        <is>
          <t>Belmont</t>
        </is>
      </c>
      <c r="J15" s="120">
        <f t="array" ref="J15">_xlfn.XLOOKUP(I15,Teams[[#All],[Team]],Teams[[#All],[Seed]],0,0,1)</f>
        <v/>
      </c>
      <c r="K15" s="83">
        <f>_xlfn.XLOOKUP(G15,Teams!$C:$C,Teams!$E:$E,,0,1)</f>
        <v/>
      </c>
      <c r="L15" s="83" t="n">
        <v>0.58</v>
      </c>
      <c r="M15" s="83">
        <f>_xlfn.XLOOKUP(I15,Teams!$C:$C,Teams!$E:$E,,0,1)</f>
        <v/>
      </c>
      <c r="N15" s="83" t="n">
        <v>0.42</v>
      </c>
      <c r="O15" s="192">
        <f>IF(L15&gt;N15,G15,I15)</f>
        <v/>
      </c>
      <c r="P15" s="207">
        <f>_xlfn.XLOOKUP(O15,Teams!$C:$C,Teams!$E:$E,,0,1)</f>
        <v/>
      </c>
      <c r="Q15" s="226" t="inlineStr"/>
      <c r="R15" s="6">
        <f>IF(
O15=G15,
IF(F15&gt;J15,TRUE,FALSE),
IF(J15&gt;F15,TRUE,FALSE))</f>
        <v/>
      </c>
      <c r="S15" s="98" t="n"/>
    </row>
    <row r="16" ht="24" customHeight="1">
      <c r="A16" s="91">
        <f>G16</f>
        <v/>
      </c>
      <c r="B16" s="91">
        <f>I16</f>
        <v/>
      </c>
      <c r="C16" s="91">
        <f>IF(O16="","",IF(A16=O16,B16,A16))</f>
        <v/>
      </c>
      <c r="D16" s="91">
        <f>IF(SeedType=1,0,IF(SeedType=2,VLOOKUP(O16,SeedInfo,2,FALSE)*1,MAX(VLOOKUP(O16,SeedInfo,2,FALSE)-VLOOKUP(C16,SeedInfo,2,FALSE),0)))</f>
        <v/>
      </c>
      <c r="E16" s="116" t="n">
        <v>12</v>
      </c>
      <c r="F16" s="117">
        <f t="array" ref="F16">_xlfn.XLOOKUP(G16,Teams[[#All],[Team]],Teams[[#All],[Seed]],0,0,1)</f>
        <v/>
      </c>
      <c r="G16" s="118" t="inlineStr">
        <is>
          <t>Bethune-Cookman</t>
        </is>
      </c>
      <c r="H16" s="178" t="inlineStr">
        <is>
          <t>vs</t>
        </is>
      </c>
      <c r="I16" s="119" t="inlineStr">
        <is>
          <t>Binghamton</t>
        </is>
      </c>
      <c r="J16" s="120">
        <f t="array" ref="J16">_xlfn.XLOOKUP(I16,Teams[[#All],[Team]],Teams[[#All],[Seed]],0,0,1)</f>
        <v/>
      </c>
      <c r="K16" s="83">
        <f>_xlfn.XLOOKUP(G16,Teams!$C:$C,Teams!$E:$E,,0,1)</f>
        <v/>
      </c>
      <c r="L16" s="83" t="n">
        <v>0.49</v>
      </c>
      <c r="M16" s="83">
        <f>_xlfn.XLOOKUP(I16,Teams!$C:$C,Teams!$E:$E,,0,1)</f>
        <v/>
      </c>
      <c r="N16" s="83" t="n">
        <v>0.51</v>
      </c>
      <c r="O16" s="192">
        <f>IF(L16&gt;N16,G16,I16)</f>
        <v/>
      </c>
      <c r="P16" s="207">
        <f>_xlfn.XLOOKUP(O16,Teams!$C:$C,Teams!$E:$E,,0,1)</f>
        <v/>
      </c>
      <c r="Q16" s="226" t="inlineStr"/>
      <c r="R16" s="6">
        <f>IF(
O16=G16,
IF(F16&gt;J16,TRUE,FALSE),
IF(J16&gt;F16,TRUE,FALSE))</f>
        <v/>
      </c>
      <c r="S16" s="98" t="n"/>
    </row>
    <row r="17" ht="24" customHeight="1">
      <c r="A17" s="91">
        <f>G17</f>
        <v/>
      </c>
      <c r="B17" s="91">
        <f>I17</f>
        <v/>
      </c>
      <c r="C17" s="91">
        <f>IF(O17="","",IF(A17=O17,B17,A17))</f>
        <v/>
      </c>
      <c r="D17" s="91">
        <f>IF(SeedType=1,0,IF(SeedType=2,VLOOKUP(O17,SeedInfo,2,FALSE)*1,MAX(VLOOKUP(O17,SeedInfo,2,FALSE)-VLOOKUP(C17,SeedInfo,2,FALSE),0)))</f>
        <v/>
      </c>
      <c r="E17" s="116" t="n">
        <v>13</v>
      </c>
      <c r="F17" s="117">
        <f t="array" ref="F17">_xlfn.XLOOKUP(G17,Teams[[#All],[Team]],Teams[[#All],[Seed]],0,0,1)</f>
        <v/>
      </c>
      <c r="G17" s="118" t="inlineStr">
        <is>
          <t>Boise State</t>
        </is>
      </c>
      <c r="H17" s="178" t="inlineStr">
        <is>
          <t>vs</t>
        </is>
      </c>
      <c r="I17" s="119" t="inlineStr">
        <is>
          <t>Boston College</t>
        </is>
      </c>
      <c r="J17" s="120">
        <f t="array" ref="J17">_xlfn.XLOOKUP(I17,Teams[[#All],[Team]],Teams[[#All],[Seed]],0,0,1)</f>
        <v/>
      </c>
      <c r="K17" s="83">
        <f>_xlfn.XLOOKUP(G17,Teams!$C:$C,Teams!$E:$E,,0,1)</f>
        <v/>
      </c>
      <c r="L17" s="83" t="n">
        <v>0.35</v>
      </c>
      <c r="M17" s="83">
        <f>_xlfn.XLOOKUP(I17,Teams!$C:$C,Teams!$E:$E,,0,1)</f>
        <v/>
      </c>
      <c r="N17" s="83" t="n">
        <v>0.65</v>
      </c>
      <c r="O17" s="192">
        <f>IF(L17&gt;N17,G17,I17)</f>
        <v/>
      </c>
      <c r="P17" s="207">
        <f>_xlfn.XLOOKUP(O17,Teams!$C:$C,Teams!$E:$E,,0,1)</f>
        <v/>
      </c>
      <c r="Q17" s="226" t="inlineStr"/>
      <c r="R17" s="6">
        <f>IF(
O17=G17,
IF(F17&gt;J17,TRUE,FALSE),
IF(J17&gt;F17,TRUE,FALSE))</f>
        <v/>
      </c>
      <c r="S17" s="98" t="n"/>
    </row>
    <row r="18" ht="24" customHeight="1">
      <c r="A18" s="91">
        <f>G18</f>
        <v/>
      </c>
      <c r="B18" s="91">
        <f>I18</f>
        <v/>
      </c>
      <c r="C18" s="91">
        <f>IF(O18="","",IF(A18=O18,B18,A18))</f>
        <v/>
      </c>
      <c r="D18" s="91">
        <f>IF(SeedType=1,0,IF(SeedType=2,VLOOKUP(O18,SeedInfo,2,FALSE)*1,MAX(VLOOKUP(O18,SeedInfo,2,FALSE)-VLOOKUP(C18,SeedInfo,2,FALSE),0)))</f>
        <v/>
      </c>
      <c r="E18" s="116" t="n">
        <v>14</v>
      </c>
      <c r="F18" s="117">
        <f t="array" ref="F18">_xlfn.XLOOKUP(G18,Teams[[#All],[Team]],Teams[[#All],[Seed]],0,0,1)</f>
        <v/>
      </c>
      <c r="G18" s="118" t="inlineStr">
        <is>
          <t>Florida</t>
        </is>
      </c>
      <c r="H18" s="178" t="inlineStr">
        <is>
          <t>vs</t>
        </is>
      </c>
      <c r="I18" s="119" t="inlineStr">
        <is>
          <t>Duke</t>
        </is>
      </c>
      <c r="J18" s="120">
        <f t="array" ref="J18">_xlfn.XLOOKUP(I18,Teams[[#All],[Team]],Teams[[#All],[Seed]],0,0,1)</f>
        <v/>
      </c>
      <c r="K18" s="83">
        <f>_xlfn.XLOOKUP(G18,Teams!$C:$C,Teams!$E:$E,,0,1)</f>
        <v/>
      </c>
      <c r="L18" s="83" t="n">
        <v>0.47</v>
      </c>
      <c r="M18" s="83">
        <f>_xlfn.XLOOKUP(I18,Teams!$C:$C,Teams!$E:$E,,0,1)</f>
        <v/>
      </c>
      <c r="N18" s="83" t="n">
        <v>0.53</v>
      </c>
      <c r="O18" s="192">
        <f>IF(L18&gt;N18,G18,I18)</f>
        <v/>
      </c>
      <c r="P18" s="207">
        <f>_xlfn.XLOOKUP(O18,Teams!$C:$C,Teams!$E:$E,,0,1)</f>
        <v/>
      </c>
      <c r="Q18" s="226" t="inlineStr"/>
      <c r="R18" s="6">
        <f>IF(
O18=G18,
IF(F18&gt;J18,TRUE,FALSE),
IF(J18&gt;F18,TRUE,FALSE))</f>
        <v/>
      </c>
      <c r="S18" s="98" t="n"/>
    </row>
    <row r="19" ht="24" customHeight="1">
      <c r="A19" s="91">
        <f>G19</f>
        <v/>
      </c>
      <c r="B19" s="91">
        <f>I19</f>
        <v/>
      </c>
      <c r="C19" s="91">
        <f>IF(O19="","",IF(A19=O19,B19,A19))</f>
        <v/>
      </c>
      <c r="D19" s="91">
        <f>IF(SeedType=1,0,IF(SeedType=2,VLOOKUP(O19,SeedInfo,2,FALSE)*1,MAX(VLOOKUP(O19,SeedInfo,2,FALSE)-VLOOKUP(C19,SeedInfo,2,FALSE),0)))</f>
        <v/>
      </c>
      <c r="E19" s="116" t="n">
        <v>15</v>
      </c>
      <c r="F19" s="117">
        <f t="array" ref="F19">_xlfn.XLOOKUP(G19,Teams[[#All],[Team]],Teams[[#All],[Seed]],0,0,1)</f>
        <v/>
      </c>
      <c r="G19" s="118" t="inlineStr">
        <is>
          <t>Bradley</t>
        </is>
      </c>
      <c r="H19" s="178" t="inlineStr">
        <is>
          <t>vs</t>
        </is>
      </c>
      <c r="I19" s="119" t="inlineStr">
        <is>
          <t>Brigham Young</t>
        </is>
      </c>
      <c r="J19" s="120">
        <f t="array" ref="J19">_xlfn.XLOOKUP(I19,Teams[[#All],[Team]],Teams[[#All],[Seed]],0,0,1)</f>
        <v/>
      </c>
      <c r="K19" s="83">
        <f>_xlfn.XLOOKUP(G19,Teams!$C:$C,Teams!$E:$E,,0,1)</f>
        <v/>
      </c>
      <c r="L19" s="83" t="n">
        <v>0.43</v>
      </c>
      <c r="M19" s="83">
        <f>_xlfn.XLOOKUP(I19,Teams!$C:$C,Teams!$E:$E,,0,1)</f>
        <v/>
      </c>
      <c r="N19" s="83" t="n">
        <v>0.57</v>
      </c>
      <c r="O19" s="192">
        <f>IF(L19&gt;N19,G19,I19)</f>
        <v/>
      </c>
      <c r="P19" s="207">
        <f>_xlfn.XLOOKUP(O19,Teams!$C:$C,Teams!$E:$E,,0,1)</f>
        <v/>
      </c>
      <c r="Q19" s="226" t="inlineStr"/>
      <c r="R19" s="6">
        <f>IF(
O19=G19,
IF(F19&gt;J19,TRUE,FALSE),
IF(J19&gt;F19,TRUE,FALSE))</f>
        <v/>
      </c>
      <c r="S19" s="98" t="n"/>
    </row>
    <row r="20" ht="24" customHeight="1" thickBot="1">
      <c r="A20" s="91">
        <f>G20</f>
        <v/>
      </c>
      <c r="B20" s="91">
        <f>I20</f>
        <v/>
      </c>
      <c r="C20" s="91">
        <f>IF(O20="","",IF(A20=O20,B20,A20))</f>
        <v/>
      </c>
      <c r="D20" s="91">
        <f>IF(SeedType=1,0,IF(SeedType=2,VLOOKUP(O20,SeedInfo,2,FALSE)*1,MAX(VLOOKUP(O20,SeedInfo,2,FALSE)-VLOOKUP(C20,SeedInfo,2,FALSE),0)))</f>
        <v/>
      </c>
      <c r="E20" s="121" t="n">
        <v>16</v>
      </c>
      <c r="F20" s="122">
        <f t="array" ref="F20">_xlfn.XLOOKUP(G20,Teams[[#All],[Team]],Teams[[#All],[Seed]],0,0,1)</f>
        <v/>
      </c>
      <c r="G20" s="123" t="inlineStr">
        <is>
          <t>Brown</t>
        </is>
      </c>
      <c r="H20" s="179" t="inlineStr">
        <is>
          <t>vs</t>
        </is>
      </c>
      <c r="I20" s="124" t="inlineStr">
        <is>
          <t>Bryant</t>
        </is>
      </c>
      <c r="J20" s="125">
        <f t="array" ref="J20">_xlfn.XLOOKUP(I20,Teams[[#All],[Team]],Teams[[#All],[Seed]],0,0,1)</f>
        <v/>
      </c>
      <c r="K20" s="126">
        <f>_xlfn.XLOOKUP(G20,Teams!$C:$C,Teams!$E:$E,,0,1)</f>
        <v/>
      </c>
      <c r="L20" s="126" t="n">
        <v>0.6899999999999999</v>
      </c>
      <c r="M20" s="126">
        <f>_xlfn.XLOOKUP(I20,Teams!$C:$C,Teams!$E:$E,,0,1)</f>
        <v/>
      </c>
      <c r="N20" s="126" t="n">
        <v>0.31</v>
      </c>
      <c r="O20" s="193">
        <f>IF(L20&gt;N20,G20,I20)</f>
        <v/>
      </c>
      <c r="P20" s="208">
        <f>_xlfn.XLOOKUP(O20,Teams!$C:$C,Teams!$E:$E,,0,1)</f>
        <v/>
      </c>
      <c r="Q20" s="227" t="inlineStr"/>
      <c r="R20" s="6">
        <f>IF(
O20=G20,
IF(F20&gt;J20,TRUE,FALSE),
IF(J20&gt;F20,TRUE,FALSE))</f>
        <v/>
      </c>
      <c r="S20" s="98" t="n"/>
    </row>
    <row r="21" ht="24" customHeight="1">
      <c r="A21" s="91">
        <f>G21</f>
        <v/>
      </c>
      <c r="B21" s="91">
        <f>I21</f>
        <v/>
      </c>
      <c r="C21" s="91">
        <f>IF(O21="","",IF(A21=O21,B21,A21))</f>
        <v/>
      </c>
      <c r="D21" s="91">
        <f>IF(SeedType=1,0,IF(SeedType=2,VLOOKUP(O21,SeedInfo,2,FALSE)*1,MAX(VLOOKUP(O21,SeedInfo,2,FALSE)-VLOOKUP(C21,SeedInfo,2,FALSE),0)))</f>
        <v/>
      </c>
      <c r="E21" s="92" t="n">
        <v>17</v>
      </c>
      <c r="F21" s="93">
        <f t="array" ref="F21">_xlfn.XLOOKUP(G21,Teams[[#All],[Team]],Teams[[#All],[Seed]],0,0,1)</f>
        <v/>
      </c>
      <c r="G21" s="94" t="inlineStr">
        <is>
          <t>Abilene Christian</t>
        </is>
      </c>
      <c r="H21" s="175" t="inlineStr">
        <is>
          <t>vs</t>
        </is>
      </c>
      <c r="I21" s="95" t="inlineStr">
        <is>
          <t>Air Force</t>
        </is>
      </c>
      <c r="J21" s="96">
        <f t="array" ref="J21">_xlfn.XLOOKUP(I21,Teams[[#All],[Team]],Teams[[#All],[Seed]],0,0,1)</f>
        <v/>
      </c>
      <c r="K21" s="97">
        <f>_xlfn.XLOOKUP(G21,Teams!$C:$C,Teams!$E:$E,,0,1)</f>
        <v/>
      </c>
      <c r="L21" s="97" t="n">
        <v>0.88</v>
      </c>
      <c r="M21" s="97">
        <f>_xlfn.XLOOKUP(I21,Teams!$C:$C,Teams!$E:$E,,0,1)</f>
        <v/>
      </c>
      <c r="N21" s="97" t="n">
        <v>0.12</v>
      </c>
      <c r="O21" s="188">
        <f>IF(L21&gt;N21,G21,I21)</f>
        <v/>
      </c>
      <c r="P21" s="203">
        <f>_xlfn.XLOOKUP(O21,Teams!$C:$C,Teams!$E:$E,,0,1)</f>
        <v/>
      </c>
      <c r="Q21" s="228" t="inlineStr"/>
      <c r="R21" s="6">
        <f>IF(
O21=G21,
IF(F21&gt;J21,TRUE,FALSE),
IF(J21&gt;F21,TRUE,FALSE))</f>
        <v/>
      </c>
      <c r="S21" s="98" t="n"/>
    </row>
    <row r="22" ht="24" customHeight="1">
      <c r="A22" s="91">
        <f>G22</f>
        <v/>
      </c>
      <c r="B22" s="91">
        <f>I22</f>
        <v/>
      </c>
      <c r="C22" s="91">
        <f>IF(O22="","",IF(A22=O22,B22,A22))</f>
        <v/>
      </c>
      <c r="D22" s="91">
        <f>IF(SeedType=1,0,IF(SeedType=2,VLOOKUP(O22,SeedInfo,2,FALSE)*1,MAX(VLOOKUP(O22,SeedInfo,2,FALSE)-VLOOKUP(C22,SeedInfo,2,FALSE),0)))</f>
        <v/>
      </c>
      <c r="E22" s="99" t="n">
        <v>18</v>
      </c>
      <c r="F22" s="100">
        <f t="array" ref="F22">_xlfn.XLOOKUP(G22,Teams[[#All],[Team]],Teams[[#All],[Seed]],0,0,1)</f>
        <v/>
      </c>
      <c r="G22" s="101" t="inlineStr">
        <is>
          <t>Akron</t>
        </is>
      </c>
      <c r="H22" s="176" t="inlineStr">
        <is>
          <t>vs</t>
        </is>
      </c>
      <c r="I22" s="102" t="inlineStr">
        <is>
          <t>Alabama</t>
        </is>
      </c>
      <c r="J22" s="103">
        <f t="array" ref="J22">_xlfn.XLOOKUP(I22,Teams[[#All],[Team]],Teams[[#All],[Seed]],0,0,1)</f>
        <v/>
      </c>
      <c r="K22" s="82">
        <f>_xlfn.XLOOKUP(G22,Teams!$C:$C,Teams!$E:$E,,0,1)</f>
        <v/>
      </c>
      <c r="L22" s="82" t="n">
        <v>0.55</v>
      </c>
      <c r="M22" s="82">
        <f>_xlfn.XLOOKUP(I22,Teams!$C:$C,Teams!$E:$E,,0,1)</f>
        <v/>
      </c>
      <c r="N22" s="82" t="n">
        <v>0.45</v>
      </c>
      <c r="O22" s="189">
        <f>IF(L22&gt;N22,G22,I22)</f>
        <v/>
      </c>
      <c r="P22" s="204">
        <f>_xlfn.XLOOKUP(O22,Teams!$C:$C,Teams!$E:$E,,0,1)</f>
        <v/>
      </c>
      <c r="Q22" s="223" t="inlineStr"/>
      <c r="R22" s="6">
        <f>IF(
O22=G22,
IF(F22&gt;J22,TRUE,FALSE),
IF(J22&gt;F22,TRUE,FALSE))</f>
        <v/>
      </c>
      <c r="S22" s="98" t="n"/>
    </row>
    <row r="23" ht="24" customHeight="1">
      <c r="A23" s="91">
        <f>G23</f>
        <v/>
      </c>
      <c r="B23" s="91">
        <f>I23</f>
        <v/>
      </c>
      <c r="C23" s="91">
        <f>IF(O23="","",IF(A23=O23,B23,A23))</f>
        <v/>
      </c>
      <c r="D23" s="91">
        <f>IF(SeedType=1,0,IF(SeedType=2,VLOOKUP(O23,SeedInfo,2,FALSE)*1,MAX(VLOOKUP(O23,SeedInfo,2,FALSE)-VLOOKUP(C23,SeedInfo,2,FALSE),0)))</f>
        <v/>
      </c>
      <c r="E23" s="99" t="n">
        <v>19</v>
      </c>
      <c r="F23" s="100">
        <f t="array" ref="F23">_xlfn.XLOOKUP(G23,Teams[[#All],[Team]],Teams[[#All],[Seed]],0,0,1)</f>
        <v/>
      </c>
      <c r="G23" s="101" t="inlineStr">
        <is>
          <t>Alabama A&amp;M</t>
        </is>
      </c>
      <c r="H23" s="176" t="inlineStr">
        <is>
          <t>vs</t>
        </is>
      </c>
      <c r="I23" s="102" t="inlineStr">
        <is>
          <t>Alabama State</t>
        </is>
      </c>
      <c r="J23" s="103">
        <f t="array" ref="J23">_xlfn.XLOOKUP(I23,Teams[[#All],[Team]],Teams[[#All],[Seed]],0,0,1)</f>
        <v/>
      </c>
      <c r="K23" s="82">
        <f>_xlfn.XLOOKUP(G23,Teams!$C:$C,Teams!$E:$E,,0,1)</f>
        <v/>
      </c>
      <c r="L23" s="82" t="n">
        <v>0.14</v>
      </c>
      <c r="M23" s="82">
        <f>_xlfn.XLOOKUP(I23,Teams!$C:$C,Teams!$E:$E,,0,1)</f>
        <v/>
      </c>
      <c r="N23" s="82" t="n">
        <v>0.86</v>
      </c>
      <c r="O23" s="189">
        <f>IF(L23&gt;N23,G23,I23)</f>
        <v/>
      </c>
      <c r="P23" s="204">
        <f>_xlfn.XLOOKUP(O23,Teams!$C:$C,Teams!$E:$E,,0,1)</f>
        <v/>
      </c>
      <c r="Q23" s="223" t="inlineStr"/>
      <c r="R23" s="6">
        <f>IF(
O23=G23,
IF(F23&gt;J23,TRUE,FALSE),
IF(J23&gt;F23,TRUE,FALSE))</f>
        <v/>
      </c>
      <c r="S23" s="98" t="n"/>
    </row>
    <row r="24" ht="24" customHeight="1">
      <c r="A24" s="91">
        <f>G24</f>
        <v/>
      </c>
      <c r="B24" s="91">
        <f>I24</f>
        <v/>
      </c>
      <c r="C24" s="91">
        <f>IF(O24="","",IF(A24=O24,B24,A24))</f>
        <v/>
      </c>
      <c r="D24" s="91">
        <f>IF(SeedType=1,0,IF(SeedType=2,VLOOKUP(O24,SeedInfo,2,FALSE)*1,MAX(VLOOKUP(O24,SeedInfo,2,FALSE)-VLOOKUP(C24,SeedInfo,2,FALSE),0)))</f>
        <v/>
      </c>
      <c r="E24" s="99" t="n">
        <v>20</v>
      </c>
      <c r="F24" s="100">
        <f t="array" ref="F24">_xlfn.XLOOKUP(G24,Teams[[#All],[Team]],Teams[[#All],[Seed]],0,0,1)</f>
        <v/>
      </c>
      <c r="G24" s="101" t="inlineStr">
        <is>
          <t>Albany (NY)</t>
        </is>
      </c>
      <c r="H24" s="176" t="inlineStr">
        <is>
          <t>vs</t>
        </is>
      </c>
      <c r="I24" s="102" t="inlineStr">
        <is>
          <t>Alcorn State</t>
        </is>
      </c>
      <c r="J24" s="103">
        <f t="array" ref="J24">_xlfn.XLOOKUP(I24,Teams[[#All],[Team]],Teams[[#All],[Seed]],0,0,1)</f>
        <v/>
      </c>
      <c r="K24" s="82">
        <f>_xlfn.XLOOKUP(G24,Teams!$C:$C,Teams!$E:$E,,0,1)</f>
        <v/>
      </c>
      <c r="L24" s="82" t="n">
        <v>0.5</v>
      </c>
      <c r="M24" s="82">
        <f>_xlfn.XLOOKUP(I24,Teams!$C:$C,Teams!$E:$E,,0,1)</f>
        <v/>
      </c>
      <c r="N24" s="82" t="n">
        <v>0.5</v>
      </c>
      <c r="O24" s="189">
        <f>IF(L24&gt;N24,G24,I24)</f>
        <v/>
      </c>
      <c r="P24" s="204">
        <f>_xlfn.XLOOKUP(O24,Teams!$C:$C,Teams!$E:$E,,0,1)</f>
        <v/>
      </c>
      <c r="Q24" s="223" t="inlineStr"/>
      <c r="R24" s="6">
        <f>IF(
O24=G24,
IF(F24&gt;J24,TRUE,FALSE),
IF(J24&gt;F24,TRUE,FALSE))</f>
        <v/>
      </c>
      <c r="S24" s="98" t="n"/>
    </row>
    <row r="25" ht="24" customHeight="1">
      <c r="A25" s="91">
        <f>G25</f>
        <v/>
      </c>
      <c r="B25" s="91">
        <f>I25</f>
        <v/>
      </c>
      <c r="C25" s="91">
        <f>IF(O25="","",IF(A25=O25,B25,A25))</f>
        <v/>
      </c>
      <c r="D25" s="91">
        <f>IF(SeedType=1,0,IF(SeedType=2,VLOOKUP(O25,SeedInfo,2,FALSE)*1,MAX(VLOOKUP(O25,SeedInfo,2,FALSE)-VLOOKUP(C25,SeedInfo,2,FALSE),0)))</f>
        <v/>
      </c>
      <c r="E25" s="99" t="n">
        <v>21</v>
      </c>
      <c r="F25" s="100">
        <f t="array" ref="F25">_xlfn.XLOOKUP(G25,Teams[[#All],[Team]],Teams[[#All],[Seed]],0,0,1)</f>
        <v/>
      </c>
      <c r="G25" s="101" t="inlineStr">
        <is>
          <t>American</t>
        </is>
      </c>
      <c r="H25" s="176" t="inlineStr">
        <is>
          <t>vs</t>
        </is>
      </c>
      <c r="I25" s="102" t="inlineStr">
        <is>
          <t>Appalachian State</t>
        </is>
      </c>
      <c r="J25" s="103">
        <f t="array" ref="J25">_xlfn.XLOOKUP(I25,Teams[[#All],[Team]],Teams[[#All],[Seed]],0,0,1)</f>
        <v/>
      </c>
      <c r="K25" s="82">
        <f>_xlfn.XLOOKUP(G25,Teams!$C:$C,Teams!$E:$E,,0,1)</f>
        <v/>
      </c>
      <c r="L25" s="82" t="n">
        <v>0.57</v>
      </c>
      <c r="M25" s="82">
        <f>_xlfn.XLOOKUP(I25,Teams!$C:$C,Teams!$E:$E,,0,1)</f>
        <v/>
      </c>
      <c r="N25" s="82" t="n">
        <v>0.43</v>
      </c>
      <c r="O25" s="189">
        <f>IF(L25&gt;N25,G25,I25)</f>
        <v/>
      </c>
      <c r="P25" s="204">
        <f>_xlfn.XLOOKUP(O25,Teams!$C:$C,Teams!$E:$E,,0,1)</f>
        <v/>
      </c>
      <c r="Q25" s="223" t="inlineStr"/>
      <c r="R25" s="6">
        <f>IF(
O25=G25,
IF(F25&gt;J25,TRUE,FALSE),
IF(J25&gt;F25,TRUE,FALSE))</f>
        <v/>
      </c>
      <c r="S25" s="98" t="n"/>
    </row>
    <row r="26" ht="24" customHeight="1">
      <c r="A26" s="91">
        <f>G26</f>
        <v/>
      </c>
      <c r="B26" s="91">
        <f>I26</f>
        <v/>
      </c>
      <c r="C26" s="91">
        <f>IF(O26="","",IF(A26=O26,B26,A26))</f>
        <v/>
      </c>
      <c r="D26" s="91">
        <f>IF(SeedType=1,0,IF(SeedType=2,VLOOKUP(O26,SeedInfo,2,FALSE)*1,MAX(VLOOKUP(O26,SeedInfo,2,FALSE)-VLOOKUP(C26,SeedInfo,2,FALSE),0)))</f>
        <v/>
      </c>
      <c r="E26" s="99" t="n">
        <v>22</v>
      </c>
      <c r="F26" s="100">
        <f t="array" ref="F26">_xlfn.XLOOKUP(G26,Teams[[#All],[Team]],Teams[[#All],[Seed]],0,0,1)</f>
        <v/>
      </c>
      <c r="G26" s="101" t="inlineStr">
        <is>
          <t>Arizona</t>
        </is>
      </c>
      <c r="H26" s="176" t="inlineStr">
        <is>
          <t>vs</t>
        </is>
      </c>
      <c r="I26" s="102" t="inlineStr">
        <is>
          <t>Arizona State</t>
        </is>
      </c>
      <c r="J26" s="103">
        <f t="array" ref="J26">_xlfn.XLOOKUP(I26,Teams[[#All],[Team]],Teams[[#All],[Seed]],0,0,1)</f>
        <v/>
      </c>
      <c r="K26" s="82">
        <f>_xlfn.XLOOKUP(G26,Teams!$C:$C,Teams!$E:$E,,0,1)</f>
        <v/>
      </c>
      <c r="L26" s="82" t="n">
        <v>0.97</v>
      </c>
      <c r="M26" s="82">
        <f>_xlfn.XLOOKUP(I26,Teams!$C:$C,Teams!$E:$E,,0,1)</f>
        <v/>
      </c>
      <c r="N26" s="82" t="n">
        <v>0.03</v>
      </c>
      <c r="O26" s="189">
        <f>IF(L26&gt;N26,G26,I26)</f>
        <v/>
      </c>
      <c r="P26" s="204">
        <f>_xlfn.XLOOKUP(O26,Teams!$C:$C,Teams!$E:$E,,0,1)</f>
        <v/>
      </c>
      <c r="Q26" s="223" t="inlineStr"/>
      <c r="R26" s="6">
        <f>IF(
O26=G26,
IF(F26&gt;J26,TRUE,FALSE),
IF(J26&gt;F26,TRUE,FALSE))</f>
        <v/>
      </c>
      <c r="S26" s="98" t="n"/>
    </row>
    <row r="27" ht="24" customHeight="1">
      <c r="A27" s="91">
        <f>G27</f>
        <v/>
      </c>
      <c r="B27" s="91">
        <f>I27</f>
        <v/>
      </c>
      <c r="C27" s="91">
        <f>IF(O27="","",IF(A27=O27,B27,A27))</f>
        <v/>
      </c>
      <c r="D27" s="91">
        <f>IF(SeedType=1,0,IF(SeedType=2,VLOOKUP(O27,SeedInfo,2,FALSE)*1,MAX(VLOOKUP(O27,SeedInfo,2,FALSE)-VLOOKUP(C27,SeedInfo,2,FALSE),0)))</f>
        <v/>
      </c>
      <c r="E27" s="99" t="n">
        <v>23</v>
      </c>
      <c r="F27" s="100">
        <f t="array" ref="F27">_xlfn.XLOOKUP(G27,Teams[[#All],[Team]],Teams[[#All],[Seed]],0,0,1)</f>
        <v/>
      </c>
      <c r="G27" s="101" t="inlineStr">
        <is>
          <t>Arkansas</t>
        </is>
      </c>
      <c r="H27" s="176" t="inlineStr">
        <is>
          <t>vs</t>
        </is>
      </c>
      <c r="I27" s="102" t="inlineStr">
        <is>
          <t>Arkansas State</t>
        </is>
      </c>
      <c r="J27" s="103">
        <f t="array" ref="J27">_xlfn.XLOOKUP(I27,Teams[[#All],[Team]],Teams[[#All],[Seed]],0,0,1)</f>
        <v/>
      </c>
      <c r="K27" s="82">
        <f>_xlfn.XLOOKUP(G27,Teams!$C:$C,Teams!$E:$E,,0,1)</f>
        <v/>
      </c>
      <c r="L27" s="82" t="n">
        <v>0.91</v>
      </c>
      <c r="M27" s="82">
        <f>_xlfn.XLOOKUP(I27,Teams!$C:$C,Teams!$E:$E,,0,1)</f>
        <v/>
      </c>
      <c r="N27" s="82" t="n">
        <v>0.09</v>
      </c>
      <c r="O27" s="189">
        <f>IF(L27&gt;N27,G27,I27)</f>
        <v/>
      </c>
      <c r="P27" s="204">
        <f>_xlfn.XLOOKUP(O27,Teams!$C:$C,Teams!$E:$E,,0,1)</f>
        <v/>
      </c>
      <c r="Q27" s="223" t="inlineStr"/>
      <c r="R27" s="6">
        <f>IF(
O27=G27,
IF(F27&gt;J27,TRUE,FALSE),
IF(J27&gt;F27,TRUE,FALSE))</f>
        <v/>
      </c>
      <c r="S27" s="98" t="n"/>
    </row>
    <row r="28" ht="24" customHeight="1" thickBot="1">
      <c r="A28" s="91">
        <f>G28</f>
        <v/>
      </c>
      <c r="B28" s="91">
        <f>I28</f>
        <v/>
      </c>
      <c r="C28" s="91">
        <f>IF(O28="","",IF(A28=O28,B28,A28))</f>
        <v/>
      </c>
      <c r="D28" s="91">
        <f>IF(SeedType=1,0,IF(SeedType=2,VLOOKUP(O28,SeedInfo,2,FALSE)*1,MAX(VLOOKUP(O28,SeedInfo,2,FALSE)-VLOOKUP(C28,SeedInfo,2,FALSE),0)))</f>
        <v/>
      </c>
      <c r="E28" s="104" t="n">
        <v>24</v>
      </c>
      <c r="F28" s="105">
        <f t="array" ref="F28">_xlfn.XLOOKUP(G28,Teams[[#All],[Team]],Teams[[#All],[Seed]],0,0,1)</f>
        <v/>
      </c>
      <c r="G28" s="106" t="inlineStr">
        <is>
          <t>Arkansas-Pine Bluff</t>
        </is>
      </c>
      <c r="H28" s="177" t="inlineStr">
        <is>
          <t>vs</t>
        </is>
      </c>
      <c r="I28" s="107" t="inlineStr">
        <is>
          <t>Army</t>
        </is>
      </c>
      <c r="J28" s="108">
        <f t="array" ref="J28">_xlfn.XLOOKUP(I28,Teams[[#All],[Team]],Teams[[#All],[Seed]],0,0,1)</f>
        <v/>
      </c>
      <c r="K28" s="109">
        <f>_xlfn.XLOOKUP(G28,Teams!$C:$C,Teams!$E:$E,,0,1)</f>
        <v/>
      </c>
      <c r="L28" s="109" t="n">
        <v>0.7</v>
      </c>
      <c r="M28" s="109">
        <f>_xlfn.XLOOKUP(I28,Teams!$C:$C,Teams!$E:$E,,0,1)</f>
        <v/>
      </c>
      <c r="N28" s="109" t="n">
        <v>0.3</v>
      </c>
      <c r="O28" s="190">
        <f>IF(L28&gt;N28,G28,I28)</f>
        <v/>
      </c>
      <c r="P28" s="205">
        <f>_xlfn.XLOOKUP(O28,Teams!$C:$C,Teams!$E:$E,,0,1)</f>
        <v/>
      </c>
      <c r="Q28" s="224" t="inlineStr"/>
      <c r="R28" s="6">
        <f>IF(
O28=G28,
IF(F28&gt;J28,TRUE,FALSE),
IF(J28&gt;F28,TRUE,FALSE))</f>
        <v/>
      </c>
      <c r="S28" s="98" t="n"/>
    </row>
    <row r="29" ht="24" customHeight="1">
      <c r="A29" s="91">
        <f>G29</f>
        <v/>
      </c>
      <c r="B29" s="91">
        <f>I29</f>
        <v/>
      </c>
      <c r="C29" s="91">
        <f>IF(O29="","",IF(A29=O29,B29,A29))</f>
        <v/>
      </c>
      <c r="D29" s="91">
        <f>IF(SeedType=1,0,IF(SeedType=2,VLOOKUP(O29,SeedInfo,2,FALSE)*1,MAX(VLOOKUP(O29,SeedInfo,2,FALSE)-VLOOKUP(C29,SeedInfo,2,FALSE),0)))</f>
        <v/>
      </c>
      <c r="E29" s="110" t="n">
        <v>25</v>
      </c>
      <c r="F29" s="111">
        <f t="array" ref="F29">_xlfn.XLOOKUP(G29,Teams[[#All],[Team]],Teams[[#All],[Seed]],0,0,1)</f>
        <v/>
      </c>
      <c r="G29" s="127" t="inlineStr">
        <is>
          <t>Chattanooga</t>
        </is>
      </c>
      <c r="H29" s="180" t="inlineStr">
        <is>
          <t>vs</t>
        </is>
      </c>
      <c r="I29" s="128" t="inlineStr">
        <is>
          <t>Chicago State</t>
        </is>
      </c>
      <c r="J29" s="114">
        <f t="array" ref="J29">_xlfn.XLOOKUP(I29,Teams[[#All],[Team]],Teams[[#All],[Seed]],0,0,1)</f>
        <v/>
      </c>
      <c r="K29" s="115">
        <f>_xlfn.XLOOKUP(G29,Teams!$C:$C,Teams!$E:$E,,0,1)</f>
        <v/>
      </c>
      <c r="L29" s="115" t="n">
        <v>0.45</v>
      </c>
      <c r="M29" s="115">
        <f>_xlfn.XLOOKUP(I29,Teams!$C:$C,Teams!$E:$E,,0,1)</f>
        <v/>
      </c>
      <c r="N29" s="115" t="n">
        <v>0.55</v>
      </c>
      <c r="O29" s="191">
        <f>IF(L29&gt;N29,G29,I29)</f>
        <v/>
      </c>
      <c r="P29" s="206">
        <f>_xlfn.XLOOKUP(O29,Teams!$C:$C,Teams!$E:$E,,0,1)</f>
        <v/>
      </c>
      <c r="Q29" s="225" t="inlineStr"/>
      <c r="R29" s="6">
        <f>IF(
O29=G29,
IF(F29&gt;J29,TRUE,FALSE),
IF(J29&gt;F29,TRUE,FALSE))</f>
        <v/>
      </c>
      <c r="S29" s="98" t="n"/>
    </row>
    <row r="30" ht="24" customHeight="1">
      <c r="A30" s="91">
        <f>G30</f>
        <v/>
      </c>
      <c r="B30" s="91">
        <f>I30</f>
        <v/>
      </c>
      <c r="C30" s="91">
        <f>IF(O30="","",IF(A30=O30,B30,A30))</f>
        <v/>
      </c>
      <c r="D30" s="91">
        <f>IF(SeedType=1,0,IF(SeedType=2,VLOOKUP(O30,SeedInfo,2,FALSE)*1,MAX(VLOOKUP(O30,SeedInfo,2,FALSE)-VLOOKUP(C30,SeedInfo,2,FALSE),0)))</f>
        <v/>
      </c>
      <c r="E30" s="116" t="n">
        <v>26</v>
      </c>
      <c r="F30" s="117">
        <f t="array" ref="F30">_xlfn.XLOOKUP(G30,Teams[[#All],[Team]],Teams[[#All],[Seed]],0,0,1)</f>
        <v/>
      </c>
      <c r="G30" s="118" t="inlineStr">
        <is>
          <t>Cincinnati</t>
        </is>
      </c>
      <c r="H30" s="178" t="inlineStr">
        <is>
          <t>vs</t>
        </is>
      </c>
      <c r="I30" s="119" t="inlineStr">
        <is>
          <t>Clemson</t>
        </is>
      </c>
      <c r="J30" s="120">
        <f t="array" ref="J30">_xlfn.XLOOKUP(I30,Teams[[#All],[Team]],Teams[[#All],[Seed]],0,0,1)</f>
        <v/>
      </c>
      <c r="K30" s="83">
        <f>_xlfn.XLOOKUP(G30,Teams!$C:$C,Teams!$E:$E,,0,1)</f>
        <v/>
      </c>
      <c r="L30" s="83" t="n">
        <v>0.33</v>
      </c>
      <c r="M30" s="83">
        <f>_xlfn.XLOOKUP(I30,Teams!$C:$C,Teams!$E:$E,,0,1)</f>
        <v/>
      </c>
      <c r="N30" s="83" t="n">
        <v>0.67</v>
      </c>
      <c r="O30" s="192">
        <f>IF(L30&gt;N30,G30,I30)</f>
        <v/>
      </c>
      <c r="P30" s="207">
        <f>_xlfn.XLOOKUP(O30,Teams!$C:$C,Teams!$E:$E,,0,1)</f>
        <v/>
      </c>
      <c r="Q30" s="226" t="inlineStr"/>
      <c r="R30" s="6">
        <f>IF(
O30=G30,
IF(F30&gt;J30,TRUE,FALSE),
IF(J30&gt;F30,TRUE,FALSE))</f>
        <v/>
      </c>
      <c r="S30" s="98" t="n"/>
    </row>
    <row r="31" ht="24" customHeight="1">
      <c r="A31" s="91">
        <f>G31</f>
        <v/>
      </c>
      <c r="B31" s="91">
        <f>I31</f>
        <v/>
      </c>
      <c r="C31" s="91">
        <f>IF(O31="","",IF(A31=O31,B31,A31))</f>
        <v/>
      </c>
      <c r="D31" s="91">
        <f>IF(SeedType=1,0,IF(SeedType=2,VLOOKUP(O31,SeedInfo,2,FALSE)*1,MAX(VLOOKUP(O31,SeedInfo,2,FALSE)-VLOOKUP(C31,SeedInfo,2,FALSE),0)))</f>
        <v/>
      </c>
      <c r="E31" s="116" t="n">
        <v>27</v>
      </c>
      <c r="F31" s="117">
        <f t="array" ref="F31">_xlfn.XLOOKUP(G31,Teams[[#All],[Team]],Teams[[#All],[Seed]],0,0,1)</f>
        <v/>
      </c>
      <c r="G31" s="118" t="inlineStr">
        <is>
          <t>Cleveland State</t>
        </is>
      </c>
      <c r="H31" s="178" t="inlineStr">
        <is>
          <t>vs</t>
        </is>
      </c>
      <c r="I31" s="119" t="inlineStr">
        <is>
          <t>Coastal Carolina</t>
        </is>
      </c>
      <c r="J31" s="120">
        <f t="array" ref="J31">_xlfn.XLOOKUP(I31,Teams[[#All],[Team]],Teams[[#All],[Seed]],0,0,1)</f>
        <v/>
      </c>
      <c r="K31" s="83">
        <f>_xlfn.XLOOKUP(G31,Teams!$C:$C,Teams!$E:$E,,0,1)</f>
        <v/>
      </c>
      <c r="L31" s="83" t="n">
        <v>0.12</v>
      </c>
      <c r="M31" s="83">
        <f>_xlfn.XLOOKUP(I31,Teams!$C:$C,Teams!$E:$E,,0,1)</f>
        <v/>
      </c>
      <c r="N31" s="83" t="n">
        <v>0.88</v>
      </c>
      <c r="O31" s="192">
        <f>IF(L31&gt;N31,G31,I31)</f>
        <v/>
      </c>
      <c r="P31" s="207">
        <f>_xlfn.XLOOKUP(O31,Teams!$C:$C,Teams!$E:$E,,0,1)</f>
        <v/>
      </c>
      <c r="Q31" s="226" t="inlineStr"/>
      <c r="R31" s="6">
        <f>IF(
O31=G31,
IF(F31&gt;J31,TRUE,FALSE),
IF(J31&gt;F31,TRUE,FALSE))</f>
        <v/>
      </c>
      <c r="S31" s="98" t="n"/>
    </row>
    <row r="32" ht="24" customHeight="1">
      <c r="A32" s="91">
        <f>G32</f>
        <v/>
      </c>
      <c r="B32" s="91">
        <f>I32</f>
        <v/>
      </c>
      <c r="C32" s="91">
        <f>IF(O32="","",IF(A32=O32,B32,A32))</f>
        <v/>
      </c>
      <c r="D32" s="91">
        <f>IF(SeedType=1,0,IF(SeedType=2,VLOOKUP(O32,SeedInfo,2,FALSE)*1,MAX(VLOOKUP(O32,SeedInfo,2,FALSE)-VLOOKUP(C32,SeedInfo,2,FALSE),0)))</f>
        <v/>
      </c>
      <c r="E32" s="116" t="n">
        <v>28</v>
      </c>
      <c r="F32" s="117">
        <f t="array" ref="F32">_xlfn.XLOOKUP(G32,Teams[[#All],[Team]],Teams[[#All],[Seed]],0,0,1)</f>
        <v/>
      </c>
      <c r="G32" s="118" t="inlineStr">
        <is>
          <t>Colgate</t>
        </is>
      </c>
      <c r="H32" s="178" t="inlineStr">
        <is>
          <t>vs</t>
        </is>
      </c>
      <c r="I32" s="119" t="inlineStr">
        <is>
          <t>College of Charleston</t>
        </is>
      </c>
      <c r="J32" s="120">
        <f t="array" ref="J32">_xlfn.XLOOKUP(I32,Teams[[#All],[Team]],Teams[[#All],[Seed]],0,0,1)</f>
        <v/>
      </c>
      <c r="K32" s="83">
        <f>_xlfn.XLOOKUP(G32,Teams!$C:$C,Teams!$E:$E,,0,1)</f>
        <v/>
      </c>
      <c r="L32" s="83" t="n">
        <v>0.84</v>
      </c>
      <c r="M32" s="83">
        <f>_xlfn.XLOOKUP(I32,Teams!$C:$C,Teams!$E:$E,,0,1)</f>
        <v/>
      </c>
      <c r="N32" s="83" t="n">
        <v>0.16</v>
      </c>
      <c r="O32" s="192">
        <f>IF(L32&gt;N32,G32,I32)</f>
        <v/>
      </c>
      <c r="P32" s="207">
        <f>_xlfn.XLOOKUP(O32,Teams!$C:$C,Teams!$E:$E,,0,1)</f>
        <v/>
      </c>
      <c r="Q32" s="226" t="inlineStr"/>
      <c r="R32" s="6">
        <f>IF(
O32=G32,
IF(F32&gt;J32,TRUE,FALSE),
IF(J32&gt;F32,TRUE,FALSE))</f>
        <v/>
      </c>
      <c r="S32" s="98" t="n"/>
    </row>
    <row r="33" ht="24" customHeight="1">
      <c r="A33" s="91">
        <f>G33</f>
        <v/>
      </c>
      <c r="B33" s="91">
        <f>I33</f>
        <v/>
      </c>
      <c r="C33" s="91">
        <f>IF(O33="","",IF(A33=O33,B33,A33))</f>
        <v/>
      </c>
      <c r="D33" s="91">
        <f>IF(SeedType=1,0,IF(SeedType=2,VLOOKUP(O33,SeedInfo,2,FALSE)*1,MAX(VLOOKUP(O33,SeedInfo,2,FALSE)-VLOOKUP(C33,SeedInfo,2,FALSE),0)))</f>
        <v/>
      </c>
      <c r="E33" s="116" t="n">
        <v>29</v>
      </c>
      <c r="F33" s="117">
        <f t="array" ref="F33">_xlfn.XLOOKUP(G33,Teams[[#All],[Team]],Teams[[#All],[Seed]],0,0,1)</f>
        <v/>
      </c>
      <c r="G33" s="118" t="inlineStr">
        <is>
          <t>Colorado</t>
        </is>
      </c>
      <c r="H33" s="178" t="inlineStr">
        <is>
          <t>vs</t>
        </is>
      </c>
      <c r="I33" s="119" t="inlineStr">
        <is>
          <t>Colorado State</t>
        </is>
      </c>
      <c r="J33" s="120">
        <f t="array" ref="J33">_xlfn.XLOOKUP(I33,Teams[[#All],[Team]],Teams[[#All],[Seed]],0,0,1)</f>
        <v/>
      </c>
      <c r="K33" s="83">
        <f>_xlfn.XLOOKUP(G33,Teams!$C:$C,Teams!$E:$E,,0,1)</f>
        <v/>
      </c>
      <c r="L33" s="83" t="n">
        <v>0.8100000000000001</v>
      </c>
      <c r="M33" s="83">
        <f>_xlfn.XLOOKUP(I33,Teams!$C:$C,Teams!$E:$E,,0,1)</f>
        <v/>
      </c>
      <c r="N33" s="83" t="n">
        <v>0.19</v>
      </c>
      <c r="O33" s="192">
        <f>IF(L33&gt;N33,G33,I33)</f>
        <v/>
      </c>
      <c r="P33" s="207">
        <f>_xlfn.XLOOKUP(O33,Teams!$C:$C,Teams!$E:$E,,0,1)</f>
        <v/>
      </c>
      <c r="Q33" s="226" t="inlineStr"/>
      <c r="R33" s="6">
        <f>IF(
O33=G33,
IF(F33&gt;J33,TRUE,FALSE),
IF(J33&gt;F33,TRUE,FALSE))</f>
        <v/>
      </c>
      <c r="S33" s="98" t="n"/>
    </row>
    <row r="34" ht="24" customHeight="1">
      <c r="A34" s="91">
        <f>G34</f>
        <v/>
      </c>
      <c r="B34" s="91">
        <f>I34</f>
        <v/>
      </c>
      <c r="C34" s="91">
        <f>IF(O34="","",IF(A34=O34,B34,A34))</f>
        <v/>
      </c>
      <c r="D34" s="91">
        <f>IF(SeedType=1,0,IF(SeedType=2,VLOOKUP(O34,SeedInfo,2,FALSE)*1,MAX(VLOOKUP(O34,SeedInfo,2,FALSE)-VLOOKUP(C34,SeedInfo,2,FALSE),0)))</f>
        <v/>
      </c>
      <c r="E34" s="116" t="n">
        <v>30</v>
      </c>
      <c r="F34" s="117">
        <f t="array" ref="F34">_xlfn.XLOOKUP(G34,Teams[[#All],[Team]],Teams[[#All],[Seed]],0,0,1)</f>
        <v/>
      </c>
      <c r="G34" s="118" t="inlineStr">
        <is>
          <t>Columbia</t>
        </is>
      </c>
      <c r="H34" s="178" t="inlineStr">
        <is>
          <t>vs</t>
        </is>
      </c>
      <c r="I34" s="119" t="inlineStr">
        <is>
          <t>Connecticut</t>
        </is>
      </c>
      <c r="J34" s="120">
        <f t="array" ref="J34">_xlfn.XLOOKUP(I34,Teams[[#All],[Team]],Teams[[#All],[Seed]],0,0,1)</f>
        <v/>
      </c>
      <c r="K34" s="83">
        <f>_xlfn.XLOOKUP(G34,Teams!$C:$C,Teams!$E:$E,,0,1)</f>
        <v/>
      </c>
      <c r="L34" s="83" t="n">
        <v>0.49</v>
      </c>
      <c r="M34" s="83">
        <f>_xlfn.XLOOKUP(I34,Teams!$C:$C,Teams!$E:$E,,0,1)</f>
        <v/>
      </c>
      <c r="N34" s="83" t="n">
        <v>0.51</v>
      </c>
      <c r="O34" s="192">
        <f>IF(L34&gt;N34,G34,I34)</f>
        <v/>
      </c>
      <c r="P34" s="207">
        <f>_xlfn.XLOOKUP(O34,Teams!$C:$C,Teams!$E:$E,,0,1)</f>
        <v/>
      </c>
      <c r="Q34" s="226" t="inlineStr"/>
      <c r="R34" s="6">
        <f>IF(
O34=G34,
IF(F34&gt;J34,TRUE,FALSE),
IF(J34&gt;F34,TRUE,FALSE))</f>
        <v/>
      </c>
      <c r="S34" s="98" t="n"/>
    </row>
    <row r="35" ht="24" customHeight="1">
      <c r="A35" s="91">
        <f>G35</f>
        <v/>
      </c>
      <c r="B35" s="91">
        <f>I35</f>
        <v/>
      </c>
      <c r="C35" s="91">
        <f>IF(O35="","",IF(A35=O35,B35,A35))</f>
        <v/>
      </c>
      <c r="D35" s="91">
        <f>IF(SeedType=1,0,IF(SeedType=2,VLOOKUP(O35,SeedInfo,2,FALSE)*1,MAX(VLOOKUP(O35,SeedInfo,2,FALSE)-VLOOKUP(C35,SeedInfo,2,FALSE),0)))</f>
        <v/>
      </c>
      <c r="E35" s="116" t="n">
        <v>31</v>
      </c>
      <c r="F35" s="117">
        <f t="array" ref="F35">_xlfn.XLOOKUP(G35,Teams[[#All],[Team]],Teams[[#All],[Seed]],0,0,1)</f>
        <v/>
      </c>
      <c r="G35" s="118" t="inlineStr">
        <is>
          <t>Coppin State</t>
        </is>
      </c>
      <c r="H35" s="178" t="inlineStr">
        <is>
          <t>vs</t>
        </is>
      </c>
      <c r="I35" s="119" t="inlineStr">
        <is>
          <t>Cornell</t>
        </is>
      </c>
      <c r="J35" s="120">
        <f t="array" ref="J35">_xlfn.XLOOKUP(I35,Teams[[#All],[Team]],Teams[[#All],[Seed]],0,0,1)</f>
        <v/>
      </c>
      <c r="K35" s="83">
        <f>_xlfn.XLOOKUP(G35,Teams!$C:$C,Teams!$E:$E,,0,1)</f>
        <v/>
      </c>
      <c r="L35" s="83" t="n">
        <v>0.16</v>
      </c>
      <c r="M35" s="83">
        <f>_xlfn.XLOOKUP(I35,Teams!$C:$C,Teams!$E:$E,,0,1)</f>
        <v/>
      </c>
      <c r="N35" s="83" t="n">
        <v>0.84</v>
      </c>
      <c r="O35" s="192">
        <f>IF(L35&gt;N35,G35,I35)</f>
        <v/>
      </c>
      <c r="P35" s="207">
        <f>_xlfn.XLOOKUP(O35,Teams!$C:$C,Teams!$E:$E,,0,1)</f>
        <v/>
      </c>
      <c r="Q35" s="226" t="inlineStr"/>
      <c r="R35" s="6">
        <f>IF(
O35=G35,
IF(F35&gt;J35,TRUE,FALSE),
IF(J35&gt;F35,TRUE,FALSE))</f>
        <v/>
      </c>
      <c r="S35" s="98" t="n"/>
    </row>
    <row r="36" ht="24" customHeight="1" thickBot="1">
      <c r="A36" s="91">
        <f>G36</f>
        <v/>
      </c>
      <c r="B36" s="91">
        <f>I36</f>
        <v/>
      </c>
      <c r="C36" s="91">
        <f>IF(O36="","",IF(A36=O36,B36,A36))</f>
        <v/>
      </c>
      <c r="D36" s="91">
        <f>IF(SeedType=1,0,IF(SeedType=2,VLOOKUP(O36,SeedInfo,2,FALSE)*1,MAX(VLOOKUP(O36,SeedInfo,2,FALSE)-VLOOKUP(C36,SeedInfo,2,FALSE),0)))</f>
        <v/>
      </c>
      <c r="E36" s="121" t="n">
        <v>32</v>
      </c>
      <c r="F36" s="122">
        <f t="array" ref="F36">_xlfn.XLOOKUP(G36,Teams[[#All],[Team]],Teams[[#All],[Seed]],0,0,1)</f>
        <v/>
      </c>
      <c r="G36" s="123" t="inlineStr">
        <is>
          <t>Creighton</t>
        </is>
      </c>
      <c r="H36" s="179" t="inlineStr">
        <is>
          <t>vs</t>
        </is>
      </c>
      <c r="I36" s="124" t="inlineStr">
        <is>
          <t>Dartmouth</t>
        </is>
      </c>
      <c r="J36" s="125">
        <f t="array" ref="J36">_xlfn.XLOOKUP(I36,Teams[[#All],[Team]],Teams[[#All],[Seed]],0,0,1)</f>
        <v/>
      </c>
      <c r="K36" s="126">
        <f>_xlfn.XLOOKUP(G36,Teams!$C:$C,Teams!$E:$E,,0,1)</f>
        <v/>
      </c>
      <c r="L36" s="126" t="n">
        <v>0.58</v>
      </c>
      <c r="M36" s="126">
        <f>_xlfn.XLOOKUP(I36,Teams!$C:$C,Teams!$E:$E,,0,1)</f>
        <v/>
      </c>
      <c r="N36" s="126" t="n">
        <v>0.42</v>
      </c>
      <c r="O36" s="193">
        <f>IF(L36&gt;N36,G36,I36)</f>
        <v/>
      </c>
      <c r="P36" s="208">
        <f>_xlfn.XLOOKUP(O36,Teams!$C:$C,Teams!$E:$E,,0,1)</f>
        <v/>
      </c>
      <c r="Q36" s="227" t="inlineStr"/>
      <c r="R36" s="6">
        <f>IF(
O36=G36,
IF(F36&gt;J36,TRUE,FALSE),
IF(J36&gt;F36,TRUE,FALSE))</f>
        <v/>
      </c>
      <c r="S36" s="98" t="n"/>
    </row>
    <row r="37" ht="24" customHeight="1" thickBot="1">
      <c r="E37" s="67" t="inlineStr">
        <is>
          <t>Game #</t>
        </is>
      </c>
      <c r="F37" s="238">
        <f>Bracket!F2</f>
        <v/>
      </c>
      <c r="G37" s="305" t="n"/>
      <c r="H37" s="305" t="n"/>
      <c r="I37" s="305" t="n"/>
      <c r="J37" s="305" t="n"/>
      <c r="K37" s="68" t="n"/>
      <c r="L37" s="68" t="n"/>
      <c r="M37" s="68" t="n"/>
      <c r="N37" s="68" t="n"/>
      <c r="O37" s="68" t="inlineStr">
        <is>
          <t>Winner</t>
        </is>
      </c>
      <c r="P37" s="68" t="n"/>
      <c r="Q37" s="229" t="n"/>
      <c r="S37" s="98" t="n"/>
    </row>
    <row r="38" ht="24" customHeight="1">
      <c r="A38" s="91">
        <f>G38</f>
        <v/>
      </c>
      <c r="B38" s="91">
        <f>I38</f>
        <v/>
      </c>
      <c r="C38" s="91">
        <f>IF(O38="","",IF(A38=O38,B38,A38))</f>
        <v/>
      </c>
      <c r="D38" s="91">
        <f>IF(SeedType=1,0,IF(SeedType=2,VLOOKUP(O38,SeedInfo,2,FALSE)*2,MAX(VLOOKUP(O38,SeedInfo,2,FALSE)-VLOOKUP(C38,SeedInfo,2,FALSE),0)))</f>
        <v/>
      </c>
      <c r="E38" s="129">
        <f>Bracket!F7</f>
        <v/>
      </c>
      <c r="F38" s="130">
        <f t="array" ref="F38">_xlfn.XLOOKUP(G38,Teams[[#All],[Team]],Teams[[#All],[Seed]],0,0,1)</f>
        <v/>
      </c>
      <c r="G38" s="131" t="inlineStr">
        <is>
          <t>Bucknell</t>
        </is>
      </c>
      <c r="H38" s="181" t="inlineStr">
        <is>
          <t>vs</t>
        </is>
      </c>
      <c r="I38" s="132" t="inlineStr">
        <is>
          <t>Butler</t>
        </is>
      </c>
      <c r="J38" s="133">
        <f t="array" ref="J38">_xlfn.XLOOKUP(I38,Teams[[#All],[Team]],Teams[[#All],[Seed]],0,0,1)</f>
        <v/>
      </c>
      <c r="K38" s="84">
        <f>_xlfn.XLOOKUP(G38,Teams!$C:$C,Teams!$E:$E,,0,1)</f>
        <v/>
      </c>
      <c r="L38" s="84" t="n">
        <v>0.52</v>
      </c>
      <c r="M38" s="84">
        <f>_xlfn.XLOOKUP(I38,Teams!$C:$C,Teams!$E:$E,,0,1)</f>
        <v/>
      </c>
      <c r="N38" s="84" t="n">
        <v>0.48</v>
      </c>
      <c r="O38" s="194">
        <f>IF(L38&gt;N38,G38,I38)</f>
        <v/>
      </c>
      <c r="P38" s="209">
        <f>_xlfn.XLOOKUP(O38,Teams!$C:$C,Teams!$E:$E,,0,1)</f>
        <v/>
      </c>
      <c r="Q38" s="222" t="inlineStr"/>
      <c r="R38" s="6">
        <f>IF(
O38=G38,
IF(F38&gt;J38,TRUE,FALSE),
IF(J38&gt;F38,TRUE,FALSE))</f>
        <v/>
      </c>
      <c r="S38" s="98" t="n"/>
    </row>
    <row r="39" ht="24" customHeight="1">
      <c r="A39" s="91">
        <f>G39</f>
        <v/>
      </c>
      <c r="B39" s="91">
        <f>I39</f>
        <v/>
      </c>
      <c r="C39" s="91">
        <f>IF(O39="","",IF(A39=O39,B39,A39))</f>
        <v/>
      </c>
      <c r="D39" s="91">
        <f>IF(SeedType=1,0,IF(SeedType=2,VLOOKUP(O39,SeedInfo,2,FALSE)*2,MAX(VLOOKUP(O39,SeedInfo,2,FALSE)-VLOOKUP(C39,SeedInfo,2,FALSE),0)))</f>
        <v/>
      </c>
      <c r="E39" s="99" t="n">
        <v>34</v>
      </c>
      <c r="F39" s="100">
        <f t="array" ref="F39">_xlfn.XLOOKUP(G39,Teams[[#All],[Team]],Teams[[#All],[Seed]],0,0,1)</f>
        <v/>
      </c>
      <c r="G39" s="101" t="inlineStr">
        <is>
          <t>Cal State Bakersfield</t>
        </is>
      </c>
      <c r="H39" s="176" t="inlineStr">
        <is>
          <t>vs</t>
        </is>
      </c>
      <c r="I39" s="102" t="inlineStr">
        <is>
          <t>Cal State Northridge</t>
        </is>
      </c>
      <c r="J39" s="103">
        <f t="array" ref="J39">_xlfn.XLOOKUP(I39,Teams[[#All],[Team]],Teams[[#All],[Seed]],0,0,1)</f>
        <v/>
      </c>
      <c r="K39" s="82">
        <f>_xlfn.XLOOKUP(G39,Teams!$C:$C,Teams!$E:$E,,0,1)</f>
        <v/>
      </c>
      <c r="L39" s="82" t="n">
        <v>0.18</v>
      </c>
      <c r="M39" s="82">
        <f>_xlfn.XLOOKUP(I39,Teams!$C:$C,Teams!$E:$E,,0,1)</f>
        <v/>
      </c>
      <c r="N39" s="82" t="n">
        <v>0.82</v>
      </c>
      <c r="O39" s="189">
        <f>IF(L39&gt;N39,G39,I39)</f>
        <v/>
      </c>
      <c r="P39" s="204">
        <f>_xlfn.XLOOKUP(O39,Teams!$C:$C,Teams!$E:$E,,0,1)</f>
        <v/>
      </c>
      <c r="Q39" s="223" t="inlineStr"/>
      <c r="R39" s="6">
        <f>IF(
O39=G39,
IF(F39&gt;J39,TRUE,FALSE),
IF(J39&gt;F39,TRUE,FALSE))</f>
        <v/>
      </c>
      <c r="S39" s="98" t="n"/>
    </row>
    <row r="40" ht="24" customHeight="1">
      <c r="A40" s="91">
        <f>G40</f>
        <v/>
      </c>
      <c r="B40" s="91">
        <f>I40</f>
        <v/>
      </c>
      <c r="C40" s="91">
        <f>IF(O40="","",IF(A40=O40,B40,A40))</f>
        <v/>
      </c>
      <c r="D40" s="91">
        <f>IF(SeedType=1,0,IF(SeedType=2,VLOOKUP(O40,SeedInfo,2,FALSE)*2,MAX(VLOOKUP(O40,SeedInfo,2,FALSE)-VLOOKUP(C40,SeedInfo,2,FALSE),0)))</f>
        <v/>
      </c>
      <c r="E40" s="99" t="n">
        <v>35</v>
      </c>
      <c r="F40" s="100">
        <f t="array" ref="F40">_xlfn.XLOOKUP(G40,Teams[[#All],[Team]],Teams[[#All],[Seed]],0,0,1)</f>
        <v/>
      </c>
      <c r="G40" s="101" t="inlineStr">
        <is>
          <t>California Baptist</t>
        </is>
      </c>
      <c r="H40" s="176" t="inlineStr">
        <is>
          <t>vs</t>
        </is>
      </c>
      <c r="I40" s="102" t="inlineStr">
        <is>
          <t>Canisius</t>
        </is>
      </c>
      <c r="J40" s="103">
        <f t="array" ref="J40">_xlfn.XLOOKUP(I40,Teams[[#All],[Team]],Teams[[#All],[Seed]],0,0,1)</f>
        <v/>
      </c>
      <c r="K40" s="82">
        <f>_xlfn.XLOOKUP(G40,Teams!$C:$C,Teams!$E:$E,,0,1)</f>
        <v/>
      </c>
      <c r="L40" s="82" t="n">
        <v>0.1</v>
      </c>
      <c r="M40" s="82">
        <f>_xlfn.XLOOKUP(I40,Teams!$C:$C,Teams!$E:$E,,0,1)</f>
        <v/>
      </c>
      <c r="N40" s="82" t="n">
        <v>0.9</v>
      </c>
      <c r="O40" s="189">
        <f>IF(L40&gt;N40,G40,I40)</f>
        <v/>
      </c>
      <c r="P40" s="204">
        <f>_xlfn.XLOOKUP(O40,Teams!$C:$C,Teams!$E:$E,,0,1)</f>
        <v/>
      </c>
      <c r="Q40" s="223" t="inlineStr"/>
      <c r="R40" s="6">
        <f>IF(
O40=G40,
IF(F40&gt;J40,TRUE,FALSE),
IF(J40&gt;F40,TRUE,FALSE))</f>
        <v/>
      </c>
      <c r="S40" s="98" t="n"/>
    </row>
    <row r="41" ht="24" customHeight="1" thickBot="1">
      <c r="A41" s="91">
        <f>G41</f>
        <v/>
      </c>
      <c r="B41" s="91">
        <f>I41</f>
        <v/>
      </c>
      <c r="C41" s="91">
        <f>IF(O41="","",IF(A41=O41,B41,A41))</f>
        <v/>
      </c>
      <c r="D41" s="91">
        <f>IF(SeedType=1,0,IF(SeedType=2,VLOOKUP(O41,SeedInfo,2,FALSE)*2,MAX(VLOOKUP(O41,SeedInfo,2,FALSE)-VLOOKUP(C41,SeedInfo,2,FALSE),0)))</f>
        <v/>
      </c>
      <c r="E41" s="134" t="n">
        <v>36</v>
      </c>
      <c r="F41" s="135">
        <f t="array" ref="F41">_xlfn.XLOOKUP(G41,Teams[[#All],[Team]],Teams[[#All],[Seed]],0,0,1)</f>
        <v/>
      </c>
      <c r="G41" s="136" t="inlineStr">
        <is>
          <t>Central Connecticut State</t>
        </is>
      </c>
      <c r="H41" s="182" t="inlineStr">
        <is>
          <t>vs</t>
        </is>
      </c>
      <c r="I41" s="137" t="inlineStr">
        <is>
          <t>Charleston Southern</t>
        </is>
      </c>
      <c r="J41" s="138">
        <f t="array" ref="J41">_xlfn.XLOOKUP(I41,Teams[[#All],[Team]],Teams[[#All],[Seed]],0,0,1)</f>
        <v/>
      </c>
      <c r="K41" s="139">
        <f>_xlfn.XLOOKUP(G41,Teams!$C:$C,Teams!$E:$E,,0,1)</f>
        <v/>
      </c>
      <c r="L41" s="139" t="n">
        <v>0.01</v>
      </c>
      <c r="M41" s="139">
        <f>_xlfn.XLOOKUP(I41,Teams!$C:$C,Teams!$E:$E,,0,1)</f>
        <v/>
      </c>
      <c r="N41" s="139" t="n">
        <v>0.99</v>
      </c>
      <c r="O41" s="195">
        <f>IF(L41&gt;N41,G41,I41)</f>
        <v/>
      </c>
      <c r="P41" s="210">
        <f>_xlfn.XLOOKUP(O41,Teams!$C:$C,Teams!$E:$E,,0,1)</f>
        <v/>
      </c>
      <c r="Q41" s="224" t="inlineStr"/>
      <c r="R41" s="6">
        <f>IF(
O41=G41,
IF(F41&gt;J41,TRUE,FALSE),
IF(J41&gt;F41,TRUE,FALSE))</f>
        <v/>
      </c>
      <c r="S41" s="98" t="n"/>
    </row>
    <row r="42" ht="24" customHeight="1">
      <c r="A42" s="91">
        <f>G42</f>
        <v/>
      </c>
      <c r="B42" s="91">
        <f>I42</f>
        <v/>
      </c>
      <c r="C42" s="91">
        <f>IF(O42="","",IF(A42=O42,B42,A42))</f>
        <v/>
      </c>
      <c r="D42" s="91">
        <f>IF(SeedType=1,0,IF(SeedType=2,VLOOKUP(O42,SeedInfo,2,FALSE)*2,MAX(VLOOKUP(O42,SeedInfo,2,FALSE)-VLOOKUP(C42,SeedInfo,2,FALSE),0)))</f>
        <v/>
      </c>
      <c r="E42" s="140" t="n">
        <v>37</v>
      </c>
      <c r="F42" s="141">
        <f t="array" ref="F42">_xlfn.XLOOKUP(G42,Teams[[#All],[Team]],Teams[[#All],[Seed]],0,0,1)</f>
        <v/>
      </c>
      <c r="G42" s="142" t="inlineStr">
        <is>
          <t>Auburn</t>
        </is>
      </c>
      <c r="H42" s="183" t="inlineStr">
        <is>
          <t>vs</t>
        </is>
      </c>
      <c r="I42" s="143" t="inlineStr">
        <is>
          <t>Ball State</t>
        </is>
      </c>
      <c r="J42" s="144">
        <f t="array" ref="J42">_xlfn.XLOOKUP(I42,Teams[[#All],[Team]],Teams[[#All],[Seed]],0,0,1)</f>
        <v/>
      </c>
      <c r="K42" s="145">
        <f>_xlfn.XLOOKUP(G42,Teams!$C:$C,Teams!$E:$E,,0,1)</f>
        <v/>
      </c>
      <c r="L42" s="145" t="n">
        <v>0.62</v>
      </c>
      <c r="M42" s="145">
        <f>_xlfn.XLOOKUP(I42,Teams!$C:$C,Teams!$E:$E,,0,1)</f>
        <v/>
      </c>
      <c r="N42" s="145" t="n">
        <v>0.38</v>
      </c>
      <c r="O42" s="196">
        <f>IF(L42&gt;N42,G42,I42)</f>
        <v/>
      </c>
      <c r="P42" s="211">
        <f>_xlfn.XLOOKUP(O42,Teams!$C:$C,Teams!$E:$E,,0,1)</f>
        <v/>
      </c>
      <c r="Q42" s="225" t="inlineStr"/>
      <c r="R42" s="6">
        <f>IF(
O42=G42,
IF(F42&gt;J42,TRUE,FALSE),
IF(J42&gt;F42,TRUE,FALSE))</f>
        <v/>
      </c>
      <c r="S42" s="98" t="n"/>
    </row>
    <row r="43" ht="24" customHeight="1">
      <c r="A43" s="91">
        <f>G43</f>
        <v/>
      </c>
      <c r="B43" s="91">
        <f>I43</f>
        <v/>
      </c>
      <c r="C43" s="91">
        <f>IF(O43="","",IF(A43=O43,B43,A43))</f>
        <v/>
      </c>
      <c r="D43" s="91">
        <f>IF(SeedType=1,0,IF(SeedType=2,VLOOKUP(O43,SeedInfo,2,FALSE)*2,MAX(VLOOKUP(O43,SeedInfo,2,FALSE)-VLOOKUP(C43,SeedInfo,2,FALSE),0)))</f>
        <v/>
      </c>
      <c r="E43" s="116" t="n">
        <v>38</v>
      </c>
      <c r="F43" s="117">
        <f t="array" ref="F43">_xlfn.XLOOKUP(G43,Teams[[#All],[Team]],Teams[[#All],[Seed]],0,0,1)</f>
        <v/>
      </c>
      <c r="G43" s="118" t="inlineStr">
        <is>
          <t>Bellarmine</t>
        </is>
      </c>
      <c r="H43" s="178" t="inlineStr">
        <is>
          <t>vs</t>
        </is>
      </c>
      <c r="I43" s="119" t="inlineStr">
        <is>
          <t>Bethune-Cookman</t>
        </is>
      </c>
      <c r="J43" s="120">
        <f t="array" ref="J43">_xlfn.XLOOKUP(I43,Teams[[#All],[Team]],Teams[[#All],[Seed]],0,0,1)</f>
        <v/>
      </c>
      <c r="K43" s="83">
        <f>_xlfn.XLOOKUP(G43,Teams!$C:$C,Teams!$E:$E,,0,1)</f>
        <v/>
      </c>
      <c r="L43" s="83" t="n">
        <v>0.5</v>
      </c>
      <c r="M43" s="83">
        <f>_xlfn.XLOOKUP(I43,Teams!$C:$C,Teams!$E:$E,,0,1)</f>
        <v/>
      </c>
      <c r="N43" s="83" t="n">
        <v>0.5</v>
      </c>
      <c r="O43" s="192">
        <f>IF(L43&gt;N43,G43,I43)</f>
        <v/>
      </c>
      <c r="P43" s="207">
        <f>_xlfn.XLOOKUP(O43,Teams!$C:$C,Teams!$E:$E,,0,1)</f>
        <v/>
      </c>
      <c r="Q43" s="226" t="inlineStr"/>
      <c r="R43" s="6">
        <f>IF(
O43=G43,
IF(F43&gt;J43,TRUE,FALSE),
IF(J43&gt;F43,TRUE,FALSE))</f>
        <v/>
      </c>
      <c r="S43" s="98" t="n"/>
    </row>
    <row r="44" ht="24" customHeight="1">
      <c r="A44" s="91">
        <f>G44</f>
        <v/>
      </c>
      <c r="B44" s="91">
        <f>I44</f>
        <v/>
      </c>
      <c r="C44" s="91">
        <f>IF(O44="","",IF(A44=O44,B44,A44))</f>
        <v/>
      </c>
      <c r="D44" s="91">
        <f>IF(SeedType=1,0,IF(SeedType=2,VLOOKUP(O44,SeedInfo,2,FALSE)*2,MAX(VLOOKUP(O44,SeedInfo,2,FALSE)-VLOOKUP(C44,SeedInfo,2,FALSE),0)))</f>
        <v/>
      </c>
      <c r="E44" s="116" t="n">
        <v>39</v>
      </c>
      <c r="F44" s="117">
        <f t="array" ref="F44">_xlfn.XLOOKUP(G44,Teams[[#All],[Team]],Teams[[#All],[Seed]],0,0,1)</f>
        <v/>
      </c>
      <c r="G44" s="118" t="inlineStr">
        <is>
          <t>Boise State</t>
        </is>
      </c>
      <c r="H44" s="178" t="inlineStr">
        <is>
          <t>vs</t>
        </is>
      </c>
      <c r="I44" s="119" t="inlineStr">
        <is>
          <t>Florida</t>
        </is>
      </c>
      <c r="J44" s="120">
        <f t="array" ref="J44">_xlfn.XLOOKUP(I44,Teams[[#All],[Team]],Teams[[#All],[Seed]],0,0,1)</f>
        <v/>
      </c>
      <c r="K44" s="83">
        <f>_xlfn.XLOOKUP(G44,Teams!$C:$C,Teams!$E:$E,,0,1)</f>
        <v/>
      </c>
      <c r="L44" s="83" t="n">
        <v>0.01</v>
      </c>
      <c r="M44" s="83">
        <f>_xlfn.XLOOKUP(I44,Teams!$C:$C,Teams!$E:$E,,0,1)</f>
        <v/>
      </c>
      <c r="N44" s="83" t="n">
        <v>0.99</v>
      </c>
      <c r="O44" s="192">
        <f>IF(L44&gt;N44,G44,I44)</f>
        <v/>
      </c>
      <c r="P44" s="207">
        <f>_xlfn.XLOOKUP(O44,Teams!$C:$C,Teams!$E:$E,,0,1)</f>
        <v/>
      </c>
      <c r="Q44" s="226" t="inlineStr"/>
      <c r="R44" s="6">
        <f>IF(
O44=G44,
IF(F44&gt;J44,TRUE,FALSE),
IF(J44&gt;F44,TRUE,FALSE))</f>
        <v/>
      </c>
      <c r="S44" s="98" t="n"/>
    </row>
    <row r="45" ht="24" customHeight="1" thickBot="1">
      <c r="A45" s="91">
        <f>G45</f>
        <v/>
      </c>
      <c r="B45" s="91">
        <f>I45</f>
        <v/>
      </c>
      <c r="C45" s="91">
        <f>IF(O45="","",IF(A45=O45,B45,A45))</f>
        <v/>
      </c>
      <c r="D45" s="91">
        <f>IF(SeedType=1,0,IF(SeedType=2,VLOOKUP(O45,SeedInfo,2,FALSE)*2,MAX(VLOOKUP(O45,SeedInfo,2,FALSE)-VLOOKUP(C45,SeedInfo,2,FALSE),0)))</f>
        <v/>
      </c>
      <c r="E45" s="146" t="n">
        <v>40</v>
      </c>
      <c r="F45" s="147">
        <f t="array" ref="F45">_xlfn.XLOOKUP(G45,Teams[[#All],[Team]],Teams[[#All],[Seed]],0,0,1)</f>
        <v/>
      </c>
      <c r="G45" s="148" t="inlineStr">
        <is>
          <t>Bradley</t>
        </is>
      </c>
      <c r="H45" s="184" t="inlineStr">
        <is>
          <t>vs</t>
        </is>
      </c>
      <c r="I45" s="149" t="inlineStr">
        <is>
          <t>Brown</t>
        </is>
      </c>
      <c r="J45" s="150">
        <f t="array" ref="J45">_xlfn.XLOOKUP(I45,Teams[[#All],[Team]],Teams[[#All],[Seed]],0,0,1)</f>
        <v/>
      </c>
      <c r="K45" s="151">
        <f>_xlfn.XLOOKUP(G45,Teams!$C:$C,Teams!$E:$E,,0,1)</f>
        <v/>
      </c>
      <c r="L45" s="151" t="n">
        <v>0.7</v>
      </c>
      <c r="M45" s="151">
        <f>_xlfn.XLOOKUP(I45,Teams!$C:$C,Teams!$E:$E,,0,1)</f>
        <v/>
      </c>
      <c r="N45" s="151" t="n">
        <v>0.3</v>
      </c>
      <c r="O45" s="197">
        <f>IF(L45&gt;N45,G45,I45)</f>
        <v/>
      </c>
      <c r="P45" s="212">
        <f>_xlfn.XLOOKUP(O45,Teams!$C:$C,Teams!$E:$E,,0,1)</f>
        <v/>
      </c>
      <c r="Q45" s="227" t="inlineStr"/>
      <c r="R45" s="6">
        <f>IF(
O45=G45,
IF(F45&gt;J45,TRUE,FALSE),
IF(J45&gt;F45,TRUE,FALSE))</f>
        <v/>
      </c>
      <c r="S45" s="98" t="n"/>
    </row>
    <row r="46" ht="24" customHeight="1">
      <c r="A46" s="152">
        <f>G46</f>
        <v/>
      </c>
      <c r="B46" s="152">
        <f>I46</f>
        <v/>
      </c>
      <c r="C46" s="152">
        <f>IF(O46="","",IF(A46=O46,B46,A46))</f>
        <v/>
      </c>
      <c r="D46" s="152">
        <f>IF(SeedType=1,0,IF(SeedType=2,VLOOKUP(O46,SeedInfo,2,FALSE)*2,MAX(VLOOKUP(O46,SeedInfo,2,FALSE)-VLOOKUP(C46,SeedInfo,2,FALSE),0)))</f>
        <v/>
      </c>
      <c r="E46" s="129" t="n">
        <v>41</v>
      </c>
      <c r="F46" s="130">
        <f t="array" ref="F46">_xlfn.XLOOKUP(G46,Teams[[#All],[Team]],Teams[[#All],[Seed]],0,0,1)</f>
        <v/>
      </c>
      <c r="G46" s="131" t="inlineStr">
        <is>
          <t>Abilene Christian</t>
        </is>
      </c>
      <c r="H46" s="181" t="inlineStr">
        <is>
          <t>vs</t>
        </is>
      </c>
      <c r="I46" s="132" t="inlineStr">
        <is>
          <t>Akron</t>
        </is>
      </c>
      <c r="J46" s="133">
        <f t="array" ref="J46">_xlfn.XLOOKUP(I46,Teams[[#All],[Team]],Teams[[#All],[Seed]],0,0,1)</f>
        <v/>
      </c>
      <c r="K46" s="84">
        <f>_xlfn.XLOOKUP(G46,Teams!$C:$C,Teams!$E:$E,,0,1)</f>
        <v/>
      </c>
      <c r="L46" s="84" t="n">
        <v>0.01</v>
      </c>
      <c r="M46" s="84">
        <f>_xlfn.XLOOKUP(I46,Teams!$C:$C,Teams!$E:$E,,0,1)</f>
        <v/>
      </c>
      <c r="N46" s="84" t="n">
        <v>0.99</v>
      </c>
      <c r="O46" s="194">
        <f>IF(L46&gt;N46,G46,I46)</f>
        <v/>
      </c>
      <c r="P46" s="209">
        <f>_xlfn.XLOOKUP(O46,Teams!$C:$C,Teams!$E:$E,,0,1)</f>
        <v/>
      </c>
      <c r="Q46" s="228" t="inlineStr"/>
      <c r="R46" s="6">
        <f>IF(
O46=G46,
IF(F46&gt;J46,TRUE,FALSE),
IF(J46&gt;F46,TRUE,FALSE))</f>
        <v/>
      </c>
      <c r="S46" s="98" t="n"/>
    </row>
    <row r="47" ht="24" customHeight="1">
      <c r="A47" s="152">
        <f>G47</f>
        <v/>
      </c>
      <c r="B47" s="152">
        <f>I47</f>
        <v/>
      </c>
      <c r="C47" s="152">
        <f>IF(O47="","",IF(A47=O47,B47,A47))</f>
        <v/>
      </c>
      <c r="D47" s="152">
        <f>IF(SeedType=1,0,IF(SeedType=2,VLOOKUP(O47,SeedInfo,2,FALSE)*2,MAX(VLOOKUP(O47,SeedInfo,2,FALSE)-VLOOKUP(C47,SeedInfo,2,FALSE),0)))</f>
        <v/>
      </c>
      <c r="E47" s="99" t="n">
        <v>42</v>
      </c>
      <c r="F47" s="100">
        <f t="array" ref="F47">_xlfn.XLOOKUP(G47,Teams[[#All],[Team]],Teams[[#All],[Seed]],0,0,1)</f>
        <v/>
      </c>
      <c r="G47" s="101" t="inlineStr">
        <is>
          <t>Alabama A&amp;M</t>
        </is>
      </c>
      <c r="H47" s="176" t="inlineStr">
        <is>
          <t>vs</t>
        </is>
      </c>
      <c r="I47" s="102" t="inlineStr">
        <is>
          <t>Albany (NY)</t>
        </is>
      </c>
      <c r="J47" s="103">
        <f t="array" ref="J47">_xlfn.XLOOKUP(I47,Teams[[#All],[Team]],Teams[[#All],[Seed]],0,0,1)</f>
        <v/>
      </c>
      <c r="K47" s="82">
        <f>_xlfn.XLOOKUP(G47,Teams!$C:$C,Teams!$E:$E,,0,1)</f>
        <v/>
      </c>
      <c r="L47" s="82" t="n">
        <v>0.15</v>
      </c>
      <c r="M47" s="82">
        <f>_xlfn.XLOOKUP(I47,Teams!$C:$C,Teams!$E:$E,,0,1)</f>
        <v/>
      </c>
      <c r="N47" s="82" t="n">
        <v>0.85</v>
      </c>
      <c r="O47" s="189">
        <f>IF(L47&gt;N47,G47,I47)</f>
        <v/>
      </c>
      <c r="P47" s="204">
        <f>_xlfn.XLOOKUP(O47,Teams!$C:$C,Teams!$E:$E,,0,1)</f>
        <v/>
      </c>
      <c r="Q47" s="223" t="inlineStr"/>
      <c r="R47" s="6">
        <f>IF(
O47=G47,
IF(F47&gt;J47,TRUE,FALSE),
IF(J47&gt;F47,TRUE,FALSE))</f>
        <v/>
      </c>
      <c r="S47" s="98" t="n"/>
    </row>
    <row r="48" ht="24" customHeight="1">
      <c r="A48" s="152">
        <f>G48</f>
        <v/>
      </c>
      <c r="B48" s="152">
        <f>I48</f>
        <v/>
      </c>
      <c r="C48" s="152">
        <f>IF(O48="","",IF(A48=O48,B48,A48))</f>
        <v/>
      </c>
      <c r="D48" s="152">
        <f>IF(SeedType=1,0,IF(SeedType=2,VLOOKUP(O48,SeedInfo,2,FALSE)*2,MAX(VLOOKUP(O48,SeedInfo,2,FALSE)-VLOOKUP(C48,SeedInfo,2,FALSE),0)))</f>
        <v/>
      </c>
      <c r="E48" s="99" t="n">
        <v>43</v>
      </c>
      <c r="F48" s="100">
        <f t="array" ref="F48">_xlfn.XLOOKUP(G48,Teams[[#All],[Team]],Teams[[#All],[Seed]],0,0,1)</f>
        <v/>
      </c>
      <c r="G48" s="101" t="inlineStr">
        <is>
          <t>American</t>
        </is>
      </c>
      <c r="H48" s="176" t="inlineStr">
        <is>
          <t>vs</t>
        </is>
      </c>
      <c r="I48" s="102" t="inlineStr">
        <is>
          <t>Arizona</t>
        </is>
      </c>
      <c r="J48" s="103">
        <f t="array" ref="J48">_xlfn.XLOOKUP(I48,Teams[[#All],[Team]],Teams[[#All],[Seed]],0,0,1)</f>
        <v/>
      </c>
      <c r="K48" s="82">
        <f>_xlfn.XLOOKUP(G48,Teams!$C:$C,Teams!$E:$E,,0,1)</f>
        <v/>
      </c>
      <c r="L48" s="82" t="n">
        <v>0.01</v>
      </c>
      <c r="M48" s="82">
        <f>_xlfn.XLOOKUP(I48,Teams!$C:$C,Teams!$E:$E,,0,1)</f>
        <v/>
      </c>
      <c r="N48" s="82" t="n">
        <v>0.99</v>
      </c>
      <c r="O48" s="189">
        <f>IF(L48&gt;N48,G48,I48)</f>
        <v/>
      </c>
      <c r="P48" s="204">
        <f>_xlfn.XLOOKUP(O48,Teams!$C:$C,Teams!$E:$E,,0,1)</f>
        <v/>
      </c>
      <c r="Q48" s="223" t="inlineStr"/>
      <c r="R48" s="6">
        <f>IF(
O48=G48,
IF(F48&gt;J48,TRUE,FALSE),
IF(J48&gt;F48,TRUE,FALSE))</f>
        <v/>
      </c>
      <c r="S48" s="98" t="n"/>
    </row>
    <row r="49" ht="24" customHeight="1" thickBot="1">
      <c r="A49" s="152">
        <f>G49</f>
        <v/>
      </c>
      <c r="B49" s="152">
        <f>I49</f>
        <v/>
      </c>
      <c r="C49" s="152">
        <f>IF(O49="","",IF(A49=O49,B49,A49))</f>
        <v/>
      </c>
      <c r="D49" s="152">
        <f>IF(SeedType=1,0,IF(SeedType=2,VLOOKUP(O49,SeedInfo,2,FALSE)*2,MAX(VLOOKUP(O49,SeedInfo,2,FALSE)-VLOOKUP(C49,SeedInfo,2,FALSE),0)))</f>
        <v/>
      </c>
      <c r="E49" s="134" t="n">
        <v>44</v>
      </c>
      <c r="F49" s="135">
        <f t="array" ref="F49">_xlfn.XLOOKUP(G49,Teams[[#All],[Team]],Teams[[#All],[Seed]],0,0,1)</f>
        <v/>
      </c>
      <c r="G49" s="136" t="inlineStr">
        <is>
          <t>Arkansas</t>
        </is>
      </c>
      <c r="H49" s="182" t="inlineStr">
        <is>
          <t>vs</t>
        </is>
      </c>
      <c r="I49" s="137" t="inlineStr">
        <is>
          <t>Arkansas-Pine Bluff</t>
        </is>
      </c>
      <c r="J49" s="138">
        <f t="array" ref="J49">_xlfn.XLOOKUP(I49,Teams[[#All],[Team]],Teams[[#All],[Seed]],0,0,1)</f>
        <v/>
      </c>
      <c r="K49" s="139">
        <f>_xlfn.XLOOKUP(G49,Teams!$C:$C,Teams!$E:$E,,0,1)</f>
        <v/>
      </c>
      <c r="L49" s="139" t="n">
        <v>0.88</v>
      </c>
      <c r="M49" s="139">
        <f>_xlfn.XLOOKUP(I49,Teams!$C:$C,Teams!$E:$E,,0,1)</f>
        <v/>
      </c>
      <c r="N49" s="139" t="n">
        <v>0.12</v>
      </c>
      <c r="O49" s="195">
        <f>IF(L49&gt;N49,G49,I49)</f>
        <v/>
      </c>
      <c r="P49" s="210">
        <f>_xlfn.XLOOKUP(O49,Teams!$C:$C,Teams!$E:$E,,0,1)</f>
        <v/>
      </c>
      <c r="Q49" s="224" t="inlineStr"/>
      <c r="R49" s="6">
        <f>IF(
O49=G49,
IF(F49&gt;J49,TRUE,FALSE),
IF(J49&gt;F49,TRUE,FALSE))</f>
        <v/>
      </c>
      <c r="S49" s="98" t="n"/>
    </row>
    <row r="50" ht="24" customHeight="1">
      <c r="A50" s="91">
        <f>G50</f>
        <v/>
      </c>
      <c r="B50" s="91">
        <f>I50</f>
        <v/>
      </c>
      <c r="C50" s="91">
        <f>IF(O50="","",IF(A50=O50,B50,A50))</f>
        <v/>
      </c>
      <c r="D50" s="91">
        <f>IF(SeedType=1,0,IF(SeedType=2,VLOOKUP(O50,SeedInfo,2,FALSE)*2,MAX(VLOOKUP(O50,SeedInfo,2,FALSE)-VLOOKUP(C50,SeedInfo,2,FALSE),0)))</f>
        <v/>
      </c>
      <c r="E50" s="140" t="n">
        <v>45</v>
      </c>
      <c r="F50" s="141">
        <f t="array" ref="F50">_xlfn.XLOOKUP(G50,Teams[[#All],[Team]],Teams[[#All],[Seed]],0,0,1)</f>
        <v/>
      </c>
      <c r="G50" s="142" t="inlineStr">
        <is>
          <t>Chattanooga</t>
        </is>
      </c>
      <c r="H50" s="183" t="inlineStr">
        <is>
          <t>vs</t>
        </is>
      </c>
      <c r="I50" s="143" t="inlineStr">
        <is>
          <t>Cincinnati</t>
        </is>
      </c>
      <c r="J50" s="144">
        <f t="array" ref="J50">_xlfn.XLOOKUP(I50,Teams[[#All],[Team]],Teams[[#All],[Seed]],0,0,1)</f>
        <v/>
      </c>
      <c r="K50" s="145">
        <f>_xlfn.XLOOKUP(G50,Teams!$C:$C,Teams!$E:$E,,0,1)</f>
        <v/>
      </c>
      <c r="L50" s="145" t="n">
        <v>0.24</v>
      </c>
      <c r="M50" s="145">
        <f>_xlfn.XLOOKUP(I50,Teams!$C:$C,Teams!$E:$E,,0,1)</f>
        <v/>
      </c>
      <c r="N50" s="145" t="n">
        <v>0.76</v>
      </c>
      <c r="O50" s="196">
        <f>IF(L50&gt;N50,G50,I50)</f>
        <v/>
      </c>
      <c r="P50" s="211">
        <f>_xlfn.XLOOKUP(O50,Teams!$C:$C,Teams!$E:$E,,0,1)</f>
        <v/>
      </c>
      <c r="Q50" s="225" t="inlineStr"/>
      <c r="R50" s="6">
        <f>IF(
O50=G50,
IF(F50&gt;J50,TRUE,FALSE),
IF(J50&gt;F50,TRUE,FALSE))</f>
        <v/>
      </c>
      <c r="S50" s="98" t="n"/>
    </row>
    <row r="51" ht="24" customHeight="1">
      <c r="A51" s="91">
        <f>G51</f>
        <v/>
      </c>
      <c r="B51" s="91">
        <f>I51</f>
        <v/>
      </c>
      <c r="C51" s="91">
        <f>IF(O51="","",IF(A51=O51,B51,A51))</f>
        <v/>
      </c>
      <c r="D51" s="91">
        <f>IF(SeedType=1,0,IF(SeedType=2,VLOOKUP(O51,SeedInfo,2,FALSE)*2,MAX(VLOOKUP(O51,SeedInfo,2,FALSE)-VLOOKUP(C51,SeedInfo,2,FALSE),0)))</f>
        <v/>
      </c>
      <c r="E51" s="116" t="n">
        <v>46</v>
      </c>
      <c r="F51" s="117">
        <f t="array" ref="F51">_xlfn.XLOOKUP(G51,Teams[[#All],[Team]],Teams[[#All],[Seed]],0,0,1)</f>
        <v/>
      </c>
      <c r="G51" s="118" t="inlineStr">
        <is>
          <t>Cleveland State</t>
        </is>
      </c>
      <c r="H51" s="178" t="inlineStr">
        <is>
          <t>vs</t>
        </is>
      </c>
      <c r="I51" s="119" t="inlineStr">
        <is>
          <t>Colgate</t>
        </is>
      </c>
      <c r="J51" s="120">
        <f t="array" ref="J51">_xlfn.XLOOKUP(I51,Teams[[#All],[Team]],Teams[[#All],[Seed]],0,0,1)</f>
        <v/>
      </c>
      <c r="K51" s="83">
        <f>_xlfn.XLOOKUP(G51,Teams!$C:$C,Teams!$E:$E,,0,1)</f>
        <v/>
      </c>
      <c r="L51" s="83" t="n">
        <v>0.06</v>
      </c>
      <c r="M51" s="83">
        <f>_xlfn.XLOOKUP(I51,Teams!$C:$C,Teams!$E:$E,,0,1)</f>
        <v/>
      </c>
      <c r="N51" s="83" t="n">
        <v>0.9399999999999999</v>
      </c>
      <c r="O51" s="192">
        <f>IF(L51&gt;N51,G51,I51)</f>
        <v/>
      </c>
      <c r="P51" s="207">
        <f>_xlfn.XLOOKUP(O51,Teams!$C:$C,Teams!$E:$E,,0,1)</f>
        <v/>
      </c>
      <c r="Q51" s="226" t="inlineStr"/>
      <c r="R51" s="6">
        <f>IF(
O51=G51,
IF(F51&gt;J51,TRUE,FALSE),
IF(J51&gt;F51,TRUE,FALSE))</f>
        <v/>
      </c>
      <c r="S51" s="98" t="n"/>
    </row>
    <row r="52" ht="24" customHeight="1">
      <c r="A52" s="91">
        <f>G52</f>
        <v/>
      </c>
      <c r="B52" s="91">
        <f>I52</f>
        <v/>
      </c>
      <c r="C52" s="91">
        <f>IF(O52="","",IF(A52=O52,B52,A52))</f>
        <v/>
      </c>
      <c r="D52" s="91">
        <f>IF(SeedType=1,0,IF(SeedType=2,VLOOKUP(O52,SeedInfo,2,FALSE)*2,MAX(VLOOKUP(O52,SeedInfo,2,FALSE)-VLOOKUP(C52,SeedInfo,2,FALSE),0)))</f>
        <v/>
      </c>
      <c r="E52" s="116" t="n">
        <v>47</v>
      </c>
      <c r="F52" s="117">
        <f t="array" ref="F52">_xlfn.XLOOKUP(G52,Teams[[#All],[Team]],Teams[[#All],[Seed]],0,0,1)</f>
        <v/>
      </c>
      <c r="G52" s="118" t="inlineStr">
        <is>
          <t>Colorado</t>
        </is>
      </c>
      <c r="H52" s="178" t="inlineStr">
        <is>
          <t>vs</t>
        </is>
      </c>
      <c r="I52" s="119" t="inlineStr">
        <is>
          <t>Columbia</t>
        </is>
      </c>
      <c r="J52" s="120">
        <f t="array" ref="J52">_xlfn.XLOOKUP(I52,Teams[[#All],[Team]],Teams[[#All],[Seed]],0,0,1)</f>
        <v/>
      </c>
      <c r="K52" s="83">
        <f>_xlfn.XLOOKUP(G52,Teams!$C:$C,Teams!$E:$E,,0,1)</f>
        <v/>
      </c>
      <c r="L52" s="83" t="n">
        <v>0.47</v>
      </c>
      <c r="M52" s="83">
        <f>_xlfn.XLOOKUP(I52,Teams!$C:$C,Teams!$E:$E,,0,1)</f>
        <v/>
      </c>
      <c r="N52" s="83" t="n">
        <v>0.53</v>
      </c>
      <c r="O52" s="192">
        <f>IF(L52&gt;N52,G52,I52)</f>
        <v/>
      </c>
      <c r="P52" s="207">
        <f>_xlfn.XLOOKUP(O52,Teams!$C:$C,Teams!$E:$E,,0,1)</f>
        <v/>
      </c>
      <c r="Q52" s="226" t="inlineStr"/>
      <c r="R52" s="6">
        <f>IF(
O52=G52,
IF(F52&gt;J52,TRUE,FALSE),
IF(J52&gt;F52,TRUE,FALSE))</f>
        <v/>
      </c>
      <c r="S52" s="98" t="n"/>
    </row>
    <row r="53" ht="24" customHeight="1" thickBot="1">
      <c r="A53" s="91">
        <f>G53</f>
        <v/>
      </c>
      <c r="B53" s="91">
        <f>I53</f>
        <v/>
      </c>
      <c r="C53" s="91">
        <f>IF(O53="","",IF(A53=O53,B53,A53))</f>
        <v/>
      </c>
      <c r="D53" s="91">
        <f>IF(SeedType=1,0,IF(SeedType=2,VLOOKUP(O53,SeedInfo,2,FALSE)*2,MAX(VLOOKUP(O53,SeedInfo,2,FALSE)-VLOOKUP(C53,SeedInfo,2,FALSE),0)))</f>
        <v/>
      </c>
      <c r="E53" s="146" t="n">
        <v>48</v>
      </c>
      <c r="F53" s="147">
        <f t="array" ref="F53">_xlfn.XLOOKUP(G53,Teams[[#All],[Team]],Teams[[#All],[Seed]],0,0,1)</f>
        <v/>
      </c>
      <c r="G53" s="148" t="inlineStr">
        <is>
          <t>Coppin State</t>
        </is>
      </c>
      <c r="H53" s="184" t="inlineStr">
        <is>
          <t>vs</t>
        </is>
      </c>
      <c r="I53" s="149" t="inlineStr">
        <is>
          <t>Creighton</t>
        </is>
      </c>
      <c r="J53" s="150">
        <f t="array" ref="J53">_xlfn.XLOOKUP(I53,Teams[[#All],[Team]],Teams[[#All],[Seed]],0,0,1)</f>
        <v/>
      </c>
      <c r="K53" s="151">
        <f>_xlfn.XLOOKUP(G53,Teams!$C:$C,Teams!$E:$E,,0,1)</f>
        <v/>
      </c>
      <c r="L53" s="151" t="n">
        <v>0.05</v>
      </c>
      <c r="M53" s="151">
        <f>_xlfn.XLOOKUP(I53,Teams!$C:$C,Teams!$E:$E,,0,1)</f>
        <v/>
      </c>
      <c r="N53" s="151" t="n">
        <v>0.95</v>
      </c>
      <c r="O53" s="197">
        <f>IF(L53&gt;N53,G53,I53)</f>
        <v/>
      </c>
      <c r="P53" s="212">
        <f>_xlfn.XLOOKUP(O53,Teams!$C:$C,Teams!$E:$E,,0,1)</f>
        <v/>
      </c>
      <c r="Q53" s="227" t="inlineStr"/>
      <c r="R53" s="6">
        <f>IF(
O53=G53,
IF(F53&gt;J53,TRUE,FALSE),
IF(J53&gt;F53,TRUE,FALSE))</f>
        <v/>
      </c>
      <c r="S53" s="98" t="n"/>
    </row>
    <row r="54" ht="24" customHeight="1" thickBot="1">
      <c r="E54" s="67" t="inlineStr">
        <is>
          <t>Game #</t>
        </is>
      </c>
      <c r="F54" s="238">
        <f>Bracket!I2</f>
        <v/>
      </c>
      <c r="G54" s="305" t="n"/>
      <c r="H54" s="305" t="n"/>
      <c r="I54" s="305" t="n"/>
      <c r="J54" s="305" t="n"/>
      <c r="K54" s="68" t="n"/>
      <c r="L54" s="68" t="n"/>
      <c r="M54" s="68" t="n"/>
      <c r="N54" s="68" t="n"/>
      <c r="O54" s="68" t="inlineStr">
        <is>
          <t>Winner</t>
        </is>
      </c>
      <c r="P54" s="68" t="n"/>
      <c r="Q54" s="229" t="n"/>
      <c r="S54" s="98" t="n"/>
    </row>
    <row r="55" ht="24" customHeight="1">
      <c r="A55" s="91">
        <f>G55</f>
        <v/>
      </c>
      <c r="B55" s="91">
        <f>I55</f>
        <v/>
      </c>
      <c r="C55" s="91">
        <f>IF(O55="","",IF(A55=O55,B55,A55))</f>
        <v/>
      </c>
      <c r="D55" s="91">
        <f>IF(SeedType=1,0,IF(SeedType=2,VLOOKUP(O55,SeedInfo,2,FALSE)*3,MAX(VLOOKUP(O55,SeedInfo,2,FALSE)-VLOOKUP(C55,SeedInfo,2,FALSE),0)))</f>
        <v/>
      </c>
      <c r="E55" s="92" t="n">
        <v>49</v>
      </c>
      <c r="F55" s="93">
        <f t="array" ref="F55">_xlfn.XLOOKUP(G55,Teams[[#All],[Team]],Teams[[#All],[Seed]],0,0,1)</f>
        <v/>
      </c>
      <c r="G55" s="94" t="inlineStr">
        <is>
          <t>Bucknell</t>
        </is>
      </c>
      <c r="H55" s="175" t="inlineStr">
        <is>
          <t>vs</t>
        </is>
      </c>
      <c r="I55" s="95" t="inlineStr">
        <is>
          <t>Cal State Bakersfield</t>
        </is>
      </c>
      <c r="J55" s="96">
        <f t="array" ref="J55">_xlfn.XLOOKUP(I55,Teams[[#All],[Team]],Teams[[#All],[Seed]],0,0,1)</f>
        <v/>
      </c>
      <c r="K55" s="97">
        <f>_xlfn.XLOOKUP(G55,Teams!$C:$C,Teams!$E:$E,,0,1)</f>
        <v/>
      </c>
      <c r="L55" s="97" t="n">
        <v>0.73</v>
      </c>
      <c r="M55" s="97">
        <f>_xlfn.XLOOKUP(I55,Teams!$C:$C,Teams!$E:$E,,0,1)</f>
        <v/>
      </c>
      <c r="N55" s="97" t="n">
        <v>0.27</v>
      </c>
      <c r="O55" s="188">
        <f>IF(L55&gt;N55,G55,I55)</f>
        <v/>
      </c>
      <c r="P55" s="204">
        <f>_xlfn.XLOOKUP(O55,Teams!$C:$C,Teams!$E:$E,,0,1)</f>
        <v/>
      </c>
      <c r="Q55" s="222" t="inlineStr"/>
      <c r="R55" s="6">
        <f>IF(
O55=G55,
IF(F55&gt;J55,TRUE,FALSE),
IF(J55&gt;F55,TRUE,FALSE))</f>
        <v/>
      </c>
      <c r="S55" s="98" t="n"/>
    </row>
    <row r="56" ht="24" customHeight="1" thickBot="1">
      <c r="A56" s="91">
        <f>G56</f>
        <v/>
      </c>
      <c r="B56" s="91">
        <f>I56</f>
        <v/>
      </c>
      <c r="C56" s="91">
        <f>IF(O56="","",IF(A56=O56,B56,A56))</f>
        <v/>
      </c>
      <c r="D56" s="91">
        <f>IF(SeedType=1,0,IF(SeedType=2,VLOOKUP(O56,SeedInfo,2,FALSE)*3,MAX(VLOOKUP(O56,SeedInfo,2,FALSE)-VLOOKUP(C56,SeedInfo,2,FALSE),0)))</f>
        <v/>
      </c>
      <c r="E56" s="134" t="n">
        <v>50</v>
      </c>
      <c r="F56" s="135">
        <f t="array" ref="F56">_xlfn.XLOOKUP(G56,Teams[[#All],[Team]],Teams[[#All],[Seed]],0,0,1)</f>
        <v/>
      </c>
      <c r="G56" s="136" t="inlineStr">
        <is>
          <t>California Baptist</t>
        </is>
      </c>
      <c r="H56" s="182" t="inlineStr">
        <is>
          <t>vs</t>
        </is>
      </c>
      <c r="I56" s="137" t="inlineStr">
        <is>
          <t>Central Connecticut State</t>
        </is>
      </c>
      <c r="J56" s="138">
        <f t="array" ref="J56">_xlfn.XLOOKUP(I56,Teams[[#All],[Team]],Teams[[#All],[Seed]],0,0,1)</f>
        <v/>
      </c>
      <c r="K56" s="139">
        <f>_xlfn.XLOOKUP(G56,Teams!$C:$C,Teams!$E:$E,,0,1)</f>
        <v/>
      </c>
      <c r="L56" s="139" t="n">
        <v>0.25</v>
      </c>
      <c r="M56" s="139">
        <f>_xlfn.XLOOKUP(I56,Teams!$C:$C,Teams!$E:$E,,0,1)</f>
        <v/>
      </c>
      <c r="N56" s="139" t="n">
        <v>0.75</v>
      </c>
      <c r="O56" s="195">
        <f>IF(L56&gt;N56,G56,I56)</f>
        <v/>
      </c>
      <c r="P56" s="210">
        <f>_xlfn.XLOOKUP(O56,Teams!$C:$C,Teams!$E:$E,,0,1)</f>
        <v/>
      </c>
      <c r="Q56" s="224" t="inlineStr"/>
      <c r="R56" s="6">
        <f>IF(
O56=G56,
IF(F56&gt;J56,TRUE,FALSE),
IF(J56&gt;F56,TRUE,FALSE))</f>
        <v/>
      </c>
      <c r="S56" s="98" t="n"/>
    </row>
    <row r="57" ht="24" customHeight="1">
      <c r="A57" s="91">
        <f>G57</f>
        <v/>
      </c>
      <c r="B57" s="91">
        <f>I57</f>
        <v/>
      </c>
      <c r="C57" s="91">
        <f>IF(O57="","",IF(A57=O57,B57,A57))</f>
        <v/>
      </c>
      <c r="D57" s="91">
        <f>IF(SeedType=1,0,IF(SeedType=2,VLOOKUP(O57,SeedInfo,2,FALSE)*3,MAX(VLOOKUP(O57,SeedInfo,2,FALSE)-VLOOKUP(C57,SeedInfo,2,FALSE),0)))</f>
        <v/>
      </c>
      <c r="E57" s="140" t="n">
        <v>51</v>
      </c>
      <c r="F57" s="234">
        <f t="array" ref="F57">_xlfn.XLOOKUP(G57,Teams[[#All],[Team]],Teams[[#All],[Seed]],0,0,1)</f>
        <v/>
      </c>
      <c r="G57" s="142" t="inlineStr">
        <is>
          <t>Auburn</t>
        </is>
      </c>
      <c r="H57" s="183" t="inlineStr">
        <is>
          <t>vs</t>
        </is>
      </c>
      <c r="I57" s="143" t="inlineStr">
        <is>
          <t>Bellarmine</t>
        </is>
      </c>
      <c r="J57" s="144">
        <f t="array" ref="J57">_xlfn.XLOOKUP(I57,Teams[[#All],[Team]],Teams[[#All],[Seed]],0,0,1)</f>
        <v/>
      </c>
      <c r="K57" s="145">
        <f>_xlfn.XLOOKUP(G57,Teams!$C:$C,Teams!$E:$E,,0,1)</f>
        <v/>
      </c>
      <c r="L57" s="145" t="n">
        <v>0.61</v>
      </c>
      <c r="M57" s="145">
        <f>_xlfn.XLOOKUP(I57,Teams!$C:$C,Teams!$E:$E,,0,1)</f>
        <v/>
      </c>
      <c r="N57" s="145" t="n">
        <v>0.39</v>
      </c>
      <c r="O57" s="196">
        <f>IF(L57&gt;N57,G57,I57)</f>
        <v/>
      </c>
      <c r="P57" s="211">
        <f>_xlfn.XLOOKUP(O57,Teams!$C:$C,Teams!$E:$E,,0,1)</f>
        <v/>
      </c>
      <c r="Q57" s="225" t="inlineStr"/>
      <c r="R57" s="6">
        <f>IF(
O57=G57,
IF(F57&gt;J57,TRUE,FALSE),
IF(J57&gt;F57,TRUE,FALSE))</f>
        <v/>
      </c>
      <c r="S57" s="98" t="n"/>
    </row>
    <row r="58" ht="24" customHeight="1" thickBot="1">
      <c r="A58" s="91">
        <f>G58</f>
        <v/>
      </c>
      <c r="B58" s="91">
        <f>I58</f>
        <v/>
      </c>
      <c r="C58" s="91">
        <f>IF(O58="","",IF(A58=O58,B58,A58))</f>
        <v/>
      </c>
      <c r="D58" s="91">
        <f>IF(SeedType=1,0,IF(SeedType=2,VLOOKUP(O58,SeedInfo,2,FALSE)*3,MAX(VLOOKUP(O58,SeedInfo,2,FALSE)-VLOOKUP(C58,SeedInfo,2,FALSE),0)))</f>
        <v/>
      </c>
      <c r="E58" s="146" t="n">
        <v>52</v>
      </c>
      <c r="F58" s="235">
        <f t="array" ref="F58">_xlfn.XLOOKUP(G58,Teams[[#All],[Team]],Teams[[#All],[Seed]],0,0,1)</f>
        <v/>
      </c>
      <c r="G58" s="148" t="inlineStr">
        <is>
          <t>Boise State</t>
        </is>
      </c>
      <c r="H58" s="184" t="inlineStr">
        <is>
          <t>vs</t>
        </is>
      </c>
      <c r="I58" s="149" t="inlineStr">
        <is>
          <t>Bradley</t>
        </is>
      </c>
      <c r="J58" s="150">
        <f t="array" ref="J58">_xlfn.XLOOKUP(I58,Teams[[#All],[Team]],Teams[[#All],[Seed]],0,0,1)</f>
        <v/>
      </c>
      <c r="K58" s="151">
        <f>_xlfn.XLOOKUP(G58,Teams!$C:$C,Teams!$E:$E,,0,1)</f>
        <v/>
      </c>
      <c r="L58" s="151" t="n">
        <v>0.18</v>
      </c>
      <c r="M58" s="151">
        <f>_xlfn.XLOOKUP(I58,Teams!$C:$C,Teams!$E:$E,,0,1)</f>
        <v/>
      </c>
      <c r="N58" s="151" t="n">
        <v>0.82</v>
      </c>
      <c r="O58" s="197">
        <f>IF(L58&gt;N58,G58,I58)</f>
        <v/>
      </c>
      <c r="P58" s="212">
        <f>_xlfn.XLOOKUP(O58,Teams!$C:$C,Teams!$E:$E,,0,1)</f>
        <v/>
      </c>
      <c r="Q58" s="227" t="inlineStr"/>
      <c r="R58" s="6">
        <f>IF(
O58=G58,
IF(F58&gt;J58,TRUE,FALSE),
IF(J58&gt;F58,TRUE,FALSE))</f>
        <v/>
      </c>
      <c r="S58" s="98" t="n"/>
    </row>
    <row r="59" ht="24" customHeight="1">
      <c r="A59" s="152">
        <f>G59</f>
        <v/>
      </c>
      <c r="B59" s="152">
        <f>I59</f>
        <v/>
      </c>
      <c r="C59" s="152">
        <f>IF(O59="","",IF(A59=O59,B59,A59))</f>
        <v/>
      </c>
      <c r="D59" s="152">
        <f>IF(SeedType=1,0,IF(SeedType=2,VLOOKUP(O59,SeedInfo,2,FALSE)*3,MAX(VLOOKUP(O59,SeedInfo,2,FALSE)-VLOOKUP(C59,SeedInfo,2,FALSE),0)))</f>
        <v/>
      </c>
      <c r="E59" s="129" t="n">
        <v>53</v>
      </c>
      <c r="F59" s="130">
        <f t="array" ref="F59">_xlfn.XLOOKUP(G59,Teams[[#All],[Team]],Teams[[#All],[Seed]],0,0,1)</f>
        <v/>
      </c>
      <c r="G59" s="131" t="inlineStr">
        <is>
          <t>Abilene Christian</t>
        </is>
      </c>
      <c r="H59" s="181" t="inlineStr">
        <is>
          <t>vs</t>
        </is>
      </c>
      <c r="I59" s="132" t="inlineStr">
        <is>
          <t>Alabama A&amp;M</t>
        </is>
      </c>
      <c r="J59" s="133">
        <f t="array" ref="J59">_xlfn.XLOOKUP(I59,Teams[[#All],[Team]],Teams[[#All],[Seed]],0,0,1)</f>
        <v/>
      </c>
      <c r="K59" s="84">
        <f>_xlfn.XLOOKUP(G59,Teams!$C:$C,Teams!$E:$E,,0,1)</f>
        <v/>
      </c>
      <c r="L59" s="84" t="n">
        <v>0.42</v>
      </c>
      <c r="M59" s="84">
        <f>_xlfn.XLOOKUP(I59,Teams!$C:$C,Teams!$E:$E,,0,1)</f>
        <v/>
      </c>
      <c r="N59" s="84" t="n">
        <v>0.58</v>
      </c>
      <c r="O59" s="194">
        <f>IF(L59&gt;N59,G59,I59)</f>
        <v/>
      </c>
      <c r="P59" s="209">
        <f>_xlfn.XLOOKUP(O59,Teams!$C:$C,Teams!$E:$E,,0,1)</f>
        <v/>
      </c>
      <c r="Q59" s="228" t="inlineStr"/>
      <c r="R59" s="6">
        <f>IF(
O59=G59,
IF(F59&gt;J59,TRUE,FALSE),
IF(J59&gt;F59,TRUE,FALSE))</f>
        <v/>
      </c>
      <c r="S59" s="98" t="n"/>
    </row>
    <row r="60" ht="24" customHeight="1" thickBot="1">
      <c r="A60" s="152">
        <f>G60</f>
        <v/>
      </c>
      <c r="B60" s="152">
        <f>I60</f>
        <v/>
      </c>
      <c r="C60" s="152">
        <f>IF(O60="","",IF(A60=O60,B60,A60))</f>
        <v/>
      </c>
      <c r="D60" s="152">
        <f>IF(SeedType=1,0,IF(SeedType=2,VLOOKUP(O60,SeedInfo,2,FALSE)*3,MAX(VLOOKUP(O60,SeedInfo,2,FALSE)-VLOOKUP(C60,SeedInfo,2,FALSE),0)))</f>
        <v/>
      </c>
      <c r="E60" s="134" t="n">
        <v>54</v>
      </c>
      <c r="F60" s="135">
        <f t="array" ref="F60">_xlfn.XLOOKUP(G60,Teams[[#All],[Team]],Teams[[#All],[Seed]],0,0,1)</f>
        <v/>
      </c>
      <c r="G60" s="136" t="inlineStr">
        <is>
          <t>American</t>
        </is>
      </c>
      <c r="H60" s="182" t="inlineStr">
        <is>
          <t>vs</t>
        </is>
      </c>
      <c r="I60" s="137" t="inlineStr">
        <is>
          <t>Arkansas</t>
        </is>
      </c>
      <c r="J60" s="138">
        <f t="array" ref="J60">_xlfn.XLOOKUP(I60,Teams[[#All],[Team]],Teams[[#All],[Seed]],0,0,1)</f>
        <v/>
      </c>
      <c r="K60" s="139">
        <f>_xlfn.XLOOKUP(G60,Teams!$C:$C,Teams!$E:$E,,0,1)</f>
        <v/>
      </c>
      <c r="L60" s="139" t="n">
        <v>0.09</v>
      </c>
      <c r="M60" s="139">
        <f>_xlfn.XLOOKUP(I60,Teams!$C:$C,Teams!$E:$E,,0,1)</f>
        <v/>
      </c>
      <c r="N60" s="139" t="n">
        <v>0.91</v>
      </c>
      <c r="O60" s="195">
        <f>IF(L60&gt;N60,G60,I60)</f>
        <v/>
      </c>
      <c r="P60" s="210">
        <f>_xlfn.XLOOKUP(O60,Teams!$C:$C,Teams!$E:$E,,0,1)</f>
        <v/>
      </c>
      <c r="Q60" s="224" t="inlineStr"/>
      <c r="R60" s="6">
        <f>IF(
O60=G60,
IF(F60&gt;J60,TRUE,FALSE),
IF(J60&gt;F60,TRUE,FALSE))</f>
        <v/>
      </c>
      <c r="S60" s="98" t="n"/>
    </row>
    <row r="61" ht="24" customHeight="1">
      <c r="A61" s="91">
        <f>G61</f>
        <v/>
      </c>
      <c r="B61" s="91">
        <f>I61</f>
        <v/>
      </c>
      <c r="C61" s="91">
        <f>IF(O61="","",IF(A61=O61,B61,A61))</f>
        <v/>
      </c>
      <c r="D61" s="91">
        <f>IF(SeedType=1,0,IF(SeedType=2,VLOOKUP(O61,SeedInfo,2,FALSE)*3,MAX(VLOOKUP(O61,SeedInfo,2,FALSE)-VLOOKUP(C61,SeedInfo,2,FALSE),0)))</f>
        <v/>
      </c>
      <c r="E61" s="140" t="n">
        <v>55</v>
      </c>
      <c r="F61" s="141">
        <f t="array" ref="F61">_xlfn.XLOOKUP(G61,Teams[[#All],[Team]],Teams[[#All],[Seed]],0,0,1)</f>
        <v/>
      </c>
      <c r="G61" s="142" t="inlineStr">
        <is>
          <t>Chattanooga</t>
        </is>
      </c>
      <c r="H61" s="183" t="inlineStr">
        <is>
          <t>vs</t>
        </is>
      </c>
      <c r="I61" s="143" t="inlineStr">
        <is>
          <t>Cleveland State</t>
        </is>
      </c>
      <c r="J61" s="144">
        <f t="array" ref="J61">_xlfn.XLOOKUP(I61,Teams[[#All],[Team]],Teams[[#All],[Seed]],0,0,1)</f>
        <v/>
      </c>
      <c r="K61" s="145">
        <f>_xlfn.XLOOKUP(G61,Teams!$C:$C,Teams!$E:$E,,0,1)</f>
        <v/>
      </c>
      <c r="L61" s="145" t="n">
        <v>0.51</v>
      </c>
      <c r="M61" s="145">
        <f>_xlfn.XLOOKUP(I61,Teams!$C:$C,Teams!$E:$E,,0,1)</f>
        <v/>
      </c>
      <c r="N61" s="145" t="n">
        <v>0.49</v>
      </c>
      <c r="O61" s="196">
        <f>IF(L61&gt;N61,G61,I61)</f>
        <v/>
      </c>
      <c r="P61" s="211">
        <f>_xlfn.XLOOKUP(O61,Teams!$C:$C,Teams!$E:$E,,0,1)</f>
        <v/>
      </c>
      <c r="Q61" s="225" t="inlineStr"/>
      <c r="R61" s="6">
        <f>IF(
O61=G61,
IF(F61&gt;J61,TRUE,FALSE),
IF(J61&gt;F61,TRUE,FALSE))</f>
        <v/>
      </c>
      <c r="S61" s="98" t="n"/>
    </row>
    <row r="62" ht="24" customHeight="1" thickBot="1">
      <c r="A62" s="91">
        <f>G62</f>
        <v/>
      </c>
      <c r="B62" s="91">
        <f>I62</f>
        <v/>
      </c>
      <c r="C62" s="91">
        <f>IF(O62="","",IF(A62=O62,B62,A62))</f>
        <v/>
      </c>
      <c r="D62" s="91">
        <f>IF(SeedType=1,0,IF(SeedType=2,VLOOKUP(O62,SeedInfo,2,FALSE)*3,MAX(VLOOKUP(O62,SeedInfo,2,FALSE)-VLOOKUP(C62,SeedInfo,2,FALSE),0)))</f>
        <v/>
      </c>
      <c r="E62" s="146" t="n">
        <v>56</v>
      </c>
      <c r="F62" s="147">
        <f t="array" ref="F62">_xlfn.XLOOKUP(G62,Teams[[#All],[Team]],Teams[[#All],[Seed]],0,0,1)</f>
        <v/>
      </c>
      <c r="G62" s="148" t="inlineStr">
        <is>
          <t>Colorado</t>
        </is>
      </c>
      <c r="H62" s="184" t="inlineStr">
        <is>
          <t>vs</t>
        </is>
      </c>
      <c r="I62" s="149" t="inlineStr">
        <is>
          <t>Coppin State</t>
        </is>
      </c>
      <c r="J62" s="150">
        <f t="array" ref="J62">_xlfn.XLOOKUP(I62,Teams[[#All],[Team]],Teams[[#All],[Seed]],0,0,1)</f>
        <v/>
      </c>
      <c r="K62" s="151">
        <f>_xlfn.XLOOKUP(G62,Teams!$C:$C,Teams!$E:$E,,0,1)</f>
        <v/>
      </c>
      <c r="L62" s="151" t="n">
        <v>0.97</v>
      </c>
      <c r="M62" s="151">
        <f>_xlfn.XLOOKUP(I62,Teams!$C:$C,Teams!$E:$E,,0,1)</f>
        <v/>
      </c>
      <c r="N62" s="151" t="n">
        <v>0.03</v>
      </c>
      <c r="O62" s="197">
        <f>IF(L62&gt;N62,G62,I62)</f>
        <v/>
      </c>
      <c r="P62" s="212">
        <f>_xlfn.XLOOKUP(O62,Teams!$C:$C,Teams!$E:$E,,0,1)</f>
        <v/>
      </c>
      <c r="Q62" s="227" t="inlineStr"/>
      <c r="R62" s="6">
        <f>IF(
O62=G62,
IF(F62&gt;J62,TRUE,FALSE),
IF(J62&gt;F62,TRUE,FALSE))</f>
        <v/>
      </c>
      <c r="S62" s="98" t="n"/>
    </row>
    <row r="63" ht="24" customHeight="1" thickBot="1">
      <c r="E63" s="67" t="inlineStr">
        <is>
          <t>Game #</t>
        </is>
      </c>
      <c r="F63" s="238">
        <f>Bracket!L2</f>
        <v/>
      </c>
      <c r="G63" s="305" t="n"/>
      <c r="H63" s="305" t="n"/>
      <c r="I63" s="305" t="n"/>
      <c r="J63" s="305" t="n"/>
      <c r="K63" s="68" t="n"/>
      <c r="L63" s="68" t="n"/>
      <c r="M63" s="68" t="n"/>
      <c r="N63" s="68" t="n"/>
      <c r="O63" s="68" t="inlineStr">
        <is>
          <t>Winner</t>
        </is>
      </c>
      <c r="P63" s="68" t="n"/>
      <c r="Q63" s="229" t="n"/>
      <c r="S63" s="98" t="n"/>
    </row>
    <row r="64" ht="24" customHeight="1" thickBot="1">
      <c r="A64" s="91">
        <f>G64</f>
        <v/>
      </c>
      <c r="B64" s="91">
        <f>I64</f>
        <v/>
      </c>
      <c r="C64" s="91">
        <f>IF(O64="","",IF(A64=O64,B64,A64))</f>
        <v/>
      </c>
      <c r="D64" s="91">
        <f>IF(SeedType=1,0,IF(SeedType=2,VLOOKUP(O64,SeedInfo,2,FALSE)*4,MAX(VLOOKUP(O64,SeedInfo,2,FALSE)-VLOOKUP(C64,SeedInfo,2,FALSE),0)))</f>
        <v/>
      </c>
      <c r="E64" s="153" t="n">
        <v>57</v>
      </c>
      <c r="F64" s="154">
        <f t="array" ref="F64">_xlfn.XLOOKUP(G64,Teams[[#All],[Team]],Teams[[#All],[Seed]],0,0,1)</f>
        <v/>
      </c>
      <c r="G64" s="155" t="inlineStr">
        <is>
          <t>Bucknell</t>
        </is>
      </c>
      <c r="H64" s="185" t="inlineStr">
        <is>
          <t>vs</t>
        </is>
      </c>
      <c r="I64" s="156" t="inlineStr">
        <is>
          <t>California Baptist</t>
        </is>
      </c>
      <c r="J64" s="157">
        <f t="array" ref="J64">_xlfn.XLOOKUP(I64,Teams[[#All],[Team]],Teams[[#All],[Seed]],0,0,1)</f>
        <v/>
      </c>
      <c r="K64" s="158">
        <f>_xlfn.XLOOKUP(G64,Teams!$C:$C,Teams!$E:$E,,0,1)</f>
        <v/>
      </c>
      <c r="L64" s="158" t="n">
        <v>1</v>
      </c>
      <c r="M64" s="158">
        <f>_xlfn.XLOOKUP(I64,Teams!$C:$C,Teams!$E:$E,,0,1)</f>
        <v/>
      </c>
      <c r="N64" s="158" t="n">
        <v>0</v>
      </c>
      <c r="O64" s="198">
        <f>IF(L64&gt;N64,G64,I64)</f>
        <v/>
      </c>
      <c r="P64" s="204">
        <f>_xlfn.XLOOKUP(O64,Teams!$C:$C,Teams!$E:$E,,0,1)</f>
        <v/>
      </c>
      <c r="Q64" s="230" t="inlineStr"/>
      <c r="R64" s="6">
        <f>IF(
O64=G64,
IF(F64&gt;J64,TRUE,FALSE),
IF(J64&gt;F64,TRUE,FALSE))</f>
        <v/>
      </c>
      <c r="S64" s="98" t="n"/>
    </row>
    <row r="65" ht="24" customHeight="1" thickBot="1">
      <c r="A65" s="91">
        <f>G65</f>
        <v/>
      </c>
      <c r="B65" s="91">
        <f>I65</f>
        <v/>
      </c>
      <c r="C65" s="91">
        <f>IF(O65="","",IF(A65=O65,B65,A65))</f>
        <v/>
      </c>
      <c r="D65" s="91">
        <f>IF(SeedType=1,0,IF(SeedType=2,VLOOKUP(O65,SeedInfo,2,FALSE)*4,MAX(VLOOKUP(O65,SeedInfo,2,FALSE)-VLOOKUP(C65,SeedInfo,2,FALSE),0)))</f>
        <v/>
      </c>
      <c r="E65" s="159" t="n">
        <v>58</v>
      </c>
      <c r="F65" s="160">
        <f t="array" ref="F65">_xlfn.XLOOKUP(G65,Teams[[#All],[Team]],Teams[[#All],[Seed]],0,0,1)</f>
        <v/>
      </c>
      <c r="G65" s="161" t="inlineStr">
        <is>
          <t>Auburn</t>
        </is>
      </c>
      <c r="H65" s="186" t="inlineStr">
        <is>
          <t>vs</t>
        </is>
      </c>
      <c r="I65" s="162" t="inlineStr">
        <is>
          <t>Boise State</t>
        </is>
      </c>
      <c r="J65" s="163">
        <f t="array" ref="J65">_xlfn.XLOOKUP(I65,Teams[[#All],[Team]],Teams[[#All],[Seed]],0,0,1)</f>
        <v/>
      </c>
      <c r="K65" s="164">
        <f>_xlfn.XLOOKUP(G65,Teams!$C:$C,Teams!$E:$E,,0,1)</f>
        <v/>
      </c>
      <c r="L65" s="164" t="n">
        <v>0.77</v>
      </c>
      <c r="M65" s="164">
        <f>_xlfn.XLOOKUP(I65,Teams!$C:$C,Teams!$E:$E,,0,1)</f>
        <v/>
      </c>
      <c r="N65" s="164" t="n">
        <v>0.23</v>
      </c>
      <c r="O65" s="199">
        <f>IF(L65&gt;N65,G65,I65)</f>
        <v/>
      </c>
      <c r="P65" s="207">
        <f>_xlfn.XLOOKUP(O65,Teams!$C:$C,Teams!$E:$E,,0,1)</f>
        <v/>
      </c>
      <c r="Q65" s="231" t="inlineStr"/>
      <c r="R65" s="6">
        <f>IF(
O65=G65,
IF(F65&gt;J65,TRUE,FALSE),
IF(J65&gt;F65,TRUE,FALSE))</f>
        <v/>
      </c>
      <c r="S65" s="98" t="n"/>
    </row>
    <row r="66" ht="24" customHeight="1" thickBot="1">
      <c r="A66" s="91">
        <f>G66</f>
        <v/>
      </c>
      <c r="B66" s="91">
        <f>I66</f>
        <v/>
      </c>
      <c r="C66" s="91">
        <f>IF(O66="","",IF(A66=O66,B66,A66))</f>
        <v/>
      </c>
      <c r="D66" s="91">
        <f>IF(SeedType=1,0,IF(SeedType=2,VLOOKUP(O66,SeedInfo,2,FALSE)*4,MAX(VLOOKUP(O66,SeedInfo,2,FALSE)-VLOOKUP(C66,SeedInfo,2,FALSE),0)))</f>
        <v/>
      </c>
      <c r="E66" s="153" t="n">
        <v>59</v>
      </c>
      <c r="F66" s="154">
        <f t="array" ref="F66">_xlfn.XLOOKUP(G66,Teams[[#All],[Team]],Teams[[#All],[Seed]],0,0,1)</f>
        <v/>
      </c>
      <c r="G66" s="155" t="inlineStr">
        <is>
          <t>Abilene Christian</t>
        </is>
      </c>
      <c r="H66" s="185" t="inlineStr">
        <is>
          <t>vs</t>
        </is>
      </c>
      <c r="I66" s="156" t="inlineStr">
        <is>
          <t>American</t>
        </is>
      </c>
      <c r="J66" s="157">
        <f t="array" ref="J66">_xlfn.XLOOKUP(I66,Teams[[#All],[Team]],Teams[[#All],[Seed]],0,0,1)</f>
        <v/>
      </c>
      <c r="K66" s="158">
        <f>_xlfn.XLOOKUP(G66,Teams!$C:$C,Teams!$E:$E,,0,1)</f>
        <v/>
      </c>
      <c r="L66" s="158" t="n">
        <v>0.17</v>
      </c>
      <c r="M66" s="158">
        <f>_xlfn.XLOOKUP(I66,Teams!$C:$C,Teams!$E:$E,,0,1)</f>
        <v/>
      </c>
      <c r="N66" s="158" t="n">
        <v>0.83</v>
      </c>
      <c r="O66" s="198">
        <f>IF(L66&gt;N66,G66,I66)</f>
        <v/>
      </c>
      <c r="P66" s="204">
        <f>_xlfn.XLOOKUP(O66,Teams!$C:$C,Teams!$E:$E,,0,1)</f>
        <v/>
      </c>
      <c r="Q66" s="232" t="inlineStr"/>
      <c r="R66" s="6">
        <f>IF(
O66=G66,
IF(F66&gt;J66,TRUE,FALSE),
IF(J66&gt;F66,TRUE,FALSE))</f>
        <v/>
      </c>
      <c r="S66" s="98" t="n"/>
    </row>
    <row r="67" ht="24" customHeight="1" thickBot="1">
      <c r="A67" s="91">
        <f>G67</f>
        <v/>
      </c>
      <c r="B67" s="91">
        <f>I67</f>
        <v/>
      </c>
      <c r="C67" s="91">
        <f>IF(O67="","",IF(A67=O67,B67,A67))</f>
        <v/>
      </c>
      <c r="D67" s="91">
        <f>IF(SeedType=1,0,IF(SeedType=2,VLOOKUP(O67,SeedInfo,2,FALSE)*4,MAX(VLOOKUP(O67,SeedInfo,2,FALSE)-VLOOKUP(C67,SeedInfo,2,FALSE),0)))</f>
        <v/>
      </c>
      <c r="E67" s="159" t="n">
        <v>60</v>
      </c>
      <c r="F67" s="160">
        <f t="array" ref="F67">_xlfn.XLOOKUP(G67,Teams[[#All],[Team]],Teams[[#All],[Seed]],0,0,1)</f>
        <v/>
      </c>
      <c r="G67" s="161" t="inlineStr">
        <is>
          <t>Chattanooga</t>
        </is>
      </c>
      <c r="H67" s="186" t="inlineStr">
        <is>
          <t>vs</t>
        </is>
      </c>
      <c r="I67" s="162" t="inlineStr">
        <is>
          <t>Colorado</t>
        </is>
      </c>
      <c r="J67" s="163">
        <f t="array" ref="J67">_xlfn.XLOOKUP(I67,Teams[[#All],[Team]],Teams[[#All],[Seed]],0,0,1)</f>
        <v/>
      </c>
      <c r="K67" s="164">
        <f>_xlfn.XLOOKUP(G67,Teams!$C:$C,Teams!$E:$E,,0,1)</f>
        <v/>
      </c>
      <c r="L67" s="164" t="n">
        <v>0.3</v>
      </c>
      <c r="M67" s="164">
        <f>_xlfn.XLOOKUP(I67,Teams!$C:$C,Teams!$E:$E,,0,1)</f>
        <v/>
      </c>
      <c r="N67" s="164" t="n">
        <v>0.7</v>
      </c>
      <c r="O67" s="199">
        <f>IF(L67&gt;N67,G67,I67)</f>
        <v/>
      </c>
      <c r="P67" s="207">
        <f>_xlfn.XLOOKUP(O67,Teams!$C:$C,Teams!$E:$E,,0,1)</f>
        <v/>
      </c>
      <c r="Q67" s="231" t="inlineStr"/>
      <c r="R67" s="6">
        <f>IF(
O67=G67,
IF(F67&gt;J67,TRUE,FALSE),
IF(J67&gt;F67,TRUE,FALSE))</f>
        <v/>
      </c>
      <c r="S67" s="98" t="n"/>
    </row>
    <row r="68" ht="24" customHeight="1" thickBot="1">
      <c r="E68" s="67" t="inlineStr">
        <is>
          <t>Game #</t>
        </is>
      </c>
      <c r="F68" s="238">
        <f>Bracket!O2</f>
        <v/>
      </c>
      <c r="G68" s="305" t="n"/>
      <c r="H68" s="305" t="n"/>
      <c r="I68" s="305" t="n"/>
      <c r="J68" s="305" t="n"/>
      <c r="K68" s="68" t="n"/>
      <c r="L68" s="68" t="n"/>
      <c r="M68" s="68" t="n"/>
      <c r="N68" s="68" t="n"/>
      <c r="O68" s="68" t="inlineStr">
        <is>
          <t>Winner</t>
        </is>
      </c>
      <c r="P68" s="68" t="n"/>
      <c r="Q68" s="229" t="n"/>
      <c r="S68" s="98" t="n"/>
    </row>
    <row r="69" ht="24" customHeight="1" thickBot="1">
      <c r="A69" s="91">
        <f>G69</f>
        <v/>
      </c>
      <c r="B69" s="91">
        <f>I69</f>
        <v/>
      </c>
      <c r="C69" s="91">
        <f>IF(O69="","",IF(A69=O69,B69,A69))</f>
        <v/>
      </c>
      <c r="D69" s="91">
        <f>IF(SeedType=1,0,IF(SeedType=2,VLOOKUP(O69,SeedInfo,2,FALSE)*5,MAX(VLOOKUP(O69,SeedInfo,2,FALSE)-VLOOKUP(C69,SeedInfo,2,FALSE),0)))</f>
        <v/>
      </c>
      <c r="E69" s="165" t="n">
        <v>61</v>
      </c>
      <c r="F69" s="166">
        <f t="array" ref="F69">_xlfn.XLOOKUP(G69,Teams[[#All],[Team]],Teams[[#All],[Seed]],0,0,1)</f>
        <v/>
      </c>
      <c r="G69" s="167" t="inlineStr">
        <is>
          <t>Auburn</t>
        </is>
      </c>
      <c r="H69" s="187" t="inlineStr">
        <is>
          <t>vs</t>
        </is>
      </c>
      <c r="I69" s="168" t="inlineStr">
        <is>
          <t>Bucknell</t>
        </is>
      </c>
      <c r="J69" s="169">
        <f t="array" ref="J69">_xlfn.XLOOKUP(I69,Teams[[#All],[Team]],Teams[[#All],[Seed]],0,0,1)</f>
        <v/>
      </c>
      <c r="K69" s="170">
        <f>_xlfn.XLOOKUP(G69,Teams!$C:$C,Teams!$E:$E,,0,1)</f>
        <v/>
      </c>
      <c r="L69" s="170" t="n">
        <v>0.62</v>
      </c>
      <c r="M69" s="170">
        <f>_xlfn.XLOOKUP(I69,Teams!$C:$C,Teams!$E:$E,,0,1)</f>
        <v/>
      </c>
      <c r="N69" s="170" t="n">
        <v>0.38</v>
      </c>
      <c r="O69" s="200">
        <f>IF(L69&gt;N69,G69,I69)</f>
        <v/>
      </c>
      <c r="P69" s="210">
        <f>_xlfn.XLOOKUP(O69,Teams!$C:$C,Teams!$E:$E,,0,1)</f>
        <v/>
      </c>
      <c r="Q69" s="230" t="inlineStr"/>
      <c r="R69" s="6">
        <f>IF(
O69=G69,
IF(F69&gt;J69,TRUE,FALSE),
IF(J69&gt;F69,TRUE,FALSE))</f>
        <v/>
      </c>
      <c r="S69" s="98" t="n"/>
    </row>
    <row r="70" ht="24" customHeight="1" thickBot="1">
      <c r="A70" s="91">
        <f>G70</f>
        <v/>
      </c>
      <c r="B70" s="91">
        <f>I70</f>
        <v/>
      </c>
      <c r="C70" s="91">
        <f>IF(O70="","",IF(A70=O70,B70,A70))</f>
        <v/>
      </c>
      <c r="D70" s="91">
        <f>IF(SeedType=1,0,IF(SeedType=2,VLOOKUP(O70,SeedInfo,2,FALSE)*5,MAX(VLOOKUP(O70,SeedInfo,2,FALSE)-VLOOKUP(C70,SeedInfo,2,FALSE),0)))</f>
        <v/>
      </c>
      <c r="E70" s="159" t="n">
        <v>62</v>
      </c>
      <c r="F70" s="160">
        <f t="array" ref="F70">_xlfn.XLOOKUP(G70,Teams[[#All],[Team]],Teams[[#All],[Seed]],0,0,1)</f>
        <v/>
      </c>
      <c r="G70" s="161" t="inlineStr">
        <is>
          <t>American</t>
        </is>
      </c>
      <c r="H70" s="186" t="inlineStr">
        <is>
          <t>vs</t>
        </is>
      </c>
      <c r="I70" s="162" t="inlineStr">
        <is>
          <t>Colorado</t>
        </is>
      </c>
      <c r="J70" s="163">
        <f t="array" ref="J70">_xlfn.XLOOKUP(I70,Teams[[#All],[Team]],Teams[[#All],[Seed]],0,0,1)</f>
        <v/>
      </c>
      <c r="K70" s="164">
        <f>_xlfn.XLOOKUP(G70,Teams!$C:$C,Teams!$E:$E,,0,1)</f>
        <v/>
      </c>
      <c r="L70" s="164" t="n">
        <v>0.58</v>
      </c>
      <c r="M70" s="164">
        <f>_xlfn.XLOOKUP(I70,Teams!$C:$C,Teams!$E:$E,,0,1)</f>
        <v/>
      </c>
      <c r="N70" s="164" t="n">
        <v>0.42</v>
      </c>
      <c r="O70" s="199">
        <f>IF(L70&gt;N70,G70,I70)</f>
        <v/>
      </c>
      <c r="P70" s="213">
        <f>_xlfn.XLOOKUP(O70,Teams!$C:$C,Teams!$E:$E,,0,1)</f>
        <v/>
      </c>
      <c r="Q70" s="231" t="inlineStr"/>
      <c r="R70" s="6">
        <f>IF(
O70=G70,
IF(F70&gt;J70,TRUE,FALSE),
IF(J70&gt;F70,TRUE,FALSE))</f>
        <v/>
      </c>
      <c r="S70" s="98" t="n"/>
    </row>
    <row r="71" ht="24" customHeight="1" thickBot="1">
      <c r="A71" s="171" t="n"/>
      <c r="B71" s="171" t="n"/>
      <c r="C71" s="171" t="n"/>
      <c r="D71" s="171" t="n"/>
      <c r="E71" s="67" t="inlineStr">
        <is>
          <t>Game #</t>
        </is>
      </c>
      <c r="F71" s="238">
        <f>Bracket!S2</f>
        <v/>
      </c>
      <c r="G71" s="305" t="n"/>
      <c r="H71" s="305" t="n"/>
      <c r="I71" s="305" t="n"/>
      <c r="J71" s="305" t="n"/>
      <c r="K71" s="68" t="n"/>
      <c r="L71" s="68" t="n"/>
      <c r="M71" s="68" t="n"/>
      <c r="N71" s="68" t="n"/>
      <c r="O71" s="68" t="inlineStr">
        <is>
          <t>Winner</t>
        </is>
      </c>
      <c r="P71" s="68" t="n"/>
      <c r="Q71" s="229" t="n"/>
      <c r="S71" s="98" t="n"/>
    </row>
    <row r="72" ht="24" customHeight="1" thickBot="1">
      <c r="A72" s="91">
        <f>G72</f>
        <v/>
      </c>
      <c r="B72" s="91">
        <f>I72</f>
        <v/>
      </c>
      <c r="C72" s="91">
        <f>IF(O72="","",IF(A72=O72,B72,A72))</f>
        <v/>
      </c>
      <c r="D72" s="91">
        <f>IF(SeedType=1,0,IF(SeedType=2,VLOOKUP(O72,SeedInfo,2,FALSE)*6,MAX(VLOOKUP(O72,SeedInfo,2,FALSE)-VLOOKUP(C72,SeedInfo,2,FALSE),0)))</f>
        <v/>
      </c>
      <c r="E72" s="153" t="n">
        <v>63</v>
      </c>
      <c r="F72" s="154">
        <f t="array" ref="F72">_xlfn.XLOOKUP(G72,Teams[[#All],[Team]],Teams[[#All],[Seed]],0,0,1)</f>
        <v/>
      </c>
      <c r="G72" s="155" t="inlineStr">
        <is>
          <t>American</t>
        </is>
      </c>
      <c r="H72" s="185" t="inlineStr">
        <is>
          <t>vs</t>
        </is>
      </c>
      <c r="I72" s="156" t="inlineStr">
        <is>
          <t>Auburn</t>
        </is>
      </c>
      <c r="J72" s="157">
        <f t="array" ref="J72">_xlfn.XLOOKUP(I72,Teams[[#All],[Team]],Teams[[#All],[Seed]],0,0,1)</f>
        <v/>
      </c>
      <c r="K72" s="158">
        <f>_xlfn.XLOOKUP(G72,Teams!$C:$C,Teams!$E:$E,,0,1)</f>
        <v/>
      </c>
      <c r="L72" s="158" t="n">
        <v>0.35</v>
      </c>
      <c r="M72" s="158">
        <f>_xlfn.XLOOKUP(I72,Teams!$C:$C,Teams!$E:$E,,0,1)</f>
        <v/>
      </c>
      <c r="N72" s="158" t="n">
        <v>0.65</v>
      </c>
      <c r="O72" s="198">
        <f>IF(L72&gt;N72,G72,I72)</f>
        <v/>
      </c>
      <c r="P72" s="205">
        <f>_xlfn.XLOOKUP(O72,Teams!$C:$C,Teams!$E:$E,,0,1)</f>
        <v/>
      </c>
      <c r="Q72" s="233" t="inlineStr"/>
      <c r="R72" s="6">
        <f>IF(
O72=G72,
IF(F72&gt;J72,TRUE,FALSE),
IF(J72&gt;F72,TRUE,FALSE))</f>
        <v/>
      </c>
      <c r="S72" s="98" t="n"/>
    </row>
  </sheetData>
  <mergeCells count="13">
    <mergeCell ref="K3:L4"/>
    <mergeCell ref="F37:J37"/>
    <mergeCell ref="M3:N4"/>
    <mergeCell ref="O3:O4"/>
    <mergeCell ref="E3:E4"/>
    <mergeCell ref="F54:J54"/>
    <mergeCell ref="Q3:Q4"/>
    <mergeCell ref="F3:F4"/>
    <mergeCell ref="F63:J63"/>
    <mergeCell ref="J3:J4"/>
    <mergeCell ref="F68:J68"/>
    <mergeCell ref="F71:J71"/>
    <mergeCell ref="G3:I4"/>
  </mergeCells>
  <pageMargins left="0.5" right="0.5" top="0.5" bottom="0.5" header="0.25" footer="0.25"/>
  <pageSetup orientation="portrait" scale="90" fitToHeight="0" horizontalDpi="4294967293"/>
</worksheet>
</file>

<file path=xl/worksheets/sheet4.xml><?xml version="1.0" encoding="utf-8"?>
<worksheet xmlns="http://schemas.openxmlformats.org/spreadsheetml/2006/main">
  <sheetPr codeName="Sheet1">
    <tabColor rgb="FFF67008"/>
    <outlinePr summaryBelow="1" summaryRight="1"/>
    <pageSetUpPr fitToPage="1"/>
  </sheetPr>
  <dimension ref="A1:AU69"/>
  <sheetViews>
    <sheetView showGridLines="0" zoomScale="50" zoomScaleNormal="60" workbookViewId="0">
      <selection activeCell="U48" sqref="U48"/>
    </sheetView>
  </sheetViews>
  <sheetFormatPr baseColWidth="8" defaultColWidth="0" defaultRowHeight="15" zeroHeight="1"/>
  <cols>
    <col width="4.33203125" customWidth="1" style="19" min="1" max="1"/>
    <col width="3" bestFit="1" customWidth="1" style="3" min="2" max="2"/>
    <col width="22.21875" customWidth="1" style="35" min="3" max="3"/>
    <col width="5" customWidth="1" style="73" min="4" max="4"/>
    <col width="5" customWidth="1" style="45" min="5" max="5"/>
    <col width="22.21875" customWidth="1" style="2" min="6" max="6"/>
    <col width="5.6640625" customWidth="1" style="2" min="7" max="7"/>
    <col width="5" customWidth="1" style="45" min="8" max="8"/>
    <col width="22.21875" customWidth="1" style="2" min="9" max="9"/>
    <col width="5.6640625" customWidth="1" style="2" min="10" max="10"/>
    <col width="5" customWidth="1" style="45" min="11" max="11"/>
    <col width="22.21875" customWidth="1" style="2" min="12" max="12"/>
    <col width="5.6640625" customWidth="1" style="2" min="13" max="13"/>
    <col width="5" customWidth="1" style="45" min="14" max="14"/>
    <col width="22.21875" customWidth="1" style="2" min="15" max="15"/>
    <col width="5.6640625" customWidth="1" style="2" min="16" max="16"/>
    <col width="5" customWidth="1" style="45" min="17" max="17"/>
    <col width="2" customWidth="1" style="2" min="18" max="18"/>
    <col width="17.77734375" customWidth="1" style="2" min="19" max="19"/>
    <col width="5" customWidth="1" style="54" min="20" max="20"/>
    <col width="12.88671875" customWidth="1" style="77" min="21" max="21"/>
    <col width="5" customWidth="1" style="54" min="22" max="22"/>
    <col width="17.77734375" customWidth="1" style="2" min="23" max="23"/>
    <col width="2.88671875" customWidth="1" style="2" min="24" max="24"/>
    <col width="5" customWidth="1" style="45" min="25" max="25"/>
    <col width="5.6640625" customWidth="1" style="45" min="26" max="26"/>
    <col width="22.21875" customWidth="1" style="2" min="27" max="27"/>
    <col width="5" customWidth="1" style="45" min="28" max="28"/>
    <col width="5.6640625" customWidth="1" style="45" min="29" max="29"/>
    <col width="22.21875" customWidth="1" style="2" min="30" max="30"/>
    <col width="5" customWidth="1" style="45" min="31" max="31"/>
    <col width="5.6640625" customWidth="1" style="45" min="32" max="32"/>
    <col width="22.21875" customWidth="1" style="2" min="33" max="33"/>
    <col width="5" customWidth="1" style="45" min="34" max="34"/>
    <col width="5.6640625" customWidth="1" style="45" min="35" max="35"/>
    <col width="22.21875" customWidth="1" style="2" min="36" max="36"/>
    <col width="5" customWidth="1" style="45" min="37" max="37"/>
    <col width="5" customWidth="1" style="79" min="38" max="38"/>
    <col width="22.21875" customWidth="1" style="2" min="39" max="39"/>
    <col width="3" bestFit="1" customWidth="1" style="3" min="40" max="40"/>
    <col width="4.33203125" customWidth="1" style="18" min="41" max="41"/>
    <col hidden="1" width="3.88671875" customWidth="1" style="2" min="42" max="42"/>
    <col hidden="1" width="19.88671875" customWidth="1" style="2" min="43" max="43"/>
    <col hidden="1" width="9.109375" customWidth="1" style="2" min="44" max="16384"/>
  </cols>
  <sheetData>
    <row r="1" ht="34.8" customFormat="1" customHeight="1" s="6">
      <c r="A1" s="13" t="n"/>
      <c r="B1" s="281" t="inlineStr">
        <is>
          <t>2026 NCAA Basketball Tournament Bracket</t>
        </is>
      </c>
      <c r="AO1" s="287" t="n"/>
    </row>
    <row r="2" ht="19.2" customFormat="1" customHeight="1" s="63">
      <c r="A2" s="60" t="n"/>
      <c r="B2" s="285" t="n"/>
      <c r="C2" s="285" t="inlineStr">
        <is>
          <t>First Round</t>
        </is>
      </c>
      <c r="D2" s="285" t="n"/>
      <c r="E2" s="62" t="n"/>
      <c r="F2" s="285" t="inlineStr">
        <is>
          <t>Second Round</t>
        </is>
      </c>
      <c r="G2" s="285" t="n"/>
      <c r="H2" s="62" t="n"/>
      <c r="I2" s="285" t="inlineStr">
        <is>
          <t>Sweet 16</t>
        </is>
      </c>
      <c r="J2" s="285" t="n"/>
      <c r="K2" s="62" t="n"/>
      <c r="L2" s="285" t="inlineStr">
        <is>
          <t>Elite 8</t>
        </is>
      </c>
      <c r="M2" s="285" t="n"/>
      <c r="N2" s="62" t="n"/>
      <c r="O2" s="285" t="inlineStr">
        <is>
          <t>Final Four</t>
        </is>
      </c>
      <c r="P2" s="285" t="n"/>
      <c r="Q2" s="62" t="n"/>
      <c r="R2" s="62" t="n"/>
      <c r="S2" s="285" t="inlineStr">
        <is>
          <t>Championship</t>
        </is>
      </c>
      <c r="X2" s="62" t="n"/>
      <c r="Y2" s="62" t="n"/>
      <c r="Z2" s="62" t="n"/>
      <c r="AA2" s="285" t="inlineStr">
        <is>
          <t>Final Four</t>
        </is>
      </c>
      <c r="AB2" s="62" t="n"/>
      <c r="AC2" s="62" t="n"/>
      <c r="AD2" s="285" t="inlineStr">
        <is>
          <t>Elite 8</t>
        </is>
      </c>
      <c r="AE2" s="62" t="n"/>
      <c r="AF2" s="62" t="n"/>
      <c r="AG2" s="285" t="inlineStr">
        <is>
          <t>Sweet 16</t>
        </is>
      </c>
      <c r="AH2" s="62" t="n"/>
      <c r="AI2" s="62" t="n"/>
      <c r="AJ2" s="285">
        <f>F2</f>
        <v/>
      </c>
      <c r="AK2" s="62" t="n"/>
      <c r="AL2" s="62" t="n"/>
      <c r="AM2" s="285">
        <f>C2</f>
        <v/>
      </c>
      <c r="AN2" s="285" t="n"/>
      <c r="AO2" s="43" t="n"/>
      <c r="AQ2" s="64" t="n"/>
      <c r="AU2" s="65" t="inlineStr">
        <is>
          <t>checkbox</t>
        </is>
      </c>
    </row>
    <row r="3" ht="6" customFormat="1" customHeight="1" s="8">
      <c r="A3" s="13" t="n"/>
      <c r="B3" s="22" t="n"/>
      <c r="C3" s="33" t="n"/>
      <c r="D3" s="33" t="n"/>
      <c r="E3" s="44" t="n"/>
      <c r="F3" s="22" t="n"/>
      <c r="G3" s="22" t="n"/>
      <c r="H3" s="44" t="n"/>
      <c r="I3" s="22" t="n"/>
      <c r="J3" s="22" t="n"/>
      <c r="K3" s="44" t="n"/>
      <c r="L3" s="22" t="n"/>
      <c r="M3" s="22" t="n"/>
      <c r="N3" s="44" t="n"/>
      <c r="O3" s="22" t="n"/>
      <c r="P3" s="22" t="n"/>
      <c r="Q3" s="44" t="n"/>
      <c r="R3" s="261" t="n"/>
      <c r="S3" s="22" t="n"/>
      <c r="T3" s="52" t="n"/>
      <c r="U3" s="74" t="n"/>
      <c r="V3" s="52" t="n"/>
      <c r="W3" s="22" t="n"/>
      <c r="X3" s="261" t="n"/>
      <c r="Y3" s="44" t="n"/>
      <c r="Z3" s="44" t="n"/>
      <c r="AA3" s="22" t="n"/>
      <c r="AB3" s="44" t="n"/>
      <c r="AC3" s="44" t="n"/>
      <c r="AD3" s="22" t="n"/>
      <c r="AE3" s="44" t="n"/>
      <c r="AF3" s="44" t="n"/>
      <c r="AG3" s="22" t="n"/>
      <c r="AH3" s="44" t="n"/>
      <c r="AI3" s="44" t="n"/>
      <c r="AJ3" s="22" t="n"/>
      <c r="AK3" s="44" t="n"/>
      <c r="AL3" s="78" t="n"/>
      <c r="AM3" s="22" t="n"/>
      <c r="AN3" s="22" t="n"/>
      <c r="AO3" s="287" t="n"/>
      <c r="AQ3" s="288" t="n"/>
      <c r="AU3" s="7" t="inlineStr">
        <is>
          <t>x</t>
        </is>
      </c>
    </row>
    <row r="4" ht="9.75" customHeight="1">
      <c r="A4" s="13" t="n"/>
      <c r="B4" s="255" t="n"/>
      <c r="C4" s="34" t="n"/>
      <c r="D4" s="69" t="n"/>
      <c r="F4" s="25" t="n"/>
      <c r="G4" s="25" t="n"/>
      <c r="I4" s="25" t="n"/>
      <c r="J4" s="25" t="n"/>
      <c r="L4" s="25" t="n"/>
      <c r="M4" s="25" t="n"/>
      <c r="O4" s="25" t="n"/>
      <c r="P4" s="25" t="n"/>
      <c r="R4" s="25" t="n"/>
      <c r="S4" s="25" t="n"/>
      <c r="T4" s="25" t="n"/>
      <c r="U4" s="75" t="n"/>
      <c r="V4" s="25" t="n"/>
      <c r="W4" s="25" t="n"/>
      <c r="X4" s="25" t="n"/>
      <c r="AA4" s="25" t="n"/>
      <c r="AD4" s="25" t="n"/>
      <c r="AG4" s="25" t="n"/>
      <c r="AJ4" s="25" t="n"/>
      <c r="AM4" s="26" t="n"/>
      <c r="AN4" s="255" t="n"/>
      <c r="AO4" s="287" t="n"/>
    </row>
    <row r="5" ht="18.6" customHeight="1" thickBot="1">
      <c r="A5" s="286" t="n"/>
      <c r="B5" s="27" t="n">
        <v>1</v>
      </c>
      <c r="C5" s="36">
        <f>Games!G5</f>
        <v/>
      </c>
      <c r="D5" s="70">
        <f>_xlfn.XLOOKUP(C5,Teams!$C:$C,Teams!$E:$E,,0,1)</f>
        <v/>
      </c>
      <c r="E5" s="46">
        <f>Games!L5</f>
        <v/>
      </c>
      <c r="F5" s="263">
        <f>Games!O5</f>
        <v/>
      </c>
      <c r="G5" s="248">
        <f>_xlfn.XLOOKUP(F5,Teams!$C:$C,Teams!$E:$E,,0,1)</f>
        <v/>
      </c>
      <c r="H5" s="306">
        <f>Games!L38</f>
        <v/>
      </c>
      <c r="I5" s="25" t="n"/>
      <c r="J5" s="25" t="n"/>
      <c r="L5" s="25" t="n"/>
      <c r="M5" s="25" t="n"/>
      <c r="O5" s="25" t="n"/>
      <c r="P5" s="25" t="n"/>
      <c r="R5" s="25" t="n"/>
      <c r="S5" s="25" t="n"/>
      <c r="T5" s="25" t="n"/>
      <c r="U5" s="75" t="n"/>
      <c r="V5" s="25" t="n"/>
      <c r="W5" s="25" t="n"/>
      <c r="X5" s="25" t="n"/>
      <c r="AA5" s="25" t="n"/>
      <c r="AD5" s="25" t="n"/>
      <c r="AG5" s="25" t="n"/>
      <c r="AH5" s="58">
        <f>Games!L46</f>
        <v/>
      </c>
      <c r="AI5" s="298">
        <f>_xlfn.XLOOKUP(AJ5,Teams!$C:$C,Teams!$E:$E,,0,1)</f>
        <v/>
      </c>
      <c r="AJ5" s="263">
        <f>Games!O21</f>
        <v/>
      </c>
      <c r="AK5" s="58">
        <f>Games!L21</f>
        <v/>
      </c>
      <c r="AL5" s="46">
        <f>_xlfn.XLOOKUP(AM5,Teams!$C:$C,Teams!$E:$E,,0,1)</f>
        <v/>
      </c>
      <c r="AM5" s="37">
        <f>Games!G21</f>
        <v/>
      </c>
      <c r="AN5" s="27" t="n">
        <v>1</v>
      </c>
      <c r="AO5" s="287" t="n"/>
      <c r="AU5" s="2">
        <f>IF(AP29="x",TRUE,FALSE)</f>
        <v/>
      </c>
    </row>
    <row r="6" ht="10.5" customHeight="1" thickBot="1">
      <c r="A6" s="283">
        <f>IF($AU$5=TRUE,1,"")</f>
        <v/>
      </c>
      <c r="B6" s="28" t="n"/>
      <c r="C6" s="38" t="n"/>
      <c r="D6" s="71" t="n"/>
      <c r="E6" s="47" t="n"/>
      <c r="F6" s="303" t="n"/>
      <c r="G6" s="307" t="n"/>
      <c r="H6" s="308" t="n"/>
      <c r="I6" s="25" t="n"/>
      <c r="J6" s="25" t="n"/>
      <c r="L6" s="25" t="n"/>
      <c r="M6" s="25" t="n"/>
      <c r="O6" s="25" t="n"/>
      <c r="P6" s="25" t="n"/>
      <c r="R6" s="25" t="n"/>
      <c r="S6" s="25" t="n"/>
      <c r="T6" s="25" t="n"/>
      <c r="U6" s="75" t="n"/>
      <c r="V6" s="25" t="n"/>
      <c r="W6" s="25" t="n"/>
      <c r="X6" s="25" t="n"/>
      <c r="AA6" s="25" t="n"/>
      <c r="AD6" s="25" t="n"/>
      <c r="AG6" s="25" t="n"/>
      <c r="AH6" s="308" t="n"/>
      <c r="AI6" s="309" t="n"/>
      <c r="AJ6" s="303" t="n"/>
      <c r="AK6" s="55" t="n"/>
      <c r="AM6" s="39" t="n"/>
      <c r="AN6" s="28" t="n"/>
      <c r="AO6" s="287">
        <f>IF($AU$5=TRUE,A66+1,"")</f>
        <v/>
      </c>
    </row>
    <row r="7" ht="13.8" customHeight="1" thickBot="1">
      <c r="B7" s="27" t="n">
        <v>16</v>
      </c>
      <c r="C7" s="40">
        <f>Games!I5</f>
        <v/>
      </c>
      <c r="D7" s="70">
        <f>_xlfn.XLOOKUP(C7,Teams!$C:$C,Teams!$E:$E,,0,1)</f>
        <v/>
      </c>
      <c r="E7" s="48">
        <f>Games!N5</f>
        <v/>
      </c>
      <c r="F7" s="282">
        <f>IF($AU$5=TRUE,AO66+1,"")</f>
        <v/>
      </c>
      <c r="G7" s="282" t="n"/>
      <c r="H7" s="49" t="n"/>
      <c r="I7" s="280">
        <f>Games!O38</f>
        <v/>
      </c>
      <c r="J7" s="248">
        <f>_xlfn.XLOOKUP(I7,Teams!$C:$C,Teams!$E:$E,,0,1)</f>
        <v/>
      </c>
      <c r="K7" s="58">
        <f>Games!L55</f>
        <v/>
      </c>
      <c r="L7" s="25" t="n"/>
      <c r="M7" s="25" t="n"/>
      <c r="O7" s="25" t="n"/>
      <c r="P7" s="25" t="n"/>
      <c r="R7" s="25" t="n"/>
      <c r="S7" s="25" t="n"/>
      <c r="T7" s="25" t="n"/>
      <c r="U7" s="75" t="n"/>
      <c r="V7" s="25" t="n"/>
      <c r="W7" s="25" t="n"/>
      <c r="X7" s="25" t="n"/>
      <c r="AA7" s="25" t="n"/>
      <c r="AD7" s="25" t="n"/>
      <c r="AE7" s="58">
        <f>Games!L59</f>
        <v/>
      </c>
      <c r="AF7" s="298">
        <f>_xlfn.XLOOKUP(AG7,Teams!$C:$C,Teams!$E:$E,,0,1)</f>
        <v/>
      </c>
      <c r="AG7" s="263">
        <f>Games!O46</f>
        <v/>
      </c>
      <c r="AH7" s="55" t="n"/>
      <c r="AI7" s="51" t="n"/>
      <c r="AJ7" s="282">
        <f>IF($AU$5=TRUE,F63+1,"")</f>
        <v/>
      </c>
      <c r="AK7" s="59">
        <f>Games!N21</f>
        <v/>
      </c>
      <c r="AL7" s="46">
        <f>_xlfn.XLOOKUP(AM7,Teams!$C:$C,Teams!$E:$E,,0,1)</f>
        <v/>
      </c>
      <c r="AM7" s="37">
        <f>Games!I21</f>
        <v/>
      </c>
      <c r="AN7" s="27" t="n">
        <v>16</v>
      </c>
    </row>
    <row r="8" ht="10.2" customHeight="1" thickBot="1">
      <c r="A8" s="286" t="n"/>
      <c r="B8" s="28" t="n"/>
      <c r="C8" s="38" t="n"/>
      <c r="D8" s="71" t="n"/>
      <c r="G8" s="283" t="n"/>
      <c r="H8" s="50" t="n"/>
      <c r="I8" s="302" t="n"/>
      <c r="J8" s="307" t="n"/>
      <c r="K8" s="308" t="n"/>
      <c r="L8" s="25" t="n"/>
      <c r="M8" s="25" t="n"/>
      <c r="O8" s="25" t="n"/>
      <c r="P8" s="25" t="n"/>
      <c r="R8" s="25" t="n"/>
      <c r="S8" s="25" t="n"/>
      <c r="T8" s="25" t="n"/>
      <c r="U8" s="75" t="n"/>
      <c r="V8" s="25" t="n"/>
      <c r="W8" s="25" t="n"/>
      <c r="X8" s="25" t="n"/>
      <c r="AA8" s="25" t="n"/>
      <c r="AD8" s="25" t="n"/>
      <c r="AE8" s="308" t="n"/>
      <c r="AF8" s="309" t="n"/>
      <c r="AG8" s="303" t="n"/>
      <c r="AH8" s="56" t="n"/>
      <c r="AM8" s="39" t="n"/>
      <c r="AN8" s="28" t="n"/>
      <c r="AO8" s="287" t="n"/>
    </row>
    <row r="9" ht="18.6" customHeight="1" thickBot="1">
      <c r="A9" s="286" t="n"/>
      <c r="B9" s="27" t="n">
        <v>8</v>
      </c>
      <c r="C9" s="36">
        <f>Games!G6</f>
        <v/>
      </c>
      <c r="D9" s="70">
        <f>_xlfn.XLOOKUP(C9,Teams!$C:$C,Teams!$E:$E,,0,1)</f>
        <v/>
      </c>
      <c r="E9" s="46">
        <f>Games!L6</f>
        <v/>
      </c>
      <c r="F9" s="263">
        <f>Games!O6</f>
        <v/>
      </c>
      <c r="G9" s="248">
        <f>_xlfn.XLOOKUP(F9,Teams!$C:$C,Teams!$E:$E,,0,1)</f>
        <v/>
      </c>
      <c r="H9" s="310">
        <f>Games!N38</f>
        <v/>
      </c>
      <c r="I9" s="255" t="n"/>
      <c r="J9" s="255" t="n"/>
      <c r="K9" s="49" t="n"/>
      <c r="L9" s="25" t="n"/>
      <c r="M9" s="25" t="n"/>
      <c r="O9" s="25" t="n"/>
      <c r="P9" s="25" t="n"/>
      <c r="R9" s="25" t="n"/>
      <c r="S9" s="25" t="n"/>
      <c r="T9" s="25" t="n"/>
      <c r="U9" s="75" t="n"/>
      <c r="V9" s="25" t="n"/>
      <c r="W9" s="25" t="n"/>
      <c r="X9" s="25" t="n"/>
      <c r="AA9" s="25" t="n"/>
      <c r="AD9" s="25" t="n"/>
      <c r="AE9" s="55" t="n"/>
      <c r="AG9" s="255" t="n"/>
      <c r="AH9" s="59">
        <f>Games!N46</f>
        <v/>
      </c>
      <c r="AI9" s="298">
        <f>_xlfn.XLOOKUP(AJ9,Teams!$C:$C,Teams!$E:$E,,0,1)</f>
        <v/>
      </c>
      <c r="AJ9" s="263">
        <f>Games!O22</f>
        <v/>
      </c>
      <c r="AK9" s="58">
        <f>Games!L22</f>
        <v/>
      </c>
      <c r="AL9" s="46">
        <f>_xlfn.XLOOKUP(AM9,Teams!$C:$C,Teams!$E:$E,,0,1)</f>
        <v/>
      </c>
      <c r="AM9" s="37">
        <f>Games!G22</f>
        <v/>
      </c>
      <c r="AN9" s="27" t="n">
        <v>8</v>
      </c>
      <c r="AO9" s="287" t="n"/>
    </row>
    <row r="10" ht="10.5" customHeight="1" thickBot="1">
      <c r="A10" s="286">
        <f>IF($AU$5=TRUE,A6+1,"")</f>
        <v/>
      </c>
      <c r="B10" s="28" t="n"/>
      <c r="C10" s="38" t="n"/>
      <c r="D10" s="71" t="n"/>
      <c r="E10" s="47" t="n"/>
      <c r="F10" s="303" t="n"/>
      <c r="G10" s="307" t="n"/>
      <c r="H10" s="311" t="n"/>
      <c r="I10" s="255" t="n"/>
      <c r="J10" s="255" t="n"/>
      <c r="K10" s="50" t="n"/>
      <c r="L10" s="25" t="n"/>
      <c r="M10" s="25" t="n"/>
      <c r="O10" s="25" t="n"/>
      <c r="P10" s="25" t="n"/>
      <c r="R10" s="25" t="n"/>
      <c r="S10" s="25" t="n"/>
      <c r="T10" s="25" t="n"/>
      <c r="U10" s="75" t="n"/>
      <c r="V10" s="25" t="n"/>
      <c r="W10" s="25" t="n"/>
      <c r="X10" s="25" t="n"/>
      <c r="AA10" s="25" t="n"/>
      <c r="AD10" s="25" t="n"/>
      <c r="AE10" s="56" t="n"/>
      <c r="AG10" s="255" t="n"/>
      <c r="AH10" s="312" t="n"/>
      <c r="AI10" s="309" t="n"/>
      <c r="AJ10" s="303" t="n"/>
      <c r="AK10" s="55" t="n"/>
      <c r="AM10" s="39" t="n"/>
      <c r="AN10" s="28" t="n"/>
      <c r="AO10" s="287">
        <f>IF($AU$5=TRUE,AO6+1,"")</f>
        <v/>
      </c>
    </row>
    <row r="11" ht="13.8" customHeight="1" thickBot="1">
      <c r="B11" s="27" t="n">
        <v>9</v>
      </c>
      <c r="C11" s="36">
        <f>Games!I6</f>
        <v/>
      </c>
      <c r="D11" s="70">
        <f>_xlfn.XLOOKUP(C11,Teams!$C:$C,Teams!$E:$E,,0,1)</f>
        <v/>
      </c>
      <c r="E11" s="48">
        <f>Games!N6</f>
        <v/>
      </c>
      <c r="F11" s="255" t="n"/>
      <c r="G11" s="255" t="n"/>
      <c r="I11" s="283">
        <f>IF($AU$5=TRUE,AJ63+1,"")</f>
        <v/>
      </c>
      <c r="J11" s="283" t="n"/>
      <c r="K11" s="50" t="n"/>
      <c r="L11" s="280">
        <f>Games!O55</f>
        <v/>
      </c>
      <c r="M11" s="248">
        <f>_xlfn.XLOOKUP(L11,Teams!$C:$C,Teams!$E:$E,,0,1)</f>
        <v/>
      </c>
      <c r="N11" s="58">
        <f>Games!L64</f>
        <v/>
      </c>
      <c r="O11" s="25" t="n"/>
      <c r="P11" s="25" t="n"/>
      <c r="R11" s="25" t="n"/>
      <c r="S11" s="25" t="n"/>
      <c r="T11" s="313">
        <f>_xlfn.XLOOKUP(S32,Teams!$C:$C,Teams!$E:$E,,0,1)</f>
        <v/>
      </c>
      <c r="U11" s="299" t="n"/>
      <c r="V11" s="314" t="n"/>
      <c r="W11" s="25" t="n"/>
      <c r="X11" s="25" t="n"/>
      <c r="AA11" s="25" t="n"/>
      <c r="AB11" s="58">
        <f>Games!L66</f>
        <v/>
      </c>
      <c r="AC11" s="250">
        <f>_xlfn.XLOOKUP(AD11,Teams!$C:$C,Teams!$E:$E,,0,1)</f>
        <v/>
      </c>
      <c r="AD11" s="263">
        <f>Games!O59</f>
        <v/>
      </c>
      <c r="AE11" s="56" t="n"/>
      <c r="AG11" s="283">
        <f>IF($AU$5=TRUE,I59+1,"")</f>
        <v/>
      </c>
      <c r="AJ11" s="255" t="n"/>
      <c r="AK11" s="59">
        <f>Games!N22</f>
        <v/>
      </c>
      <c r="AL11" s="46">
        <f>_xlfn.XLOOKUP(AM11,Teams!$C:$C,Teams!$E:$E,,0,1)</f>
        <v/>
      </c>
      <c r="AM11" s="37">
        <f>Games!I22</f>
        <v/>
      </c>
      <c r="AN11" s="27" t="n">
        <v>9</v>
      </c>
    </row>
    <row r="12" ht="10.5" customHeight="1" thickBot="1">
      <c r="A12" s="286" t="n"/>
      <c r="B12" s="28" t="n"/>
      <c r="C12" s="38" t="n"/>
      <c r="D12" s="71" t="n"/>
      <c r="F12" s="255" t="n"/>
      <c r="G12" s="255" t="n"/>
      <c r="J12" s="283" t="n"/>
      <c r="K12" s="50" t="n"/>
      <c r="L12" s="302" t="n"/>
      <c r="M12" s="307" t="n"/>
      <c r="N12" s="308" t="n"/>
      <c r="O12" s="25" t="n"/>
      <c r="P12" s="25" t="n"/>
      <c r="R12" s="25" t="n"/>
      <c r="S12" s="25" t="n"/>
      <c r="T12" s="315" t="n"/>
      <c r="V12" s="316" t="n"/>
      <c r="W12" s="25" t="n"/>
      <c r="X12" s="25" t="n"/>
      <c r="AA12" s="25" t="n"/>
      <c r="AB12" s="308" t="n"/>
      <c r="AC12" s="303" t="n"/>
      <c r="AD12" s="303" t="n"/>
      <c r="AE12" s="56" t="n"/>
      <c r="AJ12" s="255" t="n"/>
      <c r="AM12" s="39" t="n"/>
      <c r="AN12" s="28" t="n"/>
      <c r="AO12" s="287" t="n"/>
    </row>
    <row r="13" ht="18.6" customHeight="1" thickBot="1">
      <c r="A13" s="286" t="n"/>
      <c r="B13" s="27" t="n">
        <v>5</v>
      </c>
      <c r="C13" s="36">
        <f>Games!G7</f>
        <v/>
      </c>
      <c r="D13" s="70">
        <f>_xlfn.XLOOKUP(C13,Teams!$C:$C,Teams!$E:$E,,0,1)</f>
        <v/>
      </c>
      <c r="E13" s="46">
        <f>Games!L7</f>
        <v/>
      </c>
      <c r="F13" s="263">
        <f>Games!O7</f>
        <v/>
      </c>
      <c r="G13" s="248">
        <f>_xlfn.XLOOKUP(F13,Teams!$C:$C,Teams!$E:$E,,0,1)</f>
        <v/>
      </c>
      <c r="H13" s="58">
        <f>Games!L39</f>
        <v/>
      </c>
      <c r="I13" s="255" t="n"/>
      <c r="J13" s="255" t="n"/>
      <c r="K13" s="50" t="n"/>
      <c r="L13" s="25" t="n"/>
      <c r="M13" s="25" t="n"/>
      <c r="N13" s="49" t="n"/>
      <c r="O13" s="25" t="n"/>
      <c r="P13" s="25" t="n"/>
      <c r="R13" s="25" t="n"/>
      <c r="S13" s="25" t="n"/>
      <c r="T13" s="315" t="n"/>
      <c r="V13" s="316" t="n"/>
      <c r="W13" s="25" t="n"/>
      <c r="X13" s="25" t="n"/>
      <c r="AA13" s="25" t="n"/>
      <c r="AB13" s="55" t="n"/>
      <c r="AD13" s="25" t="n"/>
      <c r="AE13" s="56" t="n"/>
      <c r="AG13" s="255" t="n"/>
      <c r="AH13" s="58">
        <f>Games!L47</f>
        <v/>
      </c>
      <c r="AI13" s="250">
        <f>_xlfn.XLOOKUP(AJ13,Teams!$C:$C,Teams!$E:$E,,0,1)</f>
        <v/>
      </c>
      <c r="AJ13" s="263">
        <f>Games!O23</f>
        <v/>
      </c>
      <c r="AK13" s="58">
        <f>Games!L23</f>
        <v/>
      </c>
      <c r="AL13" s="46">
        <f>_xlfn.XLOOKUP(AM13,Teams!$C:$C,Teams!$E:$E,,0,1)</f>
        <v/>
      </c>
      <c r="AM13" s="37">
        <f>Games!G23</f>
        <v/>
      </c>
      <c r="AN13" s="27" t="n">
        <v>5</v>
      </c>
      <c r="AO13" s="287" t="n"/>
      <c r="AQ13" s="9" t="n"/>
    </row>
    <row r="14" ht="10.5" customHeight="1" thickBot="1">
      <c r="A14" s="283">
        <f>IF($AU$5=TRUE,A10+1,"")</f>
        <v/>
      </c>
      <c r="B14" s="28" t="n"/>
      <c r="C14" s="38" t="n"/>
      <c r="D14" s="71" t="n"/>
      <c r="E14" s="49" t="n"/>
      <c r="F14" s="303" t="n"/>
      <c r="G14" s="307" t="n"/>
      <c r="H14" s="308" t="n"/>
      <c r="I14" s="255" t="n"/>
      <c r="J14" s="255" t="n"/>
      <c r="K14" s="50" t="n"/>
      <c r="L14" s="25" t="n"/>
      <c r="M14" s="25" t="n"/>
      <c r="N14" s="50" t="n"/>
      <c r="O14" s="25" t="n"/>
      <c r="P14" s="25" t="n"/>
      <c r="R14" s="25" t="n"/>
      <c r="S14" s="25" t="n"/>
      <c r="T14" s="315" t="n"/>
      <c r="V14" s="316" t="n"/>
      <c r="W14" s="25" t="n"/>
      <c r="X14" s="25" t="n"/>
      <c r="AA14" s="25" t="n"/>
      <c r="AB14" s="56" t="n"/>
      <c r="AD14" s="25" t="n"/>
      <c r="AE14" s="56" t="n"/>
      <c r="AG14" s="255" t="n"/>
      <c r="AH14" s="308" t="n"/>
      <c r="AI14" s="303" t="n"/>
      <c r="AJ14" s="303" t="n"/>
      <c r="AK14" s="55" t="n"/>
      <c r="AM14" s="39" t="n"/>
      <c r="AN14" s="28" t="n"/>
      <c r="AO14" s="287">
        <f>IF($AU$5=TRUE,AO10+1,"")</f>
        <v/>
      </c>
      <c r="AQ14" s="288" t="n"/>
    </row>
    <row r="15" ht="13.8" customHeight="1" thickBot="1">
      <c r="B15" s="27" t="n">
        <v>12</v>
      </c>
      <c r="C15" s="36">
        <f>Games!I7</f>
        <v/>
      </c>
      <c r="D15" s="70">
        <f>_xlfn.XLOOKUP(C15,Teams!$C:$C,Teams!$E:$E,,0,1)</f>
        <v/>
      </c>
      <c r="E15" s="48">
        <f>Games!N7</f>
        <v/>
      </c>
      <c r="F15" s="282">
        <f>IF($AU$5=TRUE,F7+1,"")</f>
        <v/>
      </c>
      <c r="G15" s="282" t="n"/>
      <c r="H15" s="49" t="n"/>
      <c r="I15" s="280">
        <f>Games!O39</f>
        <v/>
      </c>
      <c r="J15" s="248">
        <f>_xlfn.XLOOKUP(I15,Teams!$C:$C,Teams!$E:$E,,0,1)</f>
        <v/>
      </c>
      <c r="K15" s="310">
        <f>Games!N55</f>
        <v/>
      </c>
      <c r="L15" s="25" t="n"/>
      <c r="M15" s="25" t="n"/>
      <c r="N15" s="50" t="n"/>
      <c r="O15" s="25" t="n"/>
      <c r="P15" s="25" t="n"/>
      <c r="R15" s="25" t="n"/>
      <c r="S15" s="25" t="n"/>
      <c r="T15" s="315" t="n"/>
      <c r="V15" s="316" t="n"/>
      <c r="W15" s="25" t="n"/>
      <c r="X15" s="25" t="n"/>
      <c r="AA15" s="25" t="n"/>
      <c r="AB15" s="56" t="n"/>
      <c r="AD15" s="25" t="n"/>
      <c r="AE15" s="59">
        <f>Games!N59</f>
        <v/>
      </c>
      <c r="AF15" s="250">
        <f>_xlfn.XLOOKUP(AG15,Teams!$C:$C,Teams!$E:$E,,0,1)</f>
        <v/>
      </c>
      <c r="AG15" s="263">
        <f>Games!O47</f>
        <v/>
      </c>
      <c r="AH15" s="55" t="n"/>
      <c r="AI15" s="51" t="n"/>
      <c r="AJ15" s="282">
        <f>IF($AU$5=TRUE,AJ7+1,"")</f>
        <v/>
      </c>
      <c r="AK15" s="59">
        <f>Games!N23</f>
        <v/>
      </c>
      <c r="AL15" s="46">
        <f>_xlfn.XLOOKUP(AM15,Teams!$C:$C,Teams!$E:$E,,0,1)</f>
        <v/>
      </c>
      <c r="AM15" s="37">
        <f>Games!I23</f>
        <v/>
      </c>
      <c r="AN15" s="27" t="n">
        <v>12</v>
      </c>
    </row>
    <row r="16" ht="10.5" customHeight="1" thickBot="1">
      <c r="A16" s="286" t="n"/>
      <c r="B16" s="28" t="n"/>
      <c r="C16" s="38" t="n"/>
      <c r="D16" s="71" t="n"/>
      <c r="G16" s="283" t="n"/>
      <c r="H16" s="50" t="n"/>
      <c r="I16" s="302" t="n"/>
      <c r="J16" s="307" t="n"/>
      <c r="K16" s="311" t="n"/>
      <c r="L16" s="25" t="n"/>
      <c r="M16" s="25" t="n"/>
      <c r="N16" s="50" t="n"/>
      <c r="O16" s="25" t="n"/>
      <c r="P16" s="25" t="n"/>
      <c r="R16" s="25" t="n"/>
      <c r="S16" s="25" t="n"/>
      <c r="T16" s="315" t="n"/>
      <c r="V16" s="316" t="n"/>
      <c r="W16" s="25" t="n"/>
      <c r="X16" s="25" t="n"/>
      <c r="AA16" s="25" t="n"/>
      <c r="AB16" s="56" t="n"/>
      <c r="AD16" s="25" t="n"/>
      <c r="AE16" s="312" t="n"/>
      <c r="AF16" s="303" t="n"/>
      <c r="AG16" s="303" t="n"/>
      <c r="AH16" s="56" t="n"/>
      <c r="AM16" s="39" t="n"/>
      <c r="AN16" s="28" t="n"/>
      <c r="AO16" s="287" t="n"/>
    </row>
    <row r="17" ht="18.6" customHeight="1" thickBot="1">
      <c r="A17" s="286" t="n"/>
      <c r="B17" s="27" t="n">
        <v>4</v>
      </c>
      <c r="C17" s="36">
        <f>Games!G8</f>
        <v/>
      </c>
      <c r="D17" s="70">
        <f>_xlfn.XLOOKUP(C17,Teams!$C:$C,Teams!$E:$E,,0,1)</f>
        <v/>
      </c>
      <c r="E17" s="46">
        <f>Games!L8</f>
        <v/>
      </c>
      <c r="F17" s="263">
        <f>Games!O8</f>
        <v/>
      </c>
      <c r="G17" s="248">
        <f>_xlfn.XLOOKUP(F17,Teams!$C:$C,Teams!$E:$E,,0,1)</f>
        <v/>
      </c>
      <c r="H17" s="310">
        <f>Games!N39</f>
        <v/>
      </c>
      <c r="I17" s="255" t="n"/>
      <c r="J17" s="255" t="n"/>
      <c r="L17" s="25" t="n"/>
      <c r="M17" s="25" t="n"/>
      <c r="N17" s="50" t="n"/>
      <c r="O17" s="25" t="n"/>
      <c r="P17" s="25" t="n"/>
      <c r="R17" s="25" t="n"/>
      <c r="S17" s="25" t="n"/>
      <c r="T17" s="315" t="n"/>
      <c r="V17" s="316" t="n"/>
      <c r="W17" s="25" t="n"/>
      <c r="X17" s="25" t="n"/>
      <c r="AA17" s="25" t="n"/>
      <c r="AB17" s="56" t="n"/>
      <c r="AD17" s="25" t="n"/>
      <c r="AG17" s="255" t="n"/>
      <c r="AH17" s="59">
        <f>Games!N47</f>
        <v/>
      </c>
      <c r="AI17" s="250">
        <f>_xlfn.XLOOKUP(AJ17,Teams!$C:$C,Teams!$E:$E,,0,1)</f>
        <v/>
      </c>
      <c r="AJ17" s="263">
        <f>Games!O24</f>
        <v/>
      </c>
      <c r="AK17" s="58">
        <f>Games!L24</f>
        <v/>
      </c>
      <c r="AL17" s="46">
        <f>_xlfn.XLOOKUP(AM17,Teams!$C:$C,Teams!$E:$E,,0,1)</f>
        <v/>
      </c>
      <c r="AM17" s="37">
        <f>Games!G24</f>
        <v/>
      </c>
      <c r="AN17" s="27" t="n">
        <v>4</v>
      </c>
      <c r="AO17" s="287" t="n"/>
    </row>
    <row r="18" ht="10.5" customHeight="1" thickBot="1">
      <c r="A18" s="283">
        <f>IF($AU$5=TRUE,A14+1,"")</f>
        <v/>
      </c>
      <c r="B18" s="28" t="n"/>
      <c r="C18" s="38" t="n"/>
      <c r="D18" s="71" t="n"/>
      <c r="E18" s="49" t="n"/>
      <c r="F18" s="303" t="n"/>
      <c r="G18" s="307" t="n"/>
      <c r="H18" s="311" t="n"/>
      <c r="I18" s="255" t="n"/>
      <c r="J18" s="255" t="n"/>
      <c r="L18" s="25" t="n"/>
      <c r="M18" s="25" t="n"/>
      <c r="N18" s="50" t="n"/>
      <c r="O18" s="25" t="n"/>
      <c r="P18" s="25" t="n"/>
      <c r="R18" s="25" t="n"/>
      <c r="S18" s="25" t="n"/>
      <c r="T18" s="315" t="n"/>
      <c r="V18" s="316" t="n"/>
      <c r="W18" s="25" t="n"/>
      <c r="X18" s="25" t="n"/>
      <c r="AA18" s="25" t="n"/>
      <c r="AB18" s="56" t="n"/>
      <c r="AD18" s="25" t="n"/>
      <c r="AG18" s="255" t="n"/>
      <c r="AH18" s="312" t="n"/>
      <c r="AI18" s="303" t="n"/>
      <c r="AJ18" s="303" t="n"/>
      <c r="AK18" s="55" t="n"/>
      <c r="AM18" s="39" t="n"/>
      <c r="AN18" s="28" t="n"/>
      <c r="AO18" s="287">
        <f>IF($AU$5=TRUE,AO14+1,"")</f>
        <v/>
      </c>
    </row>
    <row r="19" ht="13.8" customHeight="1" thickBot="1">
      <c r="B19" s="27" t="n">
        <v>13</v>
      </c>
      <c r="C19" s="36">
        <f>Games!I8</f>
        <v/>
      </c>
      <c r="D19" s="70">
        <f>_xlfn.XLOOKUP(C19,Teams!$C:$C,Teams!$E:$E,,0,1)</f>
        <v/>
      </c>
      <c r="E19" s="48">
        <f>Games!N8</f>
        <v/>
      </c>
      <c r="F19" s="255" t="n"/>
      <c r="G19" s="255" t="n"/>
      <c r="I19" s="255" t="n"/>
      <c r="J19" s="255" t="n"/>
      <c r="K19" s="266" t="inlineStr">
        <is>
          <t>South</t>
        </is>
      </c>
      <c r="M19" s="266" t="n"/>
      <c r="N19" s="50" t="n"/>
      <c r="O19" s="280">
        <f>Games!O64</f>
        <v/>
      </c>
      <c r="P19" s="248">
        <f>_xlfn.XLOOKUP(O19,Teams!$C:$C,Teams!$E:$E,,0,1)</f>
        <v/>
      </c>
      <c r="Q19" s="58">
        <f>Games!L69</f>
        <v/>
      </c>
      <c r="R19" s="25" t="n"/>
      <c r="S19" s="25" t="n"/>
      <c r="T19" s="302" t="n"/>
      <c r="U19" s="303" t="n"/>
      <c r="V19" s="304" t="n"/>
      <c r="W19" s="25" t="n"/>
      <c r="X19" s="25" t="n"/>
      <c r="Y19" s="58">
        <f>Games!L70</f>
        <v/>
      </c>
      <c r="Z19" s="250">
        <f>_xlfn.XLOOKUP(AA19,Teams!$C:$C,Teams!$E:$E,,0,1)</f>
        <v/>
      </c>
      <c r="AA19" s="263">
        <f>Games!O66</f>
        <v/>
      </c>
      <c r="AB19" s="56" t="n"/>
      <c r="AD19" s="266" t="inlineStr">
        <is>
          <t>East</t>
        </is>
      </c>
      <c r="AF19" s="266" t="n"/>
      <c r="AG19" s="255" t="n"/>
      <c r="AJ19" s="255" t="n"/>
      <c r="AK19" s="59">
        <f>Games!N24</f>
        <v/>
      </c>
      <c r="AL19" s="46">
        <f>_xlfn.XLOOKUP(AM19,Teams!$C:$C,Teams!$E:$E,,0,1)</f>
        <v/>
      </c>
      <c r="AM19" s="37">
        <f>Games!I24</f>
        <v/>
      </c>
      <c r="AN19" s="27" t="n">
        <v>13</v>
      </c>
    </row>
    <row r="20" ht="10.5" customHeight="1" thickBot="1">
      <c r="A20" s="286" t="n"/>
      <c r="B20" s="28" t="n"/>
      <c r="C20" s="38" t="n"/>
      <c r="D20" s="71" t="n"/>
      <c r="F20" s="255" t="n"/>
      <c r="G20" s="255" t="n"/>
      <c r="I20" s="255" t="n"/>
      <c r="J20" s="255" t="n"/>
      <c r="M20" s="266" t="n"/>
      <c r="N20" s="50" t="n"/>
      <c r="O20" s="302" t="n"/>
      <c r="P20" s="307" t="n"/>
      <c r="Q20" s="308" t="n"/>
      <c r="R20" s="25" t="n"/>
      <c r="S20" s="25" t="n"/>
      <c r="T20" s="25" t="n"/>
      <c r="U20" s="75" t="n"/>
      <c r="V20" s="25" t="n"/>
      <c r="W20" s="25" t="n"/>
      <c r="X20" s="25" t="n"/>
      <c r="Y20" s="308" t="n"/>
      <c r="Z20" s="303" t="n"/>
      <c r="AA20" s="303" t="n"/>
      <c r="AB20" s="56" t="n"/>
      <c r="AF20" s="266" t="n"/>
      <c r="AG20" s="255" t="n"/>
      <c r="AJ20" s="255" t="n"/>
      <c r="AM20" s="39" t="n"/>
      <c r="AN20" s="28" t="n"/>
      <c r="AO20" s="287" t="n"/>
      <c r="AQ20" s="10" t="n"/>
    </row>
    <row r="21" ht="18.6" customHeight="1" thickBot="1">
      <c r="A21" s="283">
        <f>IF($AU$5=TRUE,A18+1,"")</f>
        <v/>
      </c>
      <c r="B21" s="27" t="n">
        <v>6</v>
      </c>
      <c r="C21" s="36">
        <f>Games!G9</f>
        <v/>
      </c>
      <c r="D21" s="70">
        <f>_xlfn.XLOOKUP(C21,Teams!$C:$C,Teams!$E:$E,,0,1)</f>
        <v/>
      </c>
      <c r="E21" s="46">
        <f>Games!L9</f>
        <v/>
      </c>
      <c r="F21" s="263">
        <f>Games!O9</f>
        <v/>
      </c>
      <c r="G21" s="248">
        <f>_xlfn.XLOOKUP(F21,Teams!$C:$C,Teams!$E:$E,,0,1)</f>
        <v/>
      </c>
      <c r="H21" s="58">
        <f>Games!L40</f>
        <v/>
      </c>
      <c r="I21" s="255" t="n"/>
      <c r="J21" s="255" t="n"/>
      <c r="L21" s="18">
        <f>IF($AU$5=TRUE,AG59+1,"")</f>
        <v/>
      </c>
      <c r="M21" s="18" t="n"/>
      <c r="N21" s="50" t="n"/>
      <c r="O21" s="25" t="n"/>
      <c r="P21" s="25" t="n"/>
      <c r="Q21" s="49" t="n"/>
      <c r="R21" s="25" t="n"/>
      <c r="S21" s="25" t="n"/>
      <c r="T21" s="25" t="n"/>
      <c r="U21" s="75" t="n"/>
      <c r="V21" s="25" t="n"/>
      <c r="W21" s="25" t="n"/>
      <c r="X21" s="25" t="n"/>
      <c r="Y21" s="55" t="n"/>
      <c r="AA21" s="25" t="n"/>
      <c r="AB21" s="56" t="n"/>
      <c r="AD21" s="286">
        <f>IF($AU$5=TRUE,L53+1,"")</f>
        <v/>
      </c>
      <c r="AG21" s="255" t="n"/>
      <c r="AH21" s="58">
        <f>Games!L48</f>
        <v/>
      </c>
      <c r="AI21" s="250">
        <f>_xlfn.XLOOKUP(AJ21,Teams!$C:$C,Teams!$E:$E,,0,1)</f>
        <v/>
      </c>
      <c r="AJ21" s="263">
        <f>Games!O25</f>
        <v/>
      </c>
      <c r="AK21" s="58">
        <f>Games!L25</f>
        <v/>
      </c>
      <c r="AL21" s="46">
        <f>_xlfn.XLOOKUP(AM21,Teams!$C:$C,Teams!$E:$E,,0,1)</f>
        <v/>
      </c>
      <c r="AM21" s="37">
        <f>Games!G25</f>
        <v/>
      </c>
      <c r="AN21" s="27" t="n">
        <v>6</v>
      </c>
      <c r="AO21" s="287" t="n"/>
      <c r="AQ21" s="9" t="n"/>
    </row>
    <row r="22" ht="10.5" customHeight="1" thickBot="1">
      <c r="B22" s="28" t="n"/>
      <c r="C22" s="38" t="n"/>
      <c r="D22" s="71" t="n"/>
      <c r="E22" s="49" t="n"/>
      <c r="F22" s="303" t="n"/>
      <c r="G22" s="307" t="n"/>
      <c r="H22" s="308" t="n"/>
      <c r="I22" s="255" t="n"/>
      <c r="J22" s="255" t="n"/>
      <c r="L22" s="25" t="n"/>
      <c r="M22" s="25" t="n"/>
      <c r="N22" s="50" t="n"/>
      <c r="O22" s="25" t="n"/>
      <c r="P22" s="25" t="n"/>
      <c r="Q22" s="50" t="n"/>
      <c r="R22" s="25" t="n"/>
      <c r="S22" s="25" t="n"/>
      <c r="T22" s="25" t="n"/>
      <c r="U22" s="75" t="n"/>
      <c r="V22" s="25" t="n"/>
      <c r="W22" s="25" t="n"/>
      <c r="X22" s="25" t="n"/>
      <c r="Y22" s="56" t="n"/>
      <c r="AA22" s="25" t="n"/>
      <c r="AB22" s="56" t="n"/>
      <c r="AD22" s="29" t="n"/>
      <c r="AG22" s="255" t="n"/>
      <c r="AH22" s="308" t="n"/>
      <c r="AI22" s="303" t="n"/>
      <c r="AJ22" s="303" t="n"/>
      <c r="AK22" s="55" t="n"/>
      <c r="AM22" s="39" t="n"/>
      <c r="AN22" s="28" t="n"/>
      <c r="AO22" s="287">
        <f>IF($AU$5=TRUE,AO18+1,"")</f>
        <v/>
      </c>
      <c r="AQ22" s="288" t="n"/>
    </row>
    <row r="23" ht="13.8" customHeight="1" thickBot="1">
      <c r="A23" s="286" t="n"/>
      <c r="B23" s="27" t="n">
        <v>11</v>
      </c>
      <c r="C23" s="40">
        <f>Games!I9</f>
        <v/>
      </c>
      <c r="D23" s="70">
        <f>_xlfn.XLOOKUP(C23,Teams!$C:$C,Teams!$E:$E,,0,1)</f>
        <v/>
      </c>
      <c r="E23" s="48">
        <f>Games!N9</f>
        <v/>
      </c>
      <c r="F23" s="282">
        <f>IF($AU$5=TRUE,F15+1,"")</f>
        <v/>
      </c>
      <c r="G23" s="282" t="n"/>
      <c r="H23" s="49" t="n"/>
      <c r="I23" s="280">
        <f>Games!O40</f>
        <v/>
      </c>
      <c r="J23" s="248">
        <f>_xlfn.XLOOKUP(I23,Teams!$C:$C,Teams!$E:$E,,0,1)</f>
        <v/>
      </c>
      <c r="K23" s="58">
        <f>Games!L56</f>
        <v/>
      </c>
      <c r="L23" s="25" t="n"/>
      <c r="M23" s="25" t="n"/>
      <c r="N23" s="50" t="n"/>
      <c r="O23" s="25" t="n"/>
      <c r="P23" s="25" t="n"/>
      <c r="Q23" s="50" t="n"/>
      <c r="R23" s="25" t="n"/>
      <c r="S23" s="25" t="n"/>
      <c r="T23" s="25" t="n"/>
      <c r="U23" s="75" t="n"/>
      <c r="V23" s="25" t="n"/>
      <c r="W23" s="25" t="n"/>
      <c r="X23" s="25" t="n"/>
      <c r="Y23" s="56" t="n"/>
      <c r="AA23" s="25" t="n"/>
      <c r="AB23" s="56" t="n"/>
      <c r="AD23" s="25" t="n"/>
      <c r="AE23" s="58">
        <f>Games!L60</f>
        <v/>
      </c>
      <c r="AF23" s="250">
        <f>_xlfn.XLOOKUP(AG23,Teams!$C:$C,Teams!$E:$E,,0,1)</f>
        <v/>
      </c>
      <c r="AG23" s="263">
        <f>Games!O48</f>
        <v/>
      </c>
      <c r="AH23" s="55" t="n"/>
      <c r="AI23" s="51" t="n"/>
      <c r="AJ23" s="282">
        <f>IF($AU$5=TRUE,AJ15+1,"")</f>
        <v/>
      </c>
      <c r="AK23" s="59">
        <f>Games!N25</f>
        <v/>
      </c>
      <c r="AL23" s="46">
        <f>_xlfn.XLOOKUP(AM23,Teams!$C:$C,Teams!$E:$E,,0,1)</f>
        <v/>
      </c>
      <c r="AM23" s="37">
        <f>Games!I25</f>
        <v/>
      </c>
      <c r="AN23" s="27" t="n">
        <v>11</v>
      </c>
    </row>
    <row r="24" ht="10.5" customHeight="1" thickBot="1">
      <c r="A24" s="286" t="n"/>
      <c r="B24" s="28" t="n"/>
      <c r="C24" s="38" t="n"/>
      <c r="D24" s="71" t="n"/>
      <c r="G24" s="283" t="n"/>
      <c r="H24" s="50" t="n"/>
      <c r="I24" s="302" t="n"/>
      <c r="J24" s="307" t="n"/>
      <c r="K24" s="308" t="n"/>
      <c r="L24" s="25" t="n"/>
      <c r="M24" s="25" t="n"/>
      <c r="N24" s="50" t="n"/>
      <c r="O24" s="25" t="n"/>
      <c r="P24" s="25" t="n"/>
      <c r="Q24" s="50" t="n"/>
      <c r="R24" s="25" t="n"/>
      <c r="S24" s="25" t="n"/>
      <c r="T24" s="25" t="n"/>
      <c r="U24" s="75" t="n"/>
      <c r="V24" s="25" t="n"/>
      <c r="W24" s="25" t="n"/>
      <c r="X24" s="25" t="n"/>
      <c r="Y24" s="56" t="n"/>
      <c r="AA24" s="25" t="n"/>
      <c r="AB24" s="56" t="n"/>
      <c r="AD24" s="25" t="n"/>
      <c r="AE24" s="308" t="n"/>
      <c r="AF24" s="303" t="n"/>
      <c r="AG24" s="303" t="n"/>
      <c r="AH24" s="56" t="n"/>
      <c r="AM24" s="39" t="n"/>
      <c r="AN24" s="28" t="n"/>
      <c r="AO24" s="287" t="n"/>
    </row>
    <row r="25" ht="18.6" customHeight="1" thickBot="1">
      <c r="A25" s="286" t="n"/>
      <c r="B25" s="27" t="n">
        <v>3</v>
      </c>
      <c r="C25" s="36">
        <f>Games!G10</f>
        <v/>
      </c>
      <c r="D25" s="70">
        <f>_xlfn.XLOOKUP(C25,Teams!$C:$C,Teams!$E:$E,,0,1)</f>
        <v/>
      </c>
      <c r="E25" s="46">
        <f>Games!L10</f>
        <v/>
      </c>
      <c r="F25" s="263">
        <f>Games!O10</f>
        <v/>
      </c>
      <c r="G25" s="248">
        <f>_xlfn.XLOOKUP(F25,Teams!$C:$C,Teams!$E:$E,,0,1)</f>
        <v/>
      </c>
      <c r="H25" s="310">
        <f>Games!N40</f>
        <v/>
      </c>
      <c r="I25" s="255" t="n"/>
      <c r="J25" s="255" t="n"/>
      <c r="K25" s="49" t="n"/>
      <c r="L25" s="25" t="n"/>
      <c r="M25" s="25" t="n"/>
      <c r="N25" s="50" t="n"/>
      <c r="O25" s="25" t="n"/>
      <c r="P25" s="25" t="n"/>
      <c r="Q25" s="50" t="n"/>
      <c r="R25" s="25" t="n"/>
      <c r="S25" s="25" t="n"/>
      <c r="T25" s="25" t="n"/>
      <c r="U25" s="75" t="n"/>
      <c r="V25" s="25" t="n"/>
      <c r="W25" s="25" t="n"/>
      <c r="X25" s="25" t="n"/>
      <c r="Y25" s="56" t="n"/>
      <c r="AA25" s="25" t="n"/>
      <c r="AB25" s="56" t="n"/>
      <c r="AD25" s="25" t="n"/>
      <c r="AE25" s="55" t="n"/>
      <c r="AG25" s="255" t="n"/>
      <c r="AH25" s="59">
        <f>Games!N48</f>
        <v/>
      </c>
      <c r="AI25" s="250">
        <f>_xlfn.XLOOKUP(AJ25,Teams!$C:$C,Teams!$E:$E,,0,1)</f>
        <v/>
      </c>
      <c r="AJ25" s="263">
        <f>Games!O26</f>
        <v/>
      </c>
      <c r="AK25" s="58">
        <f>Games!L26</f>
        <v/>
      </c>
      <c r="AL25" s="46">
        <f>_xlfn.XLOOKUP(AM25,Teams!$C:$C,Teams!$E:$E,,0,1)</f>
        <v/>
      </c>
      <c r="AM25" s="37">
        <f>Games!G26</f>
        <v/>
      </c>
      <c r="AN25" s="27" t="n">
        <v>3</v>
      </c>
      <c r="AO25" s="287" t="n"/>
    </row>
    <row r="26" ht="10.5" customHeight="1" thickBot="1">
      <c r="A26" s="283">
        <f>IF($AU$5=TRUE,A21+1,"")</f>
        <v/>
      </c>
      <c r="B26" s="28" t="n"/>
      <c r="C26" s="38" t="n"/>
      <c r="D26" s="71" t="n"/>
      <c r="E26" s="49" t="n"/>
      <c r="F26" s="303" t="n"/>
      <c r="G26" s="307" t="n"/>
      <c r="H26" s="311" t="n"/>
      <c r="I26" s="255" t="n"/>
      <c r="J26" s="255" t="n"/>
      <c r="K26" s="50" t="n"/>
      <c r="L26" s="25" t="n"/>
      <c r="M26" s="25" t="n"/>
      <c r="N26" s="50" t="n"/>
      <c r="O26" s="25" t="n"/>
      <c r="P26" s="25" t="n"/>
      <c r="Q26" s="50" t="n"/>
      <c r="R26" s="25" t="n"/>
      <c r="S26" s="25" t="n"/>
      <c r="T26" s="53" t="n"/>
      <c r="U26" s="76" t="n"/>
      <c r="V26" s="53" t="n"/>
      <c r="W26" s="25" t="n"/>
      <c r="X26" s="25" t="n"/>
      <c r="Y26" s="56" t="n"/>
      <c r="AA26" s="25" t="n"/>
      <c r="AB26" s="56" t="n"/>
      <c r="AD26" s="25" t="n"/>
      <c r="AE26" s="56" t="n"/>
      <c r="AG26" s="255" t="n"/>
      <c r="AH26" s="312" t="n"/>
      <c r="AI26" s="303" t="n"/>
      <c r="AJ26" s="303" t="n"/>
      <c r="AK26" s="55" t="n"/>
      <c r="AM26" s="39" t="n"/>
      <c r="AN26" s="28" t="n"/>
      <c r="AO26" s="287">
        <f>IF($AU$5=TRUE,AO22+1,"")</f>
        <v/>
      </c>
    </row>
    <row r="27" ht="13.8" customHeight="1" thickBot="1">
      <c r="B27" s="27" t="n">
        <v>14</v>
      </c>
      <c r="C27" s="36">
        <f>Games!I10</f>
        <v/>
      </c>
      <c r="D27" s="70">
        <f>_xlfn.XLOOKUP(C27,Teams!$C:$C,Teams!$E:$E,,0,1)</f>
        <v/>
      </c>
      <c r="E27" s="48">
        <f>Games!N10</f>
        <v/>
      </c>
      <c r="F27" s="255" t="n"/>
      <c r="G27" s="255" t="n"/>
      <c r="I27" s="283">
        <f>IF($AU$5=TRUE,I11+1,"")</f>
        <v/>
      </c>
      <c r="J27" s="283" t="n"/>
      <c r="K27" s="50" t="n"/>
      <c r="L27" s="280">
        <f>Games!O56</f>
        <v/>
      </c>
      <c r="M27" s="248">
        <f>_xlfn.XLOOKUP(L27,Teams!$C:$C,Teams!$E:$E,,0,1)</f>
        <v/>
      </c>
      <c r="N27" s="310">
        <f>Games!N64</f>
        <v/>
      </c>
      <c r="O27" s="25" t="n"/>
      <c r="P27" s="25" t="n"/>
      <c r="Q27" s="50" t="n"/>
      <c r="R27" s="280">
        <f>Games!O69</f>
        <v/>
      </c>
      <c r="U27" s="290">
        <f>_xlfn.XLOOKUP(R27,Teams!$C:$C,Teams!$E:$E,,0,1)</f>
        <v/>
      </c>
      <c r="V27" s="317">
        <f>Games!L72</f>
        <v/>
      </c>
      <c r="W27" s="255" t="n"/>
      <c r="X27" s="25" t="n"/>
      <c r="Y27" s="56" t="n"/>
      <c r="AA27" s="25" t="n"/>
      <c r="AB27" s="59">
        <f>Games!N66</f>
        <v/>
      </c>
      <c r="AC27" s="250">
        <f>_xlfn.XLOOKUP(AD27,Teams!$C:$C,Teams!$E:$E,,0,1)</f>
        <v/>
      </c>
      <c r="AD27" s="263">
        <f>Games!O60</f>
        <v/>
      </c>
      <c r="AE27" s="56" t="n"/>
      <c r="AG27" s="283">
        <f>IF($AU$5=TRUE,AG11+1,"")</f>
        <v/>
      </c>
      <c r="AJ27" s="255" t="n"/>
      <c r="AK27" s="59">
        <f>Games!N26</f>
        <v/>
      </c>
      <c r="AL27" s="46">
        <f>_xlfn.XLOOKUP(AM27,Teams!$C:$C,Teams!$E:$E,,0,1)</f>
        <v/>
      </c>
      <c r="AM27" s="37">
        <f>Games!I26</f>
        <v/>
      </c>
      <c r="AN27" s="27" t="n">
        <v>14</v>
      </c>
    </row>
    <row r="28" ht="10.5" customHeight="1" thickBot="1">
      <c r="A28" s="286" t="n"/>
      <c r="B28" s="28" t="n"/>
      <c r="C28" s="38" t="n"/>
      <c r="D28" s="71" t="n"/>
      <c r="F28" s="255" t="n"/>
      <c r="G28" s="255" t="n"/>
      <c r="J28" s="283" t="n"/>
      <c r="K28" s="50" t="n"/>
      <c r="L28" s="302" t="n"/>
      <c r="M28" s="307" t="n"/>
      <c r="N28" s="311" t="n"/>
      <c r="O28" s="25" t="n"/>
      <c r="P28" s="25" t="n"/>
      <c r="Q28" s="50" t="n"/>
      <c r="R28" s="302" t="n"/>
      <c r="S28" s="303" t="n"/>
      <c r="T28" s="303" t="n"/>
      <c r="U28" s="307" t="n"/>
      <c r="V28" s="308" t="n"/>
      <c r="W28" s="255" t="n"/>
      <c r="X28" s="25" t="n"/>
      <c r="Y28" s="56" t="n"/>
      <c r="AA28" s="25" t="n"/>
      <c r="AB28" s="312" t="n"/>
      <c r="AC28" s="303" t="n"/>
      <c r="AD28" s="303" t="n"/>
      <c r="AE28" s="56" t="n"/>
      <c r="AJ28" s="255" t="n"/>
      <c r="AM28" s="39" t="n"/>
      <c r="AN28" s="28" t="n"/>
      <c r="AO28" s="287" t="n"/>
    </row>
    <row r="29" ht="18.6" customHeight="1" thickBot="1">
      <c r="A29" s="286" t="n"/>
      <c r="B29" s="27" t="n">
        <v>7</v>
      </c>
      <c r="C29" s="36">
        <f>Games!G11</f>
        <v/>
      </c>
      <c r="D29" s="70">
        <f>_xlfn.XLOOKUP(C29,Teams!$C:$C,Teams!$E:$E,,0,1)</f>
        <v/>
      </c>
      <c r="E29" s="46">
        <f>Games!L11</f>
        <v/>
      </c>
      <c r="F29" s="263">
        <f>Games!O11</f>
        <v/>
      </c>
      <c r="G29" s="248">
        <f>_xlfn.XLOOKUP(F29,Teams!$C:$C,Teams!$E:$E,,0,1)</f>
        <v/>
      </c>
      <c r="H29" s="58">
        <f>Games!L41</f>
        <v/>
      </c>
      <c r="I29" s="255" t="n"/>
      <c r="J29" s="255" t="n"/>
      <c r="K29" s="50" t="n"/>
      <c r="L29" s="25" t="n"/>
      <c r="M29" s="25" t="n"/>
      <c r="O29" s="25" t="n"/>
      <c r="P29" s="25" t="n"/>
      <c r="Q29" s="50" t="n"/>
      <c r="R29" s="25" t="n"/>
      <c r="S29" s="25" t="n"/>
      <c r="T29" s="53" t="n"/>
      <c r="U29" s="76" t="n"/>
      <c r="V29" s="53" t="n"/>
      <c r="W29" s="25" t="n"/>
      <c r="X29" s="25" t="n"/>
      <c r="Y29" s="56" t="n"/>
      <c r="AA29" s="25" t="n"/>
      <c r="AD29" s="25" t="n"/>
      <c r="AE29" s="56" t="n"/>
      <c r="AG29" s="255" t="n"/>
      <c r="AH29" s="58">
        <f>Games!L49</f>
        <v/>
      </c>
      <c r="AI29" s="250">
        <f>_xlfn.XLOOKUP(AJ29,Teams!$C:$C,Teams!$E:$E,,0,1)</f>
        <v/>
      </c>
      <c r="AJ29" s="263">
        <f>Games!O27</f>
        <v/>
      </c>
      <c r="AK29" s="58">
        <f>Games!L27</f>
        <v/>
      </c>
      <c r="AL29" s="46">
        <f>_xlfn.XLOOKUP(AM29,Teams!$C:$C,Teams!$E:$E,,0,1)</f>
        <v/>
      </c>
      <c r="AM29" s="37">
        <f>Games!G27</f>
        <v/>
      </c>
      <c r="AN29" s="27" t="n">
        <v>7</v>
      </c>
      <c r="AO29" s="287" t="n"/>
      <c r="AP29" s="11" t="inlineStr">
        <is>
          <t>x</t>
        </is>
      </c>
      <c r="AQ29" s="12" t="inlineStr">
        <is>
          <t>Show Game Numbers</t>
        </is>
      </c>
    </row>
    <row r="30" ht="10.2" customHeight="1" thickBot="1">
      <c r="A30" s="283">
        <f>IF($AU$5=TRUE,A26+1,"")</f>
        <v/>
      </c>
      <c r="B30" s="28" t="n"/>
      <c r="C30" s="38" t="n"/>
      <c r="D30" s="71" t="n"/>
      <c r="E30" s="49" t="n"/>
      <c r="F30" s="303" t="n"/>
      <c r="G30" s="307" t="n"/>
      <c r="H30" s="308" t="n"/>
      <c r="I30" s="255" t="n"/>
      <c r="J30" s="255" t="n"/>
      <c r="K30" s="50" t="n"/>
      <c r="L30" s="25" t="n"/>
      <c r="M30" s="25" t="n"/>
      <c r="O30" s="25" t="n"/>
      <c r="P30" s="25" t="n"/>
      <c r="Q30" s="50" t="n"/>
      <c r="R30" s="25" t="n"/>
      <c r="S30" s="25" t="n"/>
      <c r="T30" s="53" t="n"/>
      <c r="U30" s="76" t="n"/>
      <c r="V30" s="53" t="n"/>
      <c r="W30" s="25" t="n"/>
      <c r="X30" s="25" t="n"/>
      <c r="Y30" s="56" t="n"/>
      <c r="AA30" s="25" t="n"/>
      <c r="AD30" s="25" t="n"/>
      <c r="AE30" s="56" t="n"/>
      <c r="AG30" s="255" t="n"/>
      <c r="AH30" s="308" t="n"/>
      <c r="AI30" s="303" t="n"/>
      <c r="AJ30" s="303" t="n"/>
      <c r="AK30" s="55" t="n"/>
      <c r="AM30" s="39" t="n"/>
      <c r="AN30" s="28" t="n"/>
      <c r="AO30" s="287">
        <f>IF($AU$5=TRUE,AO26+1,"")</f>
        <v/>
      </c>
    </row>
    <row r="31" ht="14.4" customHeight="1" thickBot="1">
      <c r="B31" s="27" t="n">
        <v>10</v>
      </c>
      <c r="C31" s="36">
        <f>Games!I14</f>
        <v/>
      </c>
      <c r="D31" s="70">
        <f>_xlfn.XLOOKUP(C31,Teams!$C:$C,Teams!$E:$E,,0,1)</f>
        <v/>
      </c>
      <c r="E31" s="48">
        <f>Games!N11</f>
        <v/>
      </c>
      <c r="F31" s="282">
        <f>IF($AU$5=TRUE,F23+1,"")</f>
        <v/>
      </c>
      <c r="G31" s="282" t="n"/>
      <c r="H31" s="49" t="n"/>
      <c r="I31" s="280">
        <f>Games!O41</f>
        <v/>
      </c>
      <c r="J31" s="248">
        <f>_xlfn.XLOOKUP(I31,Teams!$C:$C,Teams!$E:$E,,0,1)</f>
        <v/>
      </c>
      <c r="K31" s="310">
        <f>Games!N56</f>
        <v/>
      </c>
      <c r="L31" s="25" t="n"/>
      <c r="M31" s="25" t="n"/>
      <c r="O31" s="25" t="n"/>
      <c r="P31" s="25" t="n"/>
      <c r="Q31" s="50" t="n"/>
      <c r="R31" s="4" t="n"/>
      <c r="S31" s="255" t="inlineStr">
        <is>
          <t>National Champion</t>
        </is>
      </c>
      <c r="X31" s="5" t="n"/>
      <c r="Y31" s="56" t="n"/>
      <c r="AA31" s="25" t="n"/>
      <c r="AD31" s="25" t="n"/>
      <c r="AE31" s="59">
        <f>Games!N60</f>
        <v/>
      </c>
      <c r="AF31" s="250">
        <f>_xlfn.XLOOKUP(AG31,Teams!$C:$C,Teams!$E:$E,,0,1)</f>
        <v/>
      </c>
      <c r="AG31" s="263">
        <f>Games!O49</f>
        <v/>
      </c>
      <c r="AH31" s="55" t="n"/>
      <c r="AI31" s="51" t="n"/>
      <c r="AJ31" s="282">
        <f>IF($AU$5=TRUE,AJ23+1,"")</f>
        <v/>
      </c>
      <c r="AK31" s="59">
        <f>Games!N27</f>
        <v/>
      </c>
      <c r="AL31" s="46">
        <f>_xlfn.XLOOKUP(AM31,Teams!$C:$C,Teams!$E:$E,,0,1)</f>
        <v/>
      </c>
      <c r="AM31" s="37">
        <f>Games!I27</f>
        <v/>
      </c>
      <c r="AN31" s="27" t="n">
        <v>10</v>
      </c>
    </row>
    <row r="32" ht="10.5" customHeight="1" thickBot="1">
      <c r="A32" s="286" t="n"/>
      <c r="B32" s="28" t="n"/>
      <c r="C32" s="38" t="n"/>
      <c r="D32" s="71" t="n"/>
      <c r="G32" s="283" t="n"/>
      <c r="H32" s="50" t="n"/>
      <c r="I32" s="302" t="n"/>
      <c r="J32" s="307" t="n"/>
      <c r="K32" s="311" t="n"/>
      <c r="L32" s="25" t="n"/>
      <c r="M32" s="25" t="n"/>
      <c r="O32" s="25" t="n"/>
      <c r="P32" s="25" t="n"/>
      <c r="Q32" s="50" t="n"/>
      <c r="R32" s="30" t="n"/>
      <c r="S32" s="318">
        <f>Games!O72</f>
        <v/>
      </c>
      <c r="T32" s="299" t="n"/>
      <c r="U32" s="299" t="n"/>
      <c r="V32" s="299" t="n"/>
      <c r="W32" s="314" t="n"/>
      <c r="X32" s="31" t="n"/>
      <c r="Y32" s="56" t="n"/>
      <c r="AA32" s="25" t="n"/>
      <c r="AD32" s="25" t="n"/>
      <c r="AE32" s="312" t="n"/>
      <c r="AF32" s="303" t="n"/>
      <c r="AG32" s="303" t="n"/>
      <c r="AH32" s="56" t="n"/>
      <c r="AM32" s="39" t="n"/>
      <c r="AN32" s="28" t="n"/>
      <c r="AO32" s="287" t="n"/>
    </row>
    <row r="33" ht="18.6" customHeight="1" thickBot="1">
      <c r="A33" s="286" t="n"/>
      <c r="B33" s="27" t="n">
        <v>2</v>
      </c>
      <c r="C33" s="36">
        <f>Games!G12</f>
        <v/>
      </c>
      <c r="D33" s="70">
        <f>_xlfn.XLOOKUP(C33,Teams!$C:$C,Teams!$E:$E,,0,1)</f>
        <v/>
      </c>
      <c r="E33" s="46">
        <f>Games!L12</f>
        <v/>
      </c>
      <c r="F33" s="263">
        <f>Games!O12</f>
        <v/>
      </c>
      <c r="G33" s="248">
        <f>_xlfn.XLOOKUP(F33,Teams!$C:$C,Teams!$E:$E,,0,1)</f>
        <v/>
      </c>
      <c r="H33" s="310">
        <f>Games!N41</f>
        <v/>
      </c>
      <c r="I33" s="255" t="n"/>
      <c r="J33" s="255" t="n"/>
      <c r="L33" s="25" t="n"/>
      <c r="M33" s="25" t="n"/>
      <c r="O33" s="25" t="n"/>
      <c r="P33" s="25" t="n"/>
      <c r="Q33" s="50" t="n"/>
      <c r="R33" s="30" t="n"/>
      <c r="S33" s="302" t="n"/>
      <c r="T33" s="303" t="n"/>
      <c r="U33" s="303" t="n"/>
      <c r="V33" s="303" t="n"/>
      <c r="W33" s="304" t="n"/>
      <c r="X33" s="31" t="n"/>
      <c r="Y33" s="56" t="n"/>
      <c r="AA33" s="25" t="n"/>
      <c r="AD33" s="25" t="n"/>
      <c r="AG33" s="255" t="n"/>
      <c r="AH33" s="59">
        <f>Games!N49</f>
        <v/>
      </c>
      <c r="AI33" s="250">
        <f>_xlfn.XLOOKUP(AJ33,Teams!$C:$C,Teams!$E:$E,,0,1)</f>
        <v/>
      </c>
      <c r="AJ33" s="263">
        <f>Games!O28</f>
        <v/>
      </c>
      <c r="AK33" s="58">
        <f>Games!L28</f>
        <v/>
      </c>
      <c r="AL33" s="46">
        <f>_xlfn.XLOOKUP(AM33,Teams!$C:$C,Teams!$E:$E,,0,1)</f>
        <v/>
      </c>
      <c r="AM33" s="37">
        <f>Games!G28</f>
        <v/>
      </c>
      <c r="AN33" s="27" t="n">
        <v>2</v>
      </c>
      <c r="AO33" s="287" t="n"/>
      <c r="AQ33" s="9" t="n"/>
    </row>
    <row r="34" ht="10.5" customHeight="1" thickBot="1">
      <c r="A34" s="283">
        <f>IF($AU$5=TRUE,A30+1,"")</f>
        <v/>
      </c>
      <c r="B34" s="28" t="n"/>
      <c r="C34" s="38" t="n"/>
      <c r="D34" s="71" t="n"/>
      <c r="E34" s="49" t="n"/>
      <c r="F34" s="303" t="n"/>
      <c r="G34" s="307" t="n"/>
      <c r="H34" s="311" t="n"/>
      <c r="I34" s="255" t="n"/>
      <c r="J34" s="255" t="n"/>
      <c r="L34" s="25" t="n"/>
      <c r="M34" s="25" t="n"/>
      <c r="O34" s="25" t="n"/>
      <c r="P34" s="25" t="n"/>
      <c r="Q34" s="50" t="n"/>
      <c r="R34" s="25" t="n"/>
      <c r="S34" s="25" t="n"/>
      <c r="T34" s="53" t="n"/>
      <c r="U34" s="76" t="n"/>
      <c r="V34" s="53" t="n"/>
      <c r="W34" s="25" t="n"/>
      <c r="X34" s="25" t="n"/>
      <c r="Y34" s="56" t="n"/>
      <c r="AA34" s="25" t="n"/>
      <c r="AD34" s="25" t="n"/>
      <c r="AG34" s="255" t="n"/>
      <c r="AH34" s="312" t="n"/>
      <c r="AI34" s="303" t="n"/>
      <c r="AJ34" s="303" t="n"/>
      <c r="AK34" s="55" t="n"/>
      <c r="AM34" s="39" t="n"/>
      <c r="AN34" s="28" t="n"/>
      <c r="AO34" s="287">
        <f>IF($AU$5=TRUE,AO30+1,"")</f>
        <v/>
      </c>
      <c r="AQ34" s="288" t="n"/>
    </row>
    <row r="35" ht="16.2" customHeight="1" thickBot="1">
      <c r="B35" s="27" t="n">
        <v>15</v>
      </c>
      <c r="C35" s="36">
        <f>Games!I12</f>
        <v/>
      </c>
      <c r="D35" s="70">
        <f>_xlfn.XLOOKUP(C35,Teams!$C:$C,Teams!$E:$E,,0,1)</f>
        <v/>
      </c>
      <c r="E35" s="48">
        <f>Games!N12</f>
        <v/>
      </c>
      <c r="F35" s="255" t="n"/>
      <c r="G35" s="255" t="n"/>
      <c r="I35" s="255" t="n"/>
      <c r="J35" s="255" t="n"/>
      <c r="L35" s="25" t="n"/>
      <c r="M35" s="25" t="n"/>
      <c r="O35" s="18">
        <f>IF($AU$5=TRUE,AD53+1,"")</f>
        <v/>
      </c>
      <c r="P35" s="18" t="n"/>
      <c r="Q35" s="50" t="n"/>
      <c r="R35" s="25" t="n"/>
      <c r="S35" s="25" t="n"/>
      <c r="T35" s="283">
        <f>IF($AU$5=TRUE,AA35+1,"")</f>
        <v/>
      </c>
      <c r="W35" s="25" t="n"/>
      <c r="X35" s="25" t="n"/>
      <c r="Y35" s="56" t="n"/>
      <c r="AA35" s="286">
        <f>IF($AU$5=TRUE,O35+1,"")</f>
        <v/>
      </c>
      <c r="AD35" s="25" t="n"/>
      <c r="AG35" s="255" t="n"/>
      <c r="AJ35" s="255" t="n"/>
      <c r="AK35" s="59">
        <f>Games!N28</f>
        <v/>
      </c>
      <c r="AL35" s="46">
        <f>_xlfn.XLOOKUP(AM35,Teams!$C:$C,Teams!$E:$E,,0,1)</f>
        <v/>
      </c>
      <c r="AM35" s="37">
        <f>Games!I28</f>
        <v/>
      </c>
      <c r="AN35" s="27" t="n">
        <v>15</v>
      </c>
    </row>
    <row r="36" ht="10.5" customHeight="1">
      <c r="A36" s="286" t="n"/>
      <c r="B36" s="28" t="n"/>
      <c r="C36" s="38" t="n"/>
      <c r="D36" s="71" t="n"/>
      <c r="F36" s="255" t="n"/>
      <c r="G36" s="255" t="n"/>
      <c r="I36" s="255" t="n"/>
      <c r="J36" s="255" t="n"/>
      <c r="L36" s="25" t="n"/>
      <c r="M36" s="25" t="n"/>
      <c r="O36" s="25" t="n"/>
      <c r="P36" s="25" t="n"/>
      <c r="Q36" s="50" t="n"/>
      <c r="R36" s="25" t="n"/>
      <c r="S36" s="25" t="n"/>
      <c r="T36" s="53" t="n"/>
      <c r="U36" s="76" t="n"/>
      <c r="V36" s="53" t="n"/>
      <c r="W36" s="25" t="n"/>
      <c r="X36" s="25" t="n"/>
      <c r="Y36" s="56" t="n"/>
      <c r="AA36" s="25" t="n"/>
      <c r="AD36" s="25" t="n"/>
      <c r="AG36" s="255" t="n"/>
      <c r="AJ36" s="255" t="n"/>
      <c r="AM36" s="39" t="n"/>
      <c r="AN36" s="28" t="n"/>
      <c r="AO36" s="287" t="n"/>
    </row>
    <row r="37" ht="18.6" customHeight="1" thickBot="1">
      <c r="A37" s="286" t="n"/>
      <c r="B37" s="27" t="n">
        <v>1</v>
      </c>
      <c r="C37" s="36">
        <f>Games!G13</f>
        <v/>
      </c>
      <c r="D37" s="70">
        <f>_xlfn.XLOOKUP(C37,Teams!$C:$C,Teams!$E:$E,,0,1)</f>
        <v/>
      </c>
      <c r="E37" s="46">
        <f>Games!L13</f>
        <v/>
      </c>
      <c r="F37" s="263">
        <f>Games!O13</f>
        <v/>
      </c>
      <c r="G37" s="248">
        <f>_xlfn.XLOOKUP(F37,Teams!$C:$C,Teams!$E:$E,,0,1)</f>
        <v/>
      </c>
      <c r="H37" s="58">
        <f>Games!L42</f>
        <v/>
      </c>
      <c r="I37" s="255" t="n"/>
      <c r="J37" s="255" t="n"/>
      <c r="L37" s="25" t="n"/>
      <c r="M37" s="25" t="n"/>
      <c r="O37" s="25" t="n"/>
      <c r="P37" s="25" t="n"/>
      <c r="Q37" s="50" t="n"/>
      <c r="R37" s="25" t="n"/>
      <c r="S37" s="25" t="n"/>
      <c r="T37" s="53" t="n"/>
      <c r="U37" s="76" t="n"/>
      <c r="V37" s="53" t="n"/>
      <c r="W37" s="25" t="n"/>
      <c r="X37" s="25" t="n"/>
      <c r="Y37" s="56" t="n"/>
      <c r="AA37" s="25" t="n"/>
      <c r="AD37" s="25" t="n"/>
      <c r="AG37" s="255" t="n"/>
      <c r="AH37" s="58">
        <f>Games!L50</f>
        <v/>
      </c>
      <c r="AI37" s="250">
        <f>_xlfn.XLOOKUP(AJ37,Teams!$C:$C,Teams!$E:$E,,0,1)</f>
        <v/>
      </c>
      <c r="AJ37" s="263">
        <f>Games!O29</f>
        <v/>
      </c>
      <c r="AK37" s="58">
        <f>Games!L29</f>
        <v/>
      </c>
      <c r="AL37" s="46">
        <f>_xlfn.XLOOKUP(AM37,Teams!$C:$C,Teams!$E:$E,,0,1)</f>
        <v/>
      </c>
      <c r="AM37" s="37">
        <f>Games!G29</f>
        <v/>
      </c>
      <c r="AN37" s="27" t="n">
        <v>1</v>
      </c>
      <c r="AO37" s="287" t="n"/>
    </row>
    <row r="38" ht="10.5" customHeight="1" thickBot="1">
      <c r="A38" s="283">
        <f>IF($AU$5=TRUE,A34+1,"")</f>
        <v/>
      </c>
      <c r="B38" s="28" t="n"/>
      <c r="C38" s="38" t="n"/>
      <c r="D38" s="71" t="n"/>
      <c r="E38" s="49" t="n"/>
      <c r="F38" s="303" t="n"/>
      <c r="G38" s="307" t="n"/>
      <c r="H38" s="308" t="n"/>
      <c r="I38" s="255" t="n"/>
      <c r="J38" s="255" t="n"/>
      <c r="L38" s="25" t="n"/>
      <c r="M38" s="25" t="n"/>
      <c r="O38" s="25" t="n"/>
      <c r="P38" s="25" t="n"/>
      <c r="Q38" s="50" t="n"/>
      <c r="R38" s="25" t="n"/>
      <c r="S38" s="25" t="n"/>
      <c r="T38" s="53" t="n"/>
      <c r="U38" s="76" t="n"/>
      <c r="V38" s="53" t="n"/>
      <c r="W38" s="25" t="n"/>
      <c r="X38" s="25" t="n"/>
      <c r="Y38" s="56" t="n"/>
      <c r="AA38" s="25" t="n"/>
      <c r="AD38" s="25" t="n"/>
      <c r="AG38" s="255" t="n"/>
      <c r="AH38" s="308" t="n"/>
      <c r="AI38" s="303" t="n"/>
      <c r="AJ38" s="303" t="n"/>
      <c r="AK38" s="55" t="n"/>
      <c r="AM38" s="39" t="n"/>
      <c r="AN38" s="28" t="n"/>
      <c r="AO38" s="287">
        <f>IF($AU$5=TRUE,AO34+1,"")</f>
        <v/>
      </c>
    </row>
    <row r="39" ht="13.8" customHeight="1" thickBot="1">
      <c r="B39" s="27" t="n">
        <v>16</v>
      </c>
      <c r="C39" s="36">
        <f>Games!I13</f>
        <v/>
      </c>
      <c r="D39" s="70">
        <f>_xlfn.XLOOKUP(C39,Teams!$C:$C,Teams!$E:$E,,0,1)</f>
        <v/>
      </c>
      <c r="E39" s="48">
        <f>Games!N13</f>
        <v/>
      </c>
      <c r="F39" s="282">
        <f>IF($AU$5=TRUE,F31+1,"")</f>
        <v/>
      </c>
      <c r="G39" s="282" t="n"/>
      <c r="H39" s="49" t="n"/>
      <c r="I39" s="280">
        <f>Games!O42</f>
        <v/>
      </c>
      <c r="J39" s="248">
        <f>_xlfn.XLOOKUP(I39,Teams!$C:$C,Teams!$E:$E,,0,1)</f>
        <v/>
      </c>
      <c r="K39" s="58">
        <f>Games!L57</f>
        <v/>
      </c>
      <c r="L39" s="25" t="n"/>
      <c r="M39" s="25" t="n"/>
      <c r="O39" s="25" t="n"/>
      <c r="P39" s="25" t="n"/>
      <c r="Q39" s="50" t="n"/>
      <c r="R39" s="25" t="n"/>
      <c r="S39" s="25" t="n"/>
      <c r="T39" s="317">
        <f>Games!N72</f>
        <v/>
      </c>
      <c r="U39" s="294">
        <f>_xlfn.XLOOKUP(V39,Teams!$C:$C,Teams!$E:$E,,0,1)</f>
        <v/>
      </c>
      <c r="V39" s="296">
        <f>Games!O70</f>
        <v/>
      </c>
      <c r="X39" s="316" t="n"/>
      <c r="Y39" s="56" t="n"/>
      <c r="AA39" s="25" t="n"/>
      <c r="AD39" s="25" t="n"/>
      <c r="AE39" s="59">
        <f>Games!L61</f>
        <v/>
      </c>
      <c r="AF39" s="250">
        <f>_xlfn.XLOOKUP(AG39,Teams!$C:$C,Teams!$E:$E,,0,1)</f>
        <v/>
      </c>
      <c r="AG39" s="263">
        <f>Games!O50</f>
        <v/>
      </c>
      <c r="AH39" s="55" t="n"/>
      <c r="AI39" s="51" t="n"/>
      <c r="AJ39" s="282">
        <f>IF($AU$5=TRUE,AJ31+1,"")</f>
        <v/>
      </c>
      <c r="AK39" s="59">
        <f>Games!N29</f>
        <v/>
      </c>
      <c r="AL39" s="46">
        <f>_xlfn.XLOOKUP(AM39,Teams!$C:$C,Teams!$E:$E,,0,1)</f>
        <v/>
      </c>
      <c r="AM39" s="37">
        <f>Games!I29</f>
        <v/>
      </c>
      <c r="AN39" s="27" t="n">
        <v>16</v>
      </c>
    </row>
    <row r="40" ht="10.5" customHeight="1" thickBot="1">
      <c r="A40" s="286" t="n"/>
      <c r="B40" s="28" t="n"/>
      <c r="C40" s="38" t="n"/>
      <c r="D40" s="71" t="n"/>
      <c r="G40" s="283" t="n"/>
      <c r="H40" s="50" t="n"/>
      <c r="I40" s="302" t="n"/>
      <c r="J40" s="307" t="n"/>
      <c r="K40" s="308" t="n"/>
      <c r="L40" s="25" t="n"/>
      <c r="M40" s="25" t="n"/>
      <c r="O40" s="25" t="n"/>
      <c r="P40" s="25" t="n"/>
      <c r="Q40" s="50" t="n"/>
      <c r="R40" s="25" t="n"/>
      <c r="S40" s="25" t="n"/>
      <c r="T40" s="308" t="n"/>
      <c r="U40" s="303" t="n"/>
      <c r="V40" s="303" t="n"/>
      <c r="W40" s="303" t="n"/>
      <c r="X40" s="304" t="n"/>
      <c r="Y40" s="56" t="n"/>
      <c r="AA40" s="25" t="n"/>
      <c r="AD40" s="25" t="n"/>
      <c r="AE40" s="312" t="n"/>
      <c r="AF40" s="303" t="n"/>
      <c r="AG40" s="303" t="n"/>
      <c r="AH40" s="56" t="n"/>
      <c r="AM40" s="39" t="n"/>
      <c r="AN40" s="28" t="n"/>
      <c r="AO40" s="287" t="n"/>
    </row>
    <row r="41" ht="18.6" customHeight="1" thickBot="1">
      <c r="A41" s="286" t="n"/>
      <c r="B41" s="27" t="n">
        <v>8</v>
      </c>
      <c r="C41" s="36">
        <f>Games!G14</f>
        <v/>
      </c>
      <c r="D41" s="70">
        <f>_xlfn.XLOOKUP(C41,Teams!$C:$C,Teams!$E:$E,,0,1)</f>
        <v/>
      </c>
      <c r="E41" s="46">
        <f>Games!L14</f>
        <v/>
      </c>
      <c r="F41" s="263">
        <f>Games!O14</f>
        <v/>
      </c>
      <c r="G41" s="248">
        <f>_xlfn.XLOOKUP(F41,Teams!$C:$C,Teams!$E:$E,,0,1)</f>
        <v/>
      </c>
      <c r="H41" s="310">
        <f>Games!N42</f>
        <v/>
      </c>
      <c r="I41" s="255" t="n"/>
      <c r="J41" s="255" t="n"/>
      <c r="K41" s="49" t="n"/>
      <c r="L41" s="25" t="n"/>
      <c r="M41" s="25" t="n"/>
      <c r="O41" s="25" t="n"/>
      <c r="P41" s="25" t="n"/>
      <c r="Q41" s="50" t="n"/>
      <c r="R41" s="25" t="n"/>
      <c r="S41" s="25" t="n"/>
      <c r="T41" s="53" t="n"/>
      <c r="U41" s="76" t="n"/>
      <c r="V41" s="53" t="n"/>
      <c r="W41" s="25" t="n"/>
      <c r="X41" s="25" t="n"/>
      <c r="Y41" s="56" t="n"/>
      <c r="AA41" s="25" t="n"/>
      <c r="AD41" s="25" t="n"/>
      <c r="AE41" s="55" t="n"/>
      <c r="AG41" s="255" t="n"/>
      <c r="AH41" s="59">
        <f>Games!N50</f>
        <v/>
      </c>
      <c r="AI41" s="250">
        <f>_xlfn.XLOOKUP(AJ41,Teams!$C:$C,Teams!$E:$E,,0,1)</f>
        <v/>
      </c>
      <c r="AJ41" s="263">
        <f>Games!O30</f>
        <v/>
      </c>
      <c r="AK41" s="58">
        <f>Games!L30</f>
        <v/>
      </c>
      <c r="AL41" s="46">
        <f>_xlfn.XLOOKUP(AM41,Teams!$C:$C,Teams!$E:$E,,0,1)</f>
        <v/>
      </c>
      <c r="AM41" s="37">
        <f>Games!G30</f>
        <v/>
      </c>
      <c r="AN41" s="27" t="n">
        <v>8</v>
      </c>
      <c r="AO41" s="287" t="n"/>
    </row>
    <row r="42" ht="10.5" customHeight="1" thickBot="1">
      <c r="A42" s="283">
        <f>IF($AU$5=TRUE,A38+1,"")</f>
        <v/>
      </c>
      <c r="B42" s="28" t="n"/>
      <c r="C42" s="38" t="n"/>
      <c r="D42" s="71" t="n"/>
      <c r="E42" s="49" t="n"/>
      <c r="F42" s="303" t="n"/>
      <c r="G42" s="307" t="n"/>
      <c r="H42" s="311" t="n"/>
      <c r="I42" s="255" t="n"/>
      <c r="J42" s="255" t="n"/>
      <c r="K42" s="50" t="n"/>
      <c r="L42" s="25" t="n"/>
      <c r="M42" s="25" t="n"/>
      <c r="O42" s="25" t="n"/>
      <c r="P42" s="25" t="n"/>
      <c r="Q42" s="50" t="n"/>
      <c r="R42" s="25" t="n"/>
      <c r="S42" s="25" t="n"/>
      <c r="T42" s="25" t="n"/>
      <c r="U42" s="75" t="n"/>
      <c r="V42" s="25" t="n"/>
      <c r="W42" s="25" t="n"/>
      <c r="X42" s="25" t="n"/>
      <c r="Y42" s="56" t="n"/>
      <c r="AA42" s="25" t="n"/>
      <c r="AD42" s="25" t="n"/>
      <c r="AE42" s="56" t="n"/>
      <c r="AG42" s="255" t="n"/>
      <c r="AH42" s="312" t="n"/>
      <c r="AI42" s="303" t="n"/>
      <c r="AJ42" s="303" t="n"/>
      <c r="AK42" s="55" t="n"/>
      <c r="AM42" s="39" t="n"/>
      <c r="AN42" s="28" t="n"/>
      <c r="AO42" s="287">
        <f>IF($AU$5=TRUE,AO38+1,"")</f>
        <v/>
      </c>
    </row>
    <row r="43" ht="13.8" customHeight="1" thickBot="1">
      <c r="B43" s="27" t="n">
        <v>9</v>
      </c>
      <c r="C43" s="36">
        <f>Games!I14</f>
        <v/>
      </c>
      <c r="D43" s="70">
        <f>_xlfn.XLOOKUP(C43,Teams!$C:$C,Teams!$E:$E,,0,1)</f>
        <v/>
      </c>
      <c r="E43" s="48">
        <f>Games!N14</f>
        <v/>
      </c>
      <c r="F43" s="255" t="n"/>
      <c r="G43" s="255" t="n"/>
      <c r="I43" s="283">
        <f>IF($AU$5=TRUE,I27+1,"")</f>
        <v/>
      </c>
      <c r="J43" s="283" t="n"/>
      <c r="K43" s="50" t="n"/>
      <c r="L43" s="280">
        <f>Games!O57</f>
        <v/>
      </c>
      <c r="M43" s="248">
        <f>_xlfn.XLOOKUP(L43,Teams!$C:$C,Teams!$E:$E,,0,1)</f>
        <v/>
      </c>
      <c r="N43" s="58">
        <f>Games!L65</f>
        <v/>
      </c>
      <c r="O43" s="25" t="n"/>
      <c r="P43" s="25" t="n"/>
      <c r="Q43" s="50" t="n"/>
      <c r="R43" s="25" t="n"/>
      <c r="S43" s="25" t="n"/>
      <c r="T43" s="25" t="n"/>
      <c r="U43" s="75" t="n"/>
      <c r="V43" s="25" t="n"/>
      <c r="W43" s="25" t="n"/>
      <c r="X43" s="25" t="n"/>
      <c r="Y43" s="56" t="n"/>
      <c r="AA43" s="25" t="n"/>
      <c r="AB43" s="58">
        <f>Games!L67</f>
        <v/>
      </c>
      <c r="AC43" s="250">
        <f>_xlfn.XLOOKUP(AD43,Teams!$C:$C,Teams!$E:$E,,0,1)</f>
        <v/>
      </c>
      <c r="AD43" s="292">
        <f>Games!O61</f>
        <v/>
      </c>
      <c r="AE43" s="56" t="n"/>
      <c r="AG43" s="283">
        <f>IF($AU$5=TRUE,AG27+1,"")</f>
        <v/>
      </c>
      <c r="AJ43" s="255" t="n"/>
      <c r="AK43" s="59">
        <f>Games!N30</f>
        <v/>
      </c>
      <c r="AL43" s="46">
        <f>_xlfn.XLOOKUP(AM43,Teams!$C:$C,Teams!$E:$E,,0,1)</f>
        <v/>
      </c>
      <c r="AM43" s="37">
        <f>Games!I30</f>
        <v/>
      </c>
      <c r="AN43" s="27" t="n">
        <v>9</v>
      </c>
    </row>
    <row r="44" ht="10.5" customHeight="1" thickBot="1">
      <c r="A44" s="286" t="n"/>
      <c r="B44" s="28" t="n"/>
      <c r="C44" s="38" t="n"/>
      <c r="D44" s="71" t="n"/>
      <c r="F44" s="255" t="n"/>
      <c r="G44" s="255" t="n"/>
      <c r="J44" s="283" t="n"/>
      <c r="K44" s="50" t="n"/>
      <c r="L44" s="302" t="n"/>
      <c r="M44" s="307" t="n"/>
      <c r="N44" s="308" t="n"/>
      <c r="O44" s="25" t="n"/>
      <c r="P44" s="25" t="n"/>
      <c r="Q44" s="50" t="n"/>
      <c r="R44" s="25" t="n"/>
      <c r="S44" s="25" t="n"/>
      <c r="T44" s="25" t="n"/>
      <c r="U44" s="75" t="n"/>
      <c r="V44" s="25" t="n"/>
      <c r="W44" s="25" t="n"/>
      <c r="X44" s="25" t="n"/>
      <c r="Y44" s="56" t="n"/>
      <c r="AA44" s="25" t="n"/>
      <c r="AB44" s="308" t="n"/>
      <c r="AC44" s="303" t="n"/>
      <c r="AD44" s="303" t="n"/>
      <c r="AE44" s="56" t="n"/>
      <c r="AJ44" s="255" t="n"/>
      <c r="AM44" s="39" t="n"/>
      <c r="AN44" s="28" t="n"/>
      <c r="AO44" s="287" t="n"/>
    </row>
    <row r="45" ht="18.6" customHeight="1" thickBot="1">
      <c r="A45" s="286" t="n"/>
      <c r="B45" s="27" t="n">
        <v>5</v>
      </c>
      <c r="C45" s="36">
        <f>Games!G15</f>
        <v/>
      </c>
      <c r="D45" s="70">
        <f>_xlfn.XLOOKUP(C45,Teams!$C:$C,Teams!$E:$E,,0,1)</f>
        <v/>
      </c>
      <c r="E45" s="46">
        <f>Games!L15</f>
        <v/>
      </c>
      <c r="F45" s="263">
        <f>Games!O15</f>
        <v/>
      </c>
      <c r="G45" s="248">
        <f>_xlfn.XLOOKUP(F45,Teams!$C:$C,Teams!$E:$E,,0,1)</f>
        <v/>
      </c>
      <c r="H45" s="58">
        <f>Games!L43</f>
        <v/>
      </c>
      <c r="I45" s="255" t="n"/>
      <c r="J45" s="255" t="n"/>
      <c r="K45" s="50" t="n"/>
      <c r="L45" s="25" t="n"/>
      <c r="M45" s="25" t="n"/>
      <c r="N45" s="49" t="n"/>
      <c r="O45" s="25" t="n"/>
      <c r="P45" s="25" t="n"/>
      <c r="Q45" s="50" t="n"/>
      <c r="R45" s="25" t="n"/>
      <c r="S45" s="25" t="n"/>
      <c r="T45" s="25" t="n"/>
      <c r="U45" s="75" t="n"/>
      <c r="V45" s="25" t="n"/>
      <c r="W45" s="25" t="n"/>
      <c r="X45" s="25" t="n"/>
      <c r="Y45" s="56" t="n"/>
      <c r="AA45" s="25" t="n"/>
      <c r="AB45" s="55" t="n"/>
      <c r="AD45" s="25" t="n"/>
      <c r="AE45" s="56" t="n"/>
      <c r="AG45" s="255" t="n"/>
      <c r="AH45" s="58">
        <f>Games!L51</f>
        <v/>
      </c>
      <c r="AI45" s="250">
        <f>_xlfn.XLOOKUP(AJ45,Teams!$C:$C,Teams!$E:$E,,0,1)</f>
        <v/>
      </c>
      <c r="AJ45" s="263">
        <f>Games!O31</f>
        <v/>
      </c>
      <c r="AK45" s="58">
        <f>Games!L31</f>
        <v/>
      </c>
      <c r="AL45" s="46">
        <f>_xlfn.XLOOKUP(AM45,Teams!$C:$C,Teams!$E:$E,,0,1)</f>
        <v/>
      </c>
      <c r="AM45" s="37">
        <f>Games!G31</f>
        <v/>
      </c>
      <c r="AN45" s="27" t="n">
        <v>5</v>
      </c>
      <c r="AO45" s="287" t="n"/>
    </row>
    <row r="46" ht="10.5" customHeight="1" thickBot="1">
      <c r="A46" s="283">
        <f>IF($AU$5=TRUE,A42+1,"")</f>
        <v/>
      </c>
      <c r="B46" s="28" t="n"/>
      <c r="C46" s="38" t="n"/>
      <c r="D46" s="71" t="n"/>
      <c r="E46" s="49" t="n"/>
      <c r="F46" s="303" t="n"/>
      <c r="G46" s="307" t="n"/>
      <c r="H46" s="308" t="n"/>
      <c r="I46" s="255" t="n"/>
      <c r="J46" s="255" t="n"/>
      <c r="K46" s="50" t="n"/>
      <c r="L46" s="25" t="n"/>
      <c r="M46" s="25" t="n"/>
      <c r="N46" s="50" t="n"/>
      <c r="O46" s="25" t="n"/>
      <c r="P46" s="25" t="n"/>
      <c r="Q46" s="50" t="n"/>
      <c r="R46" s="25" t="n"/>
      <c r="S46" s="25" t="n"/>
      <c r="T46" s="25" t="n"/>
      <c r="U46" s="75" t="n"/>
      <c r="V46" s="25" t="n"/>
      <c r="W46" s="25" t="n"/>
      <c r="X46" s="25" t="n"/>
      <c r="Y46" s="56" t="n"/>
      <c r="AA46" s="25" t="n"/>
      <c r="AB46" s="56" t="n"/>
      <c r="AD46" s="25" t="n"/>
      <c r="AE46" s="56" t="n"/>
      <c r="AG46" s="255" t="n"/>
      <c r="AH46" s="308" t="n"/>
      <c r="AI46" s="303" t="n"/>
      <c r="AJ46" s="303" t="n"/>
      <c r="AK46" s="55" t="n"/>
      <c r="AM46" s="39" t="n"/>
      <c r="AN46" s="28" t="n"/>
      <c r="AO46" s="287">
        <f>IF($AU$5=TRUE,AO42+1,"")</f>
        <v/>
      </c>
    </row>
    <row r="47" ht="13.8" customHeight="1" thickBot="1">
      <c r="B47" s="27" t="n">
        <v>12</v>
      </c>
      <c r="C47" s="41">
        <f>Games!I15</f>
        <v/>
      </c>
      <c r="D47" s="70">
        <f>_xlfn.XLOOKUP(C47,Teams!$C:$C,Teams!$E:$E,,0,1)</f>
        <v/>
      </c>
      <c r="E47" s="48">
        <f>Games!N15</f>
        <v/>
      </c>
      <c r="F47" s="282">
        <f>IF($AU$5=TRUE,F39+1,"")</f>
        <v/>
      </c>
      <c r="G47" s="282" t="n"/>
      <c r="H47" s="49" t="n"/>
      <c r="I47" s="280">
        <f>Games!O43</f>
        <v/>
      </c>
      <c r="J47" s="248">
        <f>_xlfn.XLOOKUP(I47,Teams!$C:$C,Teams!$E:$E,,0,1)</f>
        <v/>
      </c>
      <c r="K47" s="310">
        <f>Games!N57</f>
        <v/>
      </c>
      <c r="L47" s="25" t="n"/>
      <c r="M47" s="25" t="n"/>
      <c r="N47" s="50" t="n"/>
      <c r="O47" s="25" t="n"/>
      <c r="P47" s="25" t="n"/>
      <c r="Q47" s="50" t="n"/>
      <c r="R47" s="25" t="n"/>
      <c r="S47" s="25" t="n"/>
      <c r="T47" s="25" t="n"/>
      <c r="U47" s="75" t="n"/>
      <c r="V47" s="25" t="n"/>
      <c r="W47" s="25" t="n"/>
      <c r="X47" s="25" t="n"/>
      <c r="Y47" s="56" t="n"/>
      <c r="AA47" s="25" t="n"/>
      <c r="AB47" s="56" t="n"/>
      <c r="AD47" s="25" t="n"/>
      <c r="AE47" s="59">
        <f>Games!N61</f>
        <v/>
      </c>
      <c r="AF47" s="250">
        <f>_xlfn.XLOOKUP(AG47,Teams!$C:$C,Teams!$E:$E,,0,1)</f>
        <v/>
      </c>
      <c r="AG47" s="263">
        <f>Games!O51</f>
        <v/>
      </c>
      <c r="AH47" s="55" t="n"/>
      <c r="AI47" s="51" t="n"/>
      <c r="AJ47" s="282">
        <f>IF($AU$5=TRUE,AJ39+1,"")</f>
        <v/>
      </c>
      <c r="AK47" s="59">
        <f>Games!N31</f>
        <v/>
      </c>
      <c r="AL47" s="46">
        <f>_xlfn.XLOOKUP(AM47,Teams!$C:$C,Teams!$E:$E,,0,1)</f>
        <v/>
      </c>
      <c r="AM47" s="37">
        <f>Games!I31</f>
        <v/>
      </c>
      <c r="AN47" s="27" t="n">
        <v>12</v>
      </c>
    </row>
    <row r="48" ht="10.5" customHeight="1" thickBot="1">
      <c r="A48" s="286" t="n"/>
      <c r="B48" s="28" t="n"/>
      <c r="C48" s="38" t="n"/>
      <c r="D48" s="71" t="n"/>
      <c r="G48" s="283" t="n"/>
      <c r="H48" s="50" t="n"/>
      <c r="I48" s="302" t="n"/>
      <c r="J48" s="307" t="n"/>
      <c r="K48" s="311" t="n"/>
      <c r="L48" s="25" t="n"/>
      <c r="M48" s="25" t="n"/>
      <c r="N48" s="50" t="n"/>
      <c r="O48" s="25" t="n"/>
      <c r="P48" s="25" t="n"/>
      <c r="Q48" s="50" t="n"/>
      <c r="R48" s="25" t="n"/>
      <c r="S48" s="25" t="n"/>
      <c r="T48" s="25" t="n"/>
      <c r="U48" s="75" t="n"/>
      <c r="V48" s="25" t="n"/>
      <c r="W48" s="25" t="n"/>
      <c r="X48" s="25" t="n"/>
      <c r="Y48" s="56" t="n"/>
      <c r="AA48" s="25" t="n"/>
      <c r="AB48" s="56" t="n"/>
      <c r="AD48" s="25" t="n"/>
      <c r="AE48" s="312" t="n"/>
      <c r="AF48" s="303" t="n"/>
      <c r="AG48" s="303" t="n"/>
      <c r="AH48" s="56" t="n"/>
      <c r="AM48" s="39" t="n"/>
      <c r="AN48" s="28" t="n"/>
      <c r="AO48" s="287" t="n"/>
    </row>
    <row r="49" ht="18.6" customHeight="1" thickBot="1">
      <c r="A49" s="286" t="n"/>
      <c r="B49" s="27" t="n">
        <v>4</v>
      </c>
      <c r="C49" s="36">
        <f>Games!G16</f>
        <v/>
      </c>
      <c r="D49" s="70">
        <f>_xlfn.XLOOKUP(C49,Teams!$C:$C,Teams!$E:$E,,0,1)</f>
        <v/>
      </c>
      <c r="E49" s="46">
        <f>Games!L16</f>
        <v/>
      </c>
      <c r="F49" s="263">
        <f>Games!O16</f>
        <v/>
      </c>
      <c r="G49" s="248">
        <f>_xlfn.XLOOKUP(F49,Teams!$C:$C,Teams!$E:$E,,0,1)</f>
        <v/>
      </c>
      <c r="H49" s="310">
        <f>Games!N43</f>
        <v/>
      </c>
      <c r="I49" s="255" t="n"/>
      <c r="J49" s="255" t="n"/>
      <c r="L49" s="25" t="n"/>
      <c r="M49" s="25" t="n"/>
      <c r="N49" s="50" t="n"/>
      <c r="O49" s="25" t="n"/>
      <c r="P49" s="25" t="n"/>
      <c r="Q49" s="50" t="n"/>
      <c r="R49" s="25" t="n"/>
      <c r="S49" s="25" t="n"/>
      <c r="T49" s="25" t="n"/>
      <c r="U49" s="75" t="n"/>
      <c r="V49" s="25" t="n"/>
      <c r="W49" s="25" t="n"/>
      <c r="X49" s="25" t="n"/>
      <c r="Y49" s="56" t="n"/>
      <c r="AA49" s="25" t="n"/>
      <c r="AB49" s="56" t="n"/>
      <c r="AD49" s="25" t="n"/>
      <c r="AG49" s="255" t="n"/>
      <c r="AH49" s="59">
        <f>Games!N51</f>
        <v/>
      </c>
      <c r="AI49" s="250">
        <f>_xlfn.XLOOKUP(AJ49,Teams!$C:$C,Teams!$E:$E,,0,1)</f>
        <v/>
      </c>
      <c r="AJ49" s="263">
        <f>Games!O32</f>
        <v/>
      </c>
      <c r="AK49" s="58">
        <f>Games!L32</f>
        <v/>
      </c>
      <c r="AL49" s="46">
        <f>_xlfn.XLOOKUP(AM49,Teams!$C:$C,Teams!$E:$E,,0,1)</f>
        <v/>
      </c>
      <c r="AM49" s="37">
        <f>Games!G32</f>
        <v/>
      </c>
      <c r="AN49" s="27" t="n">
        <v>4</v>
      </c>
      <c r="AO49" s="287" t="n"/>
    </row>
    <row r="50" ht="10.5" customHeight="1" thickBot="1">
      <c r="A50" s="283">
        <f>IF($AU$5=TRUE,A46+1,"")</f>
        <v/>
      </c>
      <c r="B50" s="28" t="n"/>
      <c r="C50" s="38" t="n"/>
      <c r="D50" s="71" t="n"/>
      <c r="E50" s="49" t="n"/>
      <c r="F50" s="303" t="n"/>
      <c r="G50" s="307" t="n"/>
      <c r="H50" s="311" t="n"/>
      <c r="I50" s="255" t="n"/>
      <c r="J50" s="255" t="n"/>
      <c r="L50" s="25" t="n"/>
      <c r="M50" s="25" t="n"/>
      <c r="N50" s="50" t="n"/>
      <c r="O50" s="25" t="n"/>
      <c r="P50" s="25" t="n"/>
      <c r="Q50" s="50" t="n"/>
      <c r="R50" s="25" t="n"/>
      <c r="S50" s="25" t="n"/>
      <c r="T50" s="25" t="n"/>
      <c r="U50" s="75" t="n"/>
      <c r="V50" s="25" t="n"/>
      <c r="W50" s="25" t="n"/>
      <c r="X50" s="25" t="n"/>
      <c r="Y50" s="56" t="n"/>
      <c r="AA50" s="25" t="n"/>
      <c r="AB50" s="56" t="n"/>
      <c r="AD50" s="25" t="n"/>
      <c r="AG50" s="255" t="n"/>
      <c r="AH50" s="312" t="n"/>
      <c r="AI50" s="303" t="n"/>
      <c r="AJ50" s="303" t="n"/>
      <c r="AK50" s="55" t="n"/>
      <c r="AM50" s="39" t="n"/>
      <c r="AN50" s="28" t="n"/>
      <c r="AO50" s="287">
        <f>IF($AU$5=TRUE,AO46+1,"")</f>
        <v/>
      </c>
    </row>
    <row r="51" ht="13.8" customHeight="1" thickBot="1">
      <c r="B51" s="27" t="n">
        <v>13</v>
      </c>
      <c r="C51" s="36">
        <f>Games!I16</f>
        <v/>
      </c>
      <c r="D51" s="70">
        <f>_xlfn.XLOOKUP(C51,Teams!$C:$C,Teams!$E:$E,,0,1)</f>
        <v/>
      </c>
      <c r="E51" s="48">
        <f>Games!N16</f>
        <v/>
      </c>
      <c r="F51" s="255" t="n"/>
      <c r="G51" s="255" t="n"/>
      <c r="I51" s="255" t="n"/>
      <c r="J51" s="255" t="n"/>
      <c r="K51" s="266" t="inlineStr">
        <is>
          <t>West</t>
        </is>
      </c>
      <c r="M51" s="266" t="n"/>
      <c r="N51" s="50" t="n"/>
      <c r="O51" s="280">
        <f>Games!O65</f>
        <v/>
      </c>
      <c r="P51" s="248">
        <f>_xlfn.XLOOKUP(O51,Teams!$C:$C,Teams!$E:$E,,0,1)</f>
        <v/>
      </c>
      <c r="Q51" s="310">
        <f>Games!N69</f>
        <v/>
      </c>
      <c r="R51" s="25" t="n"/>
      <c r="S51" s="25" t="n"/>
      <c r="T51" s="25" t="n"/>
      <c r="U51" s="75" t="n"/>
      <c r="V51" s="25" t="n"/>
      <c r="W51" s="25" t="n"/>
      <c r="X51" s="25" t="n"/>
      <c r="Y51" s="59">
        <f>Games!N70</f>
        <v/>
      </c>
      <c r="Z51" s="250">
        <f>_xlfn.XLOOKUP(AA51,Teams!$C:$C,Teams!$E:$E,,0,1)</f>
        <v/>
      </c>
      <c r="AA51" s="263">
        <f>Games!O67</f>
        <v/>
      </c>
      <c r="AB51" s="56" t="n"/>
      <c r="AD51" s="266" t="inlineStr">
        <is>
          <t>Midwest</t>
        </is>
      </c>
      <c r="AF51" s="266" t="n"/>
      <c r="AG51" s="255" t="n"/>
      <c r="AJ51" s="255" t="n"/>
      <c r="AK51" s="59">
        <f>Games!N32</f>
        <v/>
      </c>
      <c r="AL51" s="46">
        <f>_xlfn.XLOOKUP(AM51,Teams!$C:$C,Teams!$E:$E,,0,1)</f>
        <v/>
      </c>
      <c r="AM51" s="37">
        <f>Games!I32</f>
        <v/>
      </c>
      <c r="AN51" s="27" t="n">
        <v>13</v>
      </c>
    </row>
    <row r="52" ht="10.5" customHeight="1" thickBot="1">
      <c r="A52" s="286" t="n"/>
      <c r="B52" s="28" t="n"/>
      <c r="C52" s="38" t="n"/>
      <c r="D52" s="71" t="n"/>
      <c r="F52" s="255" t="n"/>
      <c r="G52" s="255" t="n"/>
      <c r="I52" s="255" t="n"/>
      <c r="J52" s="255" t="n"/>
      <c r="M52" s="266" t="n"/>
      <c r="N52" s="50" t="n"/>
      <c r="O52" s="302" t="n"/>
      <c r="P52" s="307" t="n"/>
      <c r="Q52" s="311" t="n"/>
      <c r="R52" s="25" t="n"/>
      <c r="S52" s="25" t="n"/>
      <c r="T52" s="25" t="n"/>
      <c r="U52" s="75" t="n"/>
      <c r="V52" s="25" t="n"/>
      <c r="W52" s="25" t="n"/>
      <c r="X52" s="25" t="n"/>
      <c r="Y52" s="312" t="n"/>
      <c r="Z52" s="303" t="n"/>
      <c r="AA52" s="303" t="n"/>
      <c r="AB52" s="56" t="n"/>
      <c r="AF52" s="266" t="n"/>
      <c r="AG52" s="255" t="n"/>
      <c r="AJ52" s="255" t="n"/>
      <c r="AM52" s="39" t="n"/>
      <c r="AN52" s="28" t="n"/>
      <c r="AO52" s="287" t="n"/>
    </row>
    <row r="53" ht="18.6" customHeight="1" thickBot="1">
      <c r="A53" s="286" t="n"/>
      <c r="B53" s="27" t="n">
        <v>6</v>
      </c>
      <c r="C53" s="36">
        <f>Games!G17</f>
        <v/>
      </c>
      <c r="D53" s="70">
        <f>_xlfn.XLOOKUP(C53,Teams!$C:$C,Teams!$E:$E,,0,1)</f>
        <v/>
      </c>
      <c r="E53" s="46">
        <f>Games!L17</f>
        <v/>
      </c>
      <c r="F53" s="263">
        <f>Games!O17</f>
        <v/>
      </c>
      <c r="G53" s="248">
        <f>_xlfn.XLOOKUP(F53,Teams!$C:$C,Teams!$E:$E,,0,1)</f>
        <v/>
      </c>
      <c r="H53" s="58">
        <f>Games!L44</f>
        <v/>
      </c>
      <c r="I53" s="255" t="n"/>
      <c r="J53" s="255" t="n"/>
      <c r="L53" s="18">
        <f>IF($AU$5=TRUE,L21+1,"")</f>
        <v/>
      </c>
      <c r="M53" s="18" t="n"/>
      <c r="N53" s="50" t="n"/>
      <c r="O53" s="25" t="n"/>
      <c r="P53" s="25" t="n"/>
      <c r="Q53" s="51" t="n"/>
      <c r="R53" s="25" t="n"/>
      <c r="S53" s="25" t="n"/>
      <c r="T53" s="25" t="n"/>
      <c r="U53" s="75" t="n"/>
      <c r="V53" s="25" t="n"/>
      <c r="W53" s="25" t="n"/>
      <c r="X53" s="25" t="n"/>
      <c r="AA53" s="25" t="n"/>
      <c r="AB53" s="56" t="n"/>
      <c r="AD53" s="286">
        <f>IF($AU$5=TRUE,AD21+1,"")</f>
        <v/>
      </c>
      <c r="AG53" s="255" t="n"/>
      <c r="AH53" s="58">
        <f>Games!L52</f>
        <v/>
      </c>
      <c r="AI53" s="250">
        <f>_xlfn.XLOOKUP(AJ53,Teams!$C:$C,Teams!$E:$E,,0,1)</f>
        <v/>
      </c>
      <c r="AJ53" s="263">
        <f>Games!O33</f>
        <v/>
      </c>
      <c r="AK53" s="58">
        <f>Games!L33</f>
        <v/>
      </c>
      <c r="AL53" s="46">
        <f>_xlfn.XLOOKUP(AM53,Teams!$C:$C,Teams!$E:$E,,0,1)</f>
        <v/>
      </c>
      <c r="AM53" s="37">
        <f>Games!G33</f>
        <v/>
      </c>
      <c r="AN53" s="27" t="n">
        <v>6</v>
      </c>
      <c r="AO53" s="287" t="n"/>
    </row>
    <row r="54" ht="10.5" customHeight="1" thickBot="1">
      <c r="A54" s="283">
        <f>IF($AU$5=TRUE,A50+1,"")</f>
        <v/>
      </c>
      <c r="B54" s="28" t="n"/>
      <c r="C54" s="38" t="n"/>
      <c r="D54" s="71" t="n"/>
      <c r="E54" s="49" t="n"/>
      <c r="F54" s="303" t="n"/>
      <c r="G54" s="307" t="n"/>
      <c r="H54" s="308" t="n"/>
      <c r="I54" s="255" t="n"/>
      <c r="J54" s="255" t="n"/>
      <c r="L54" s="25" t="n"/>
      <c r="M54" s="25" t="n"/>
      <c r="N54" s="50" t="n"/>
      <c r="O54" s="25" t="n"/>
      <c r="P54" s="25" t="n"/>
      <c r="R54" s="25" t="n"/>
      <c r="S54" s="25" t="n"/>
      <c r="T54" s="25" t="n"/>
      <c r="U54" s="75" t="n"/>
      <c r="V54" s="25" t="n"/>
      <c r="W54" s="25" t="n"/>
      <c r="X54" s="25" t="n"/>
      <c r="AA54" s="25" t="n"/>
      <c r="AB54" s="56" t="n"/>
      <c r="AD54" s="25" t="n"/>
      <c r="AG54" s="255" t="n"/>
      <c r="AH54" s="308" t="n"/>
      <c r="AI54" s="303" t="n"/>
      <c r="AJ54" s="303" t="n"/>
      <c r="AK54" s="55" t="n"/>
      <c r="AM54" s="39" t="n"/>
      <c r="AN54" s="28" t="n"/>
      <c r="AO54" s="287">
        <f>IF($AU$5=TRUE,AO50+1,"")</f>
        <v/>
      </c>
    </row>
    <row r="55" ht="13.8" customHeight="1" thickBot="1">
      <c r="B55" s="27" t="n">
        <v>11</v>
      </c>
      <c r="C55" s="36">
        <f>Games!I17</f>
        <v/>
      </c>
      <c r="D55" s="70">
        <f>_xlfn.XLOOKUP(C55,Teams!$C:$C,Teams!$E:$E,,0,1)</f>
        <v/>
      </c>
      <c r="E55" s="48">
        <f>Games!N17</f>
        <v/>
      </c>
      <c r="F55" s="282">
        <f>IF($AU$5=TRUE,F47+1,"")</f>
        <v/>
      </c>
      <c r="G55" s="282" t="n"/>
      <c r="H55" s="49" t="n"/>
      <c r="I55" s="280">
        <f>Games!O44</f>
        <v/>
      </c>
      <c r="J55" s="248">
        <f>_xlfn.XLOOKUP(I55,Teams!$C:$C,Teams!$E:$E,,0,1)</f>
        <v/>
      </c>
      <c r="K55" s="58">
        <f>Games!L58</f>
        <v/>
      </c>
      <c r="L55" s="25" t="n"/>
      <c r="M55" s="25" t="n"/>
      <c r="N55" s="50" t="n"/>
      <c r="O55" s="25" t="n"/>
      <c r="P55" s="25" t="n"/>
      <c r="R55" s="25" t="n"/>
      <c r="S55" s="25" t="n"/>
      <c r="T55" s="25" t="n"/>
      <c r="U55" s="75" t="n"/>
      <c r="V55" s="25" t="n"/>
      <c r="W55" s="25" t="n"/>
      <c r="X55" s="25" t="n"/>
      <c r="AA55" s="25" t="n"/>
      <c r="AB55" s="56" t="n"/>
      <c r="AD55" s="25" t="n"/>
      <c r="AE55" s="58">
        <f>Games!L62</f>
        <v/>
      </c>
      <c r="AF55" s="250">
        <f>_xlfn.XLOOKUP(AG55,Teams!$C:$C,Teams!$E:$E,,0,1)</f>
        <v/>
      </c>
      <c r="AG55" s="263">
        <f>Games!O52</f>
        <v/>
      </c>
      <c r="AH55" s="55" t="n"/>
      <c r="AI55" s="51" t="n"/>
      <c r="AJ55" s="282">
        <f>IF($AU$5=TRUE,AJ47+1,"")</f>
        <v/>
      </c>
      <c r="AK55" s="59">
        <f>Games!N33</f>
        <v/>
      </c>
      <c r="AL55" s="46">
        <f>_xlfn.XLOOKUP(AM55,Teams!$C:$C,Teams!$E:$E,,0,1)</f>
        <v/>
      </c>
      <c r="AM55" s="37">
        <f>Games!I33</f>
        <v/>
      </c>
      <c r="AN55" s="32" t="n">
        <v>11</v>
      </c>
    </row>
    <row r="56" ht="10.5" customHeight="1" thickBot="1">
      <c r="A56" s="286" t="n"/>
      <c r="B56" s="28" t="n"/>
      <c r="C56" s="38" t="n"/>
      <c r="D56" s="71" t="n"/>
      <c r="G56" s="283" t="n"/>
      <c r="H56" s="50" t="n"/>
      <c r="I56" s="302" t="n"/>
      <c r="J56" s="307" t="n"/>
      <c r="K56" s="308" t="n"/>
      <c r="L56" s="25" t="n"/>
      <c r="M56" s="25" t="n"/>
      <c r="N56" s="50" t="n"/>
      <c r="O56" s="25" t="n"/>
      <c r="P56" s="25" t="n"/>
      <c r="R56" s="25" t="n"/>
      <c r="S56" s="25" t="n"/>
      <c r="T56" s="25" t="n"/>
      <c r="U56" s="75" t="n"/>
      <c r="V56" s="25" t="n"/>
      <c r="W56" s="25" t="n"/>
      <c r="X56" s="25" t="n"/>
      <c r="AA56" s="25" t="n"/>
      <c r="AB56" s="56" t="n"/>
      <c r="AD56" s="25" t="n"/>
      <c r="AE56" s="308" t="n"/>
      <c r="AF56" s="303" t="n"/>
      <c r="AG56" s="303" t="n"/>
      <c r="AH56" s="56" t="n"/>
      <c r="AM56" s="39" t="n"/>
      <c r="AN56" s="28" t="n"/>
      <c r="AO56" s="287" t="n"/>
    </row>
    <row r="57" ht="18.6" customHeight="1" thickBot="1">
      <c r="A57" s="286" t="n"/>
      <c r="B57" s="27" t="n">
        <v>3</v>
      </c>
      <c r="C57" s="36">
        <f>Games!G18</f>
        <v/>
      </c>
      <c r="D57" s="70">
        <f>_xlfn.XLOOKUP(C57,Teams!$C:$C,Teams!$E:$E,,0,1)</f>
        <v/>
      </c>
      <c r="E57" s="46">
        <f>Games!L18</f>
        <v/>
      </c>
      <c r="F57" s="263">
        <f>Games!O18</f>
        <v/>
      </c>
      <c r="G57" s="248">
        <f>_xlfn.XLOOKUP(F57,Teams!$C:$C,Teams!$E:$E,,0,1)</f>
        <v/>
      </c>
      <c r="H57" s="310">
        <f>Games!N44</f>
        <v/>
      </c>
      <c r="I57" s="255" t="n"/>
      <c r="J57" s="255" t="n"/>
      <c r="K57" s="49" t="n"/>
      <c r="L57" s="25" t="n"/>
      <c r="M57" s="25" t="n"/>
      <c r="N57" s="50" t="n"/>
      <c r="O57" s="25" t="n"/>
      <c r="P57" s="25" t="n"/>
      <c r="R57" s="25" t="n"/>
      <c r="S57" s="25" t="n"/>
      <c r="T57" s="25" t="n"/>
      <c r="U57" s="75" t="n"/>
      <c r="V57" s="25" t="n"/>
      <c r="W57" s="25" t="n"/>
      <c r="X57" s="25" t="n"/>
      <c r="AA57" s="25" t="n"/>
      <c r="AB57" s="56" t="n"/>
      <c r="AD57" s="25" t="n"/>
      <c r="AE57" s="55" t="n"/>
      <c r="AG57" s="255" t="n"/>
      <c r="AH57" s="59">
        <f>Games!N52</f>
        <v/>
      </c>
      <c r="AI57" s="250">
        <f>_xlfn.XLOOKUP(AJ57,Teams!$C:$C,Teams!$E:$E,,0,1)</f>
        <v/>
      </c>
      <c r="AJ57" s="263">
        <f>Games!O34</f>
        <v/>
      </c>
      <c r="AK57" s="58">
        <f>Games!L34</f>
        <v/>
      </c>
      <c r="AL57" s="46">
        <f>_xlfn.XLOOKUP(AM57,Teams!$C:$C,Teams!$E:$E,,0,1)</f>
        <v/>
      </c>
      <c r="AM57" s="37">
        <f>Games!G34</f>
        <v/>
      </c>
      <c r="AN57" s="27" t="n">
        <v>3</v>
      </c>
      <c r="AO57" s="287" t="n"/>
    </row>
    <row r="58" ht="10.5" customHeight="1" thickBot="1">
      <c r="A58" s="283">
        <f>IF($AU$5=TRUE,A54+1,"")</f>
        <v/>
      </c>
      <c r="B58" s="28" t="n"/>
      <c r="C58" s="38" t="n"/>
      <c r="D58" s="71" t="n"/>
      <c r="E58" s="49" t="n"/>
      <c r="F58" s="303" t="n"/>
      <c r="G58" s="307" t="n"/>
      <c r="H58" s="311" t="n"/>
      <c r="I58" s="255" t="n"/>
      <c r="J58" s="255" t="n"/>
      <c r="K58" s="50" t="n"/>
      <c r="L58" s="25" t="n"/>
      <c r="M58" s="25" t="n"/>
      <c r="N58" s="50" t="n"/>
      <c r="O58" s="25" t="n"/>
      <c r="P58" s="25" t="n"/>
      <c r="R58" s="25" t="n"/>
      <c r="S58" s="25" t="n"/>
      <c r="T58" s="25" t="n"/>
      <c r="U58" s="75" t="n"/>
      <c r="V58" s="25" t="n"/>
      <c r="W58" s="25" t="n"/>
      <c r="X58" s="25" t="n"/>
      <c r="AA58" s="25" t="n"/>
      <c r="AB58" s="56" t="n"/>
      <c r="AD58" s="25" t="n"/>
      <c r="AE58" s="56" t="n"/>
      <c r="AG58" s="255" t="n"/>
      <c r="AH58" s="312" t="n"/>
      <c r="AI58" s="303" t="n"/>
      <c r="AJ58" s="303" t="n"/>
      <c r="AK58" s="55" t="n"/>
      <c r="AM58" s="39" t="n"/>
      <c r="AN58" s="28" t="n"/>
      <c r="AO58" s="287">
        <f>IF($AU$5=TRUE,AO54+1,"")</f>
        <v/>
      </c>
    </row>
    <row r="59" ht="13.8" customHeight="1" thickBot="1">
      <c r="B59" s="27" t="n">
        <v>14</v>
      </c>
      <c r="C59" s="36">
        <f>Games!I18</f>
        <v/>
      </c>
      <c r="D59" s="70">
        <f>_xlfn.XLOOKUP(C59,Teams!$C:$C,Teams!$E:$E,,0,1)</f>
        <v/>
      </c>
      <c r="E59" s="48">
        <f>Games!N18</f>
        <v/>
      </c>
      <c r="F59" s="255" t="n"/>
      <c r="G59" s="255" t="n"/>
      <c r="I59" s="283">
        <f>IF($AU$5=TRUE,I43+1,"")</f>
        <v/>
      </c>
      <c r="J59" s="283" t="n"/>
      <c r="K59" s="50" t="n"/>
      <c r="L59" s="280">
        <f>Games!O58</f>
        <v/>
      </c>
      <c r="M59" s="248">
        <f>_xlfn.XLOOKUP(L59,Teams!$C:$C,Teams!$E:$E,,0,1)</f>
        <v/>
      </c>
      <c r="N59" s="310">
        <f>Games!N65</f>
        <v/>
      </c>
      <c r="O59" s="25" t="n"/>
      <c r="P59" s="25" t="n"/>
      <c r="R59" s="25" t="n"/>
      <c r="S59" s="25" t="n"/>
      <c r="T59" s="25" t="n"/>
      <c r="U59" s="75" t="n"/>
      <c r="V59" s="25" t="n"/>
      <c r="W59" s="25" t="n"/>
      <c r="X59" s="25" t="n"/>
      <c r="AA59" s="25" t="n"/>
      <c r="AB59" s="59">
        <f>Games!N67</f>
        <v/>
      </c>
      <c r="AC59" s="250">
        <f>_xlfn.XLOOKUP(AD59,Teams!$C:$C,Teams!$E:$E,,0,1)</f>
        <v/>
      </c>
      <c r="AD59" s="263">
        <f>Games!O62</f>
        <v/>
      </c>
      <c r="AE59" s="56" t="n"/>
      <c r="AG59" s="283">
        <f>IF($AU$5=TRUE,AG43+1,"")</f>
        <v/>
      </c>
      <c r="AJ59" s="255" t="n"/>
      <c r="AK59" s="59">
        <f>Games!N34</f>
        <v/>
      </c>
      <c r="AL59" s="46">
        <f>_xlfn.XLOOKUP(AM59,Teams!$C:$C,Teams!$E:$E,,0,1)</f>
        <v/>
      </c>
      <c r="AM59" s="37">
        <f>Games!I34</f>
        <v/>
      </c>
      <c r="AN59" s="27" t="n">
        <v>14</v>
      </c>
    </row>
    <row r="60" ht="10.5" customHeight="1" thickBot="1">
      <c r="A60" s="286" t="n"/>
      <c r="B60" s="28" t="n"/>
      <c r="C60" s="38" t="n"/>
      <c r="D60" s="71" t="n"/>
      <c r="F60" s="255" t="n"/>
      <c r="G60" s="255" t="n"/>
      <c r="J60" s="283" t="n"/>
      <c r="K60" s="50" t="n"/>
      <c r="L60" s="302" t="n"/>
      <c r="M60" s="307" t="n"/>
      <c r="N60" s="311" t="n"/>
      <c r="O60" s="25" t="n"/>
      <c r="P60" s="25" t="n"/>
      <c r="Q60" s="25" t="n"/>
      <c r="R60" s="25" t="n"/>
      <c r="S60" s="25" t="n"/>
      <c r="T60" s="25" t="n"/>
      <c r="U60" s="75" t="n"/>
      <c r="V60" s="25" t="n"/>
      <c r="W60" s="25" t="n"/>
      <c r="X60" s="25" t="n"/>
      <c r="AA60" s="25" t="n"/>
      <c r="AB60" s="312" t="n"/>
      <c r="AC60" s="303" t="n"/>
      <c r="AD60" s="303" t="n"/>
      <c r="AE60" s="56" t="n"/>
      <c r="AJ60" s="255" t="n"/>
      <c r="AM60" s="39" t="n"/>
      <c r="AN60" s="28" t="n"/>
      <c r="AO60" s="287" t="n"/>
    </row>
    <row r="61" ht="18.6" customHeight="1" thickBot="1">
      <c r="A61" s="286" t="n"/>
      <c r="B61" s="27" t="n">
        <v>7</v>
      </c>
      <c r="C61" s="36">
        <f>Games!G19</f>
        <v/>
      </c>
      <c r="D61" s="70">
        <f>_xlfn.XLOOKUP(C61,Teams!$C:$C,Teams!$E:$E,,0,1)</f>
        <v/>
      </c>
      <c r="E61" s="46">
        <f>Games!L19</f>
        <v/>
      </c>
      <c r="F61" s="263">
        <f>Games!O19</f>
        <v/>
      </c>
      <c r="G61" s="248">
        <f>_xlfn.XLOOKUP(F61,Teams!$C:$C,Teams!$E:$E,,0,1)</f>
        <v/>
      </c>
      <c r="H61" s="58">
        <f>Games!L45</f>
        <v/>
      </c>
      <c r="I61" s="255" t="n"/>
      <c r="J61" s="255" t="n"/>
      <c r="K61" s="50" t="n"/>
      <c r="L61" s="25" t="n"/>
      <c r="M61" s="25" t="n"/>
      <c r="O61" s="25" t="n"/>
      <c r="P61" s="25" t="n"/>
      <c r="Q61" s="25" t="n"/>
      <c r="R61" s="25" t="n"/>
      <c r="S61" s="25" t="n"/>
      <c r="T61" s="25" t="n"/>
      <c r="U61" s="75" t="n"/>
      <c r="V61" s="25" t="n"/>
      <c r="W61" s="25" t="n"/>
      <c r="X61" s="25" t="n"/>
      <c r="AA61" s="25" t="n"/>
      <c r="AD61" s="25" t="n"/>
      <c r="AE61" s="56" t="n"/>
      <c r="AG61" s="255" t="n"/>
      <c r="AH61" s="58">
        <f>Games!L53</f>
        <v/>
      </c>
      <c r="AI61" s="250">
        <f>_xlfn.XLOOKUP(AJ61,Teams!$C:$C,Teams!$E:$E,,0,1)</f>
        <v/>
      </c>
      <c r="AJ61" s="263">
        <f>Games!O35</f>
        <v/>
      </c>
      <c r="AK61" s="58">
        <f>Games!L35</f>
        <v/>
      </c>
      <c r="AL61" s="46">
        <f>_xlfn.XLOOKUP(AM61,Teams!$C:$C,Teams!$E:$E,,0,1)</f>
        <v/>
      </c>
      <c r="AM61" s="37">
        <f>Games!G35</f>
        <v/>
      </c>
      <c r="AN61" s="27" t="n">
        <v>7</v>
      </c>
      <c r="AO61" s="287" t="n"/>
    </row>
    <row r="62" ht="10.5" customHeight="1" thickBot="1">
      <c r="A62" s="283">
        <f>IF($AU$5=TRUE,A58+1,"")</f>
        <v/>
      </c>
      <c r="B62" s="28" t="n"/>
      <c r="C62" s="38" t="n"/>
      <c r="D62" s="71" t="n"/>
      <c r="E62" s="49" t="n"/>
      <c r="F62" s="303" t="n"/>
      <c r="G62" s="307" t="n"/>
      <c r="H62" s="308" t="n"/>
      <c r="I62" s="255" t="n"/>
      <c r="J62" s="255" t="n"/>
      <c r="K62" s="50" t="n"/>
      <c r="L62" s="25" t="n"/>
      <c r="M62" s="25" t="n"/>
      <c r="O62" s="25" t="n"/>
      <c r="P62" s="25" t="n"/>
      <c r="Q62" s="25" t="n"/>
      <c r="R62" s="25" t="n"/>
      <c r="S62" s="25" t="n"/>
      <c r="T62" s="25" t="n"/>
      <c r="U62" s="75" t="n"/>
      <c r="V62" s="25" t="n"/>
      <c r="W62" s="25" t="n"/>
      <c r="X62" s="25" t="n"/>
      <c r="AA62" s="25" t="n"/>
      <c r="AD62" s="25" t="n"/>
      <c r="AE62" s="56" t="n"/>
      <c r="AG62" s="255" t="n"/>
      <c r="AH62" s="308" t="n"/>
      <c r="AI62" s="303" t="n"/>
      <c r="AJ62" s="303" t="n"/>
      <c r="AK62" s="55" t="n"/>
      <c r="AM62" s="39" t="n"/>
      <c r="AN62" s="28" t="n"/>
      <c r="AO62" s="287">
        <f>IF($AU$5=TRUE,AO58+1,"")</f>
        <v/>
      </c>
    </row>
    <row r="63" ht="13.8" customHeight="1" thickBot="1">
      <c r="B63" s="27" t="n">
        <v>10</v>
      </c>
      <c r="C63" s="36">
        <f>Games!I19</f>
        <v/>
      </c>
      <c r="D63" s="70">
        <f>_xlfn.XLOOKUP(C63,Teams!$C:$C,Teams!$E:$E,,0,1)</f>
        <v/>
      </c>
      <c r="E63" s="48">
        <f>Games!N19</f>
        <v/>
      </c>
      <c r="F63" s="282">
        <f>IF($AU$5=TRUE,F55+1,"")</f>
        <v/>
      </c>
      <c r="G63" s="282" t="n"/>
      <c r="H63" s="49" t="n"/>
      <c r="I63" s="280">
        <f>Games!O45</f>
        <v/>
      </c>
      <c r="J63" s="248">
        <f>_xlfn.XLOOKUP(I63,Teams!$C:$C,Teams!$E:$E,,0,1)</f>
        <v/>
      </c>
      <c r="K63" s="310">
        <f>Games!N58</f>
        <v/>
      </c>
      <c r="L63" s="25" t="n"/>
      <c r="M63" s="25" t="n"/>
      <c r="O63" s="25" t="n"/>
      <c r="P63" s="25" t="n"/>
      <c r="Q63" s="25" t="n"/>
      <c r="R63" s="25" t="n"/>
      <c r="S63" s="25" t="n"/>
      <c r="T63" s="25" t="n"/>
      <c r="U63" s="75" t="n"/>
      <c r="V63" s="25" t="n"/>
      <c r="W63" s="25" t="n"/>
      <c r="X63" s="25" t="n"/>
      <c r="Y63" s="57" t="n"/>
      <c r="Z63" s="57" t="n"/>
      <c r="AA63" s="25" t="n"/>
      <c r="AD63" s="25" t="n"/>
      <c r="AE63" s="59">
        <f>Games!N62</f>
        <v/>
      </c>
      <c r="AF63" s="250">
        <f>_xlfn.XLOOKUP(AG63,Teams!$C:$C,Teams!$E:$E,,0,1)</f>
        <v/>
      </c>
      <c r="AG63" s="263">
        <f>Games!O53</f>
        <v/>
      </c>
      <c r="AH63" s="55" t="n"/>
      <c r="AI63" s="51" t="n"/>
      <c r="AJ63" s="282">
        <f>IF($AU$5=TRUE,AJ55+1,"")</f>
        <v/>
      </c>
      <c r="AK63" s="59">
        <f>Games!N35</f>
        <v/>
      </c>
      <c r="AL63" s="46">
        <f>_xlfn.XLOOKUP(AM63,Teams!$C:$C,Teams!$E:$E,,0,1)</f>
        <v/>
      </c>
      <c r="AM63" s="37">
        <f>Games!I35</f>
        <v/>
      </c>
      <c r="AN63" s="27" t="n">
        <v>10</v>
      </c>
    </row>
    <row r="64" ht="10.5" customHeight="1" thickBot="1">
      <c r="A64" s="286" t="n"/>
      <c r="B64" s="28" t="n"/>
      <c r="C64" s="38" t="n"/>
      <c r="D64" s="71" t="n"/>
      <c r="G64" s="283" t="n"/>
      <c r="H64" s="50" t="n"/>
      <c r="I64" s="302" t="n"/>
      <c r="J64" s="307" t="n"/>
      <c r="K64" s="311" t="n"/>
      <c r="L64" s="25" t="n"/>
      <c r="M64" s="25" t="n"/>
      <c r="O64" s="25" t="n"/>
      <c r="P64" s="25" t="n"/>
      <c r="R64" s="25" t="n"/>
      <c r="S64" s="25" t="n"/>
      <c r="T64" s="25" t="n"/>
      <c r="U64" s="75" t="n"/>
      <c r="V64" s="25" t="n"/>
      <c r="W64" s="25" t="n"/>
      <c r="X64" s="25" t="n"/>
      <c r="Y64" s="57" t="n"/>
      <c r="Z64" s="57" t="n"/>
      <c r="AA64" s="25" t="n"/>
      <c r="AD64" s="25" t="n"/>
      <c r="AE64" s="312" t="n"/>
      <c r="AF64" s="303" t="n"/>
      <c r="AG64" s="303" t="n"/>
      <c r="AH64" s="56" t="n"/>
      <c r="AM64" s="39" t="n"/>
      <c r="AN64" s="28" t="n"/>
      <c r="AO64" s="287" t="n"/>
    </row>
    <row r="65" ht="18.6" customHeight="1" thickBot="1">
      <c r="A65" s="286" t="n"/>
      <c r="B65" s="27" t="n">
        <v>2</v>
      </c>
      <c r="C65" s="36">
        <f>Games!G20</f>
        <v/>
      </c>
      <c r="D65" s="70">
        <f>_xlfn.XLOOKUP(C65,Teams!$C:$C,Teams!$E:$E,,0,1)</f>
        <v/>
      </c>
      <c r="E65" s="46">
        <f>Games!L20</f>
        <v/>
      </c>
      <c r="F65" s="263">
        <f>Games!O20</f>
        <v/>
      </c>
      <c r="G65" s="248">
        <f>_xlfn.XLOOKUP(F65,Teams!$C:$C,Teams!$E:$E,,0,1)</f>
        <v/>
      </c>
      <c r="H65" s="310">
        <f>Games!N45</f>
        <v/>
      </c>
      <c r="I65" s="25" t="n"/>
      <c r="J65" s="25" t="n"/>
      <c r="L65" s="25" t="n"/>
      <c r="M65" s="25" t="n"/>
      <c r="O65" s="25" t="n"/>
      <c r="P65" s="25" t="n"/>
      <c r="R65" s="25" t="n"/>
      <c r="S65" s="25" t="n"/>
      <c r="T65" s="25" t="n"/>
      <c r="U65" s="75" t="n"/>
      <c r="V65" s="25" t="n"/>
      <c r="W65" s="25" t="n"/>
      <c r="X65" s="25" t="n"/>
      <c r="Y65" s="57" t="n"/>
      <c r="Z65" s="57" t="n"/>
      <c r="AA65" s="25" t="n"/>
      <c r="AD65" s="25" t="n"/>
      <c r="AG65" s="255" t="n"/>
      <c r="AH65" s="59">
        <f>Games!N53</f>
        <v/>
      </c>
      <c r="AI65" s="250">
        <f>_xlfn.XLOOKUP(AJ65,Teams!$C:$C,Teams!$E:$E,,0,1)</f>
        <v/>
      </c>
      <c r="AJ65" s="263">
        <f>Games!O36</f>
        <v/>
      </c>
      <c r="AK65" s="58">
        <f>Games!L36</f>
        <v/>
      </c>
      <c r="AL65" s="46">
        <f>_xlfn.XLOOKUP(AM65,Teams!$C:$C,Teams!$E:$E,,0,1)</f>
        <v/>
      </c>
      <c r="AM65" s="37">
        <f>Games!G36</f>
        <v/>
      </c>
      <c r="AN65" s="27" t="n">
        <v>2</v>
      </c>
      <c r="AO65" s="287" t="n"/>
    </row>
    <row r="66" ht="10.5" customHeight="1" thickBot="1">
      <c r="A66" s="283">
        <f>IF($AU$5=TRUE,A62+1,"")</f>
        <v/>
      </c>
      <c r="B66" s="28" t="n"/>
      <c r="C66" s="38" t="n"/>
      <c r="D66" s="71" t="n"/>
      <c r="E66" s="49" t="n"/>
      <c r="F66" s="303" t="n"/>
      <c r="G66" s="307" t="n"/>
      <c r="H66" s="311" t="n"/>
      <c r="I66" s="25" t="n"/>
      <c r="J66" s="25" t="n"/>
      <c r="L66" s="25" t="n"/>
      <c r="M66" s="25" t="n"/>
      <c r="O66" s="261" t="n"/>
      <c r="AD66" s="25" t="n"/>
      <c r="AG66" s="255" t="n"/>
      <c r="AH66" s="312" t="n"/>
      <c r="AI66" s="303" t="n"/>
      <c r="AJ66" s="303" t="n"/>
      <c r="AK66" s="55" t="n"/>
      <c r="AM66" s="39" t="n"/>
      <c r="AN66" s="28" t="n"/>
      <c r="AO66" s="287">
        <f>IF($AU$5=TRUE,AO62+1,"")</f>
        <v/>
      </c>
    </row>
    <row r="67" ht="13.8" customHeight="1" thickBot="1">
      <c r="B67" s="27" t="n">
        <v>15</v>
      </c>
      <c r="C67" s="36">
        <f>Games!I20</f>
        <v/>
      </c>
      <c r="D67" s="70">
        <f>_xlfn.XLOOKUP(C67,Teams!$C:$C,Teams!$E:$E,,0,1)</f>
        <v/>
      </c>
      <c r="E67" s="48">
        <f>Games!N20</f>
        <v/>
      </c>
      <c r="F67" s="25" t="n"/>
      <c r="G67" s="25" t="n"/>
      <c r="I67" s="25" t="n"/>
      <c r="J67" s="25" t="n"/>
      <c r="L67" s="25" t="n"/>
      <c r="M67" s="25" t="n"/>
      <c r="O67" s="260" t="n"/>
      <c r="AD67" s="25" t="n"/>
      <c r="AG67" s="25" t="n"/>
      <c r="AJ67" s="255" t="n"/>
      <c r="AK67" s="59">
        <f>Games!N36</f>
        <v/>
      </c>
      <c r="AL67" s="46">
        <f>_xlfn.XLOOKUP(AM67,Teams!$C:$C,Teams!$E:$E,,0,1)</f>
        <v/>
      </c>
      <c r="AM67" s="37">
        <f>Games!I36</f>
        <v/>
      </c>
      <c r="AN67" s="27" t="n">
        <v>15</v>
      </c>
    </row>
    <row r="68" ht="15.6" customHeight="1">
      <c r="A68" s="13" t="n"/>
      <c r="B68" s="255" t="n"/>
      <c r="C68" s="42" t="n"/>
      <c r="D68" s="72" t="n"/>
      <c r="F68" s="25" t="n"/>
      <c r="G68" s="25" t="n"/>
      <c r="I68" s="25" t="n"/>
      <c r="J68" s="25" t="n"/>
      <c r="L68" s="25" t="n"/>
      <c r="M68" s="25" t="n"/>
      <c r="O68" s="25" t="n"/>
      <c r="P68" s="25" t="n"/>
      <c r="R68" s="25" t="n"/>
      <c r="S68" s="25" t="n"/>
      <c r="T68" s="53" t="n"/>
      <c r="U68" s="76" t="n"/>
      <c r="V68" s="53" t="n"/>
      <c r="W68" s="25" t="n"/>
      <c r="X68" s="25" t="n"/>
      <c r="Y68" s="57" t="n"/>
      <c r="Z68" s="57" t="n"/>
      <c r="AA68" s="25" t="n"/>
      <c r="AD68" s="25" t="n"/>
      <c r="AG68" s="25" t="n"/>
      <c r="AJ68" s="25" t="n"/>
      <c r="AM68" s="25" t="n"/>
      <c r="AN68" s="255" t="n"/>
      <c r="AO68" s="287" t="n"/>
    </row>
    <row r="69" ht="15.6" customHeight="1">
      <c r="A69" s="13" t="n"/>
      <c r="C69" s="42" t="n"/>
      <c r="D69" s="72" t="n"/>
      <c r="AO69" s="287" t="n"/>
    </row>
  </sheetData>
  <mergeCells count="258">
    <mergeCell ref="F53:F54"/>
    <mergeCell ref="H53:H54"/>
    <mergeCell ref="H9:H10"/>
    <mergeCell ref="K63:K64"/>
    <mergeCell ref="AH33:AH34"/>
    <mergeCell ref="AI65:AI66"/>
    <mergeCell ref="F55:F56"/>
    <mergeCell ref="AB59:AB60"/>
    <mergeCell ref="AH17:AH18"/>
    <mergeCell ref="AD59:AD60"/>
    <mergeCell ref="F45:F46"/>
    <mergeCell ref="AI49:AI50"/>
    <mergeCell ref="AH53:AH54"/>
    <mergeCell ref="Y19:Y20"/>
    <mergeCell ref="H61:H62"/>
    <mergeCell ref="AJ13:AJ14"/>
    <mergeCell ref="G65:G66"/>
    <mergeCell ref="J55:J56"/>
    <mergeCell ref="Y51:Y52"/>
    <mergeCell ref="AF55:AF56"/>
    <mergeCell ref="F47:F48"/>
    <mergeCell ref="K19:L20"/>
    <mergeCell ref="H45:H46"/>
    <mergeCell ref="G49:G50"/>
    <mergeCell ref="S32:W33"/>
    <mergeCell ref="I43:I44"/>
    <mergeCell ref="AI41:AI42"/>
    <mergeCell ref="AJ15:AJ16"/>
    <mergeCell ref="AO10:AO11"/>
    <mergeCell ref="F31:F32"/>
    <mergeCell ref="G5:G6"/>
    <mergeCell ref="F13:F14"/>
    <mergeCell ref="H13:H14"/>
    <mergeCell ref="H65:H66"/>
    <mergeCell ref="G33:G34"/>
    <mergeCell ref="AH61:AH62"/>
    <mergeCell ref="AJ55:AJ56"/>
    <mergeCell ref="J47:J48"/>
    <mergeCell ref="AI25:AI26"/>
    <mergeCell ref="AG43:AG44"/>
    <mergeCell ref="F37:F38"/>
    <mergeCell ref="AH45:AH46"/>
    <mergeCell ref="AF47:AF48"/>
    <mergeCell ref="H37:H38"/>
    <mergeCell ref="J31:J32"/>
    <mergeCell ref="AF7:AF8"/>
    <mergeCell ref="G41:G42"/>
    <mergeCell ref="AJ45:AJ46"/>
    <mergeCell ref="AO50:AO51"/>
    <mergeCell ref="AC11:AC12"/>
    <mergeCell ref="AJ63:AJ64"/>
    <mergeCell ref="AF31:AF32"/>
    <mergeCell ref="O19:O20"/>
    <mergeCell ref="AI5:AI6"/>
    <mergeCell ref="F57:F58"/>
    <mergeCell ref="AO34:AO35"/>
    <mergeCell ref="I31:I32"/>
    <mergeCell ref="AJ47:AJ48"/>
    <mergeCell ref="G21:G22"/>
    <mergeCell ref="I15:I16"/>
    <mergeCell ref="AH37:AH38"/>
    <mergeCell ref="K15:K16"/>
    <mergeCell ref="F63:F64"/>
    <mergeCell ref="K55:K56"/>
    <mergeCell ref="F7:F8"/>
    <mergeCell ref="J23:J24"/>
    <mergeCell ref="M59:M60"/>
    <mergeCell ref="AG59:AG60"/>
    <mergeCell ref="AI53:AI54"/>
    <mergeCell ref="P51:P52"/>
    <mergeCell ref="AA19:AA20"/>
    <mergeCell ref="AE47:AE48"/>
    <mergeCell ref="AJ17:AJ18"/>
    <mergeCell ref="G13:G14"/>
    <mergeCell ref="AG23:AG24"/>
    <mergeCell ref="H41:H42"/>
    <mergeCell ref="A54:A55"/>
    <mergeCell ref="I7:I8"/>
    <mergeCell ref="F5:F6"/>
    <mergeCell ref="AE31:AE32"/>
    <mergeCell ref="H49:H50"/>
    <mergeCell ref="AG31:AG32"/>
    <mergeCell ref="L43:L44"/>
    <mergeCell ref="AO62:AO63"/>
    <mergeCell ref="N43:N44"/>
    <mergeCell ref="AI45:AI46"/>
    <mergeCell ref="O67:AA67"/>
    <mergeCell ref="V27:V28"/>
    <mergeCell ref="H17:H18"/>
    <mergeCell ref="AQ22:AQ27"/>
    <mergeCell ref="AE39:AE40"/>
    <mergeCell ref="A26:A27"/>
    <mergeCell ref="AH9:AH10"/>
    <mergeCell ref="AB43:AB44"/>
    <mergeCell ref="AO30:AO31"/>
    <mergeCell ref="A46:A47"/>
    <mergeCell ref="F33:F34"/>
    <mergeCell ref="AB27:AB28"/>
    <mergeCell ref="AE23:AE24"/>
    <mergeCell ref="AO14:AO15"/>
    <mergeCell ref="M27:M28"/>
    <mergeCell ref="A21:A22"/>
    <mergeCell ref="AO54:AO55"/>
    <mergeCell ref="AJ5:AJ6"/>
    <mergeCell ref="F9:F10"/>
    <mergeCell ref="F61:F62"/>
    <mergeCell ref="AQ14:AQ19"/>
    <mergeCell ref="AO38:AO39"/>
    <mergeCell ref="O51:O52"/>
    <mergeCell ref="G25:G26"/>
    <mergeCell ref="A10:A11"/>
    <mergeCell ref="AI17:AI18"/>
    <mergeCell ref="AE63:AE64"/>
    <mergeCell ref="G9:G10"/>
    <mergeCell ref="AG63:AG64"/>
    <mergeCell ref="K51:L52"/>
    <mergeCell ref="AH13:AH14"/>
    <mergeCell ref="V39:X40"/>
    <mergeCell ref="AJ29:AJ30"/>
    <mergeCell ref="M43:M44"/>
    <mergeCell ref="AH65:AH66"/>
    <mergeCell ref="AI33:AI34"/>
    <mergeCell ref="AJ21:AJ22"/>
    <mergeCell ref="I11:I12"/>
    <mergeCell ref="J39:J40"/>
    <mergeCell ref="AJ31:AJ32"/>
    <mergeCell ref="AO66:AO67"/>
    <mergeCell ref="H29:H30"/>
    <mergeCell ref="G61:G62"/>
    <mergeCell ref="F65:F66"/>
    <mergeCell ref="AH21:AH22"/>
    <mergeCell ref="AC43:AC44"/>
    <mergeCell ref="M11:M12"/>
    <mergeCell ref="AJ7:AJ8"/>
    <mergeCell ref="A6:A7"/>
    <mergeCell ref="A50:A51"/>
    <mergeCell ref="AF63:AF64"/>
    <mergeCell ref="AJ23:AJ24"/>
    <mergeCell ref="AO18:AO19"/>
    <mergeCell ref="AO58:AO59"/>
    <mergeCell ref="G53:G54"/>
    <mergeCell ref="AJ57:AJ58"/>
    <mergeCell ref="F21:F22"/>
    <mergeCell ref="S2:W2"/>
    <mergeCell ref="I47:I48"/>
    <mergeCell ref="O66:AA66"/>
    <mergeCell ref="AD27:AD28"/>
    <mergeCell ref="K47:K48"/>
    <mergeCell ref="F17:F18"/>
    <mergeCell ref="Q19:Q20"/>
    <mergeCell ref="AO42:AO43"/>
    <mergeCell ref="G37:G38"/>
    <mergeCell ref="AJ65:AJ66"/>
    <mergeCell ref="F41:F42"/>
    <mergeCell ref="F23:F24"/>
    <mergeCell ref="K31:K32"/>
    <mergeCell ref="AG7:AG8"/>
    <mergeCell ref="AB11:AB12"/>
    <mergeCell ref="AD11:AD12"/>
    <mergeCell ref="A14:A15"/>
    <mergeCell ref="H57:H58"/>
    <mergeCell ref="AC59:AC60"/>
    <mergeCell ref="P19:P20"/>
    <mergeCell ref="AH49:AH50"/>
    <mergeCell ref="AJ49:AJ50"/>
    <mergeCell ref="T11:V19"/>
    <mergeCell ref="AG47:AG48"/>
    <mergeCell ref="Z19:Z20"/>
    <mergeCell ref="I39:I40"/>
    <mergeCell ref="Z51:Z52"/>
    <mergeCell ref="R27:T28"/>
    <mergeCell ref="AJ33:AJ34"/>
    <mergeCell ref="F39:F40"/>
    <mergeCell ref="AE55:AE56"/>
    <mergeCell ref="AI37:AI38"/>
    <mergeCell ref="L59:L60"/>
    <mergeCell ref="AG55:AG56"/>
    <mergeCell ref="I23:I24"/>
    <mergeCell ref="N59:N60"/>
    <mergeCell ref="AD19:AE20"/>
    <mergeCell ref="F49:F50"/>
    <mergeCell ref="I63:I64"/>
    <mergeCell ref="L11:L12"/>
    <mergeCell ref="N11:N12"/>
    <mergeCell ref="AO22:AO23"/>
    <mergeCell ref="F29:F30"/>
    <mergeCell ref="AG39:AG40"/>
    <mergeCell ref="H5:H6"/>
    <mergeCell ref="A38:A39"/>
    <mergeCell ref="AA51:AA52"/>
    <mergeCell ref="H33:H34"/>
    <mergeCell ref="AH25:AH26"/>
    <mergeCell ref="AI57:AI58"/>
    <mergeCell ref="T35:V35"/>
    <mergeCell ref="AJ25:AJ26"/>
    <mergeCell ref="AO46:AO47"/>
    <mergeCell ref="A58:A59"/>
    <mergeCell ref="AQ3:AQ11"/>
    <mergeCell ref="I27:I28"/>
    <mergeCell ref="F15:F16"/>
    <mergeCell ref="S31:W31"/>
    <mergeCell ref="AH5:AH6"/>
    <mergeCell ref="U27:U28"/>
    <mergeCell ref="G17:G18"/>
    <mergeCell ref="AJ61:AJ62"/>
    <mergeCell ref="F25:F26"/>
    <mergeCell ref="G57:G58"/>
    <mergeCell ref="AF39:AF40"/>
    <mergeCell ref="AI9:AI10"/>
    <mergeCell ref="AG27:AG28"/>
    <mergeCell ref="H21:H22"/>
    <mergeCell ref="J15:J16"/>
    <mergeCell ref="A66:A67"/>
    <mergeCell ref="AG11:AG12"/>
    <mergeCell ref="AF15:AF16"/>
    <mergeCell ref="AJ39:AJ40"/>
    <mergeCell ref="AJ53:AJ54"/>
    <mergeCell ref="B1:AN1"/>
    <mergeCell ref="Q51:Q52"/>
    <mergeCell ref="AH29:AH30"/>
    <mergeCell ref="AJ37:AJ38"/>
    <mergeCell ref="K39:K40"/>
    <mergeCell ref="J7:J8"/>
    <mergeCell ref="A18:A19"/>
    <mergeCell ref="J63:J64"/>
    <mergeCell ref="G29:G30"/>
    <mergeCell ref="AO26:AO27"/>
    <mergeCell ref="K23:K24"/>
    <mergeCell ref="A42:A43"/>
    <mergeCell ref="I55:I56"/>
    <mergeCell ref="AI21:AI22"/>
    <mergeCell ref="AI61:AI62"/>
    <mergeCell ref="K7:K8"/>
    <mergeCell ref="G45:G46"/>
    <mergeCell ref="AQ34:AQ37"/>
    <mergeCell ref="AE15:AE16"/>
    <mergeCell ref="AO6:AO7"/>
    <mergeCell ref="AG15:AG16"/>
    <mergeCell ref="I59:I60"/>
    <mergeCell ref="AC27:AC28"/>
    <mergeCell ref="AF23:AF24"/>
    <mergeCell ref="L27:L28"/>
    <mergeCell ref="A62:A63"/>
    <mergeCell ref="U39:U40"/>
    <mergeCell ref="AI29:AI30"/>
    <mergeCell ref="N27:N28"/>
    <mergeCell ref="AH57:AH58"/>
    <mergeCell ref="H25:H26"/>
    <mergeCell ref="A34:A35"/>
    <mergeCell ref="AD51:AE52"/>
    <mergeCell ref="AJ9:AJ10"/>
    <mergeCell ref="AD43:AD44"/>
    <mergeCell ref="AI13:AI14"/>
    <mergeCell ref="AH41:AH42"/>
    <mergeCell ref="T39:T40"/>
    <mergeCell ref="AJ41:AJ42"/>
    <mergeCell ref="AE7:AE8"/>
    <mergeCell ref="A30:A31"/>
  </mergeCells>
  <dataValidations disablePrompts="1" count="1">
    <dataValidation sqref="AP29" showDropDown="0" showInputMessage="1" showErrorMessage="1" allowBlank="1" type="list">
      <formula1>$AU$3:$AU$3</formula1>
    </dataValidation>
  </dataValidations>
  <printOptions horizontalCentered="1"/>
  <pageMargins left="0.25" right="0.25" top="0.35" bottom="0.35" header="0.25" footer="0.25"/>
  <pageSetup orientation="landscape" scale="65" horizontalDpi="429496729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Vertex42.com</dc:creator>
  <dc:title xmlns:dc="http://purl.org/dc/elements/1.1/">NCAA Basketball Tournament Bracket</dc:title>
  <dc:description xmlns:dc="http://purl.org/dc/elements/1.1/">(c) 2012-2023 Vertex42 LLC.</dc:description>
  <dcterms:created xmlns:dcterms="http://purl.org/dc/terms/" xmlns:xsi="http://www.w3.org/2001/XMLSchema-instance" xsi:type="dcterms:W3CDTF">2012-02-10T03:16:24Z</dcterms:created>
  <dcterms:modified xmlns:dcterms="http://purl.org/dc/terms/" xmlns:xsi="http://www.w3.org/2001/XMLSchema-instance" xsi:type="dcterms:W3CDTF">2026-02-28T00:43:32Z</dcterms:modified>
  <cp:lastModifiedBy>Anthony Gallante</cp:lastModifiedBy>
  <cp:lastPrinted>2018-03-12T04:22:21Z</cp:lastPrinted>
</cp:coreProperties>
</file>

<file path=docProps/custom.xml><?xml version="1.0" encoding="utf-8"?>
<Properties xmlns="http://schemas.openxmlformats.org/officeDocument/2006/custom-properties">
  <property name="Copyright" fmtid="{D5CDD505-2E9C-101B-9397-08002B2CF9AE}" pid="2">
    <vt:lpwstr xmlns:vt="http://schemas.openxmlformats.org/officeDocument/2006/docPropsVTypes">2012-2023 Vertex42 LLC</vt:lpwstr>
  </property>
  <property name="Version" fmtid="{D5CDD505-2E9C-101B-9397-08002B2CF9AE}" pid="3">
    <vt:lpwstr xmlns:vt="http://schemas.openxmlformats.org/officeDocument/2006/docPropsVTypes">1.1.5</vt:lpwstr>
  </property>
</Properties>
</file>