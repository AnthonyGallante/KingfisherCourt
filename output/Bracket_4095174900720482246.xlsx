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099FB0B9-DEBA-4859-AFC1-98C95117319D}" xr6:coauthVersionLast="47" xr6:coauthVersionMax="47" xr10:uidLastSave="{00000000-0000-0000-0000-000000000000}"/>
  <bookViews>
    <workbookView xWindow="2688" yWindow="2688" windowWidth="23040" windowHeight="12120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/>
  <c r="E337" i="6" a="1"/>
  <c r="E337" i="6"/>
  <c r="E338" i="6" a="1"/>
  <c r="E338" i="6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<sst xmlns="http://schemas.openxmlformats.org/spreadsheetml/2006/main" count="1526" uniqueCount="1194">
  <si>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</si>
  <si>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</si>
  <si>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</si>
  <si>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</si>
  <si>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</si>
  <si>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</si>
  <si>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</si>
  <si>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</si>
  <si>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</si>
  <si>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</si>
  <si>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</si>
  <si>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</si>
  <si>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</si>
  <si>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</si>
  <si>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</si>
  <si>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</si>
  <si>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</si>
  <si>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</si>
  <si>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</si>
  <si>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</si>
  <si>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</si>
  <si>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</si>
  <si>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</si>
  <si>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</si>
  <si>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</si>
  <si>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</si>
  <si>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</si>
  <si>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</si>
  <si>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</si>
  <si>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</si>
  <si>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</si>
  <si>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</si>
  <si>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</si>
  <si>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</si>
  <si>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</si>
  <si>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</si>
  <si>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</si>
  <si>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</si>
  <si>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</si>
  <si>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</si>
  <si>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</si>
  <si>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</si>
  <si>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</si>
  <si>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</si>
  <si>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</si>
  <si>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</si>
  <si>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</si>
  <si>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</si>
  <si>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</si>
  <si>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</si>
  <si>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</si>
  <si>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</si>
  <si>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</si>
  <si>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</si>
  <si>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</si>
  <si>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</si>
  <si>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</si>
  <si>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</si>
  <si>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</si>
  <si>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</si>
  <si>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</si>
  <si>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</si>
  <si>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</si>
  <si>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</si>
  <si>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</si>
  <si>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</si>
  <si>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</si>
  <si>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</si>
  <si>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</si>
  <si>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</si>
  <si>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</si>
  <si>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</si>
  <si>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</si>
  <si>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</si>
  <si>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</si>
  <si>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</si>
  <si>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</si>
  <si>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</si>
  <si>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</si>
  <si>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</si>
  <si>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</si>
  <si>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</si>
  <si>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</si>
  <si>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</si>
  <si>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</si>
  <si>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</si>
  <si>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</si>
  <si>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</si>
  <si>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</si>
  <si>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</si>
  <si>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</si>
  <si>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</si>
  <si>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</si>
  <si>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</si>
  <si>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</si>
  <si>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</si>
  <si>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</si>
  <si>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</si>
  <si>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</si>
  <si>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</si>
  <si>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</si>
  <si>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</si>
  <si>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</si>
  <si>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</si>
  <si>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</si>
  <si>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</si>
  <si>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</si>
  <si>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</si>
  <si>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</si>
  <si>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</si>
  <si>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</si>
  <si>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</si>
  <si>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</si>
  <si>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</si>
  <si>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</si>
  <si>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</si>
  <si>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</si>
  <si>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</si>
  <si>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</si>
  <si>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</si>
  <si>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</si>
  <si>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</si>
  <si>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</si>
  <si>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</si>
  <si>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</si>
  <si>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</si>
  <si>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</si>
  <si>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</si>
  <si>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</si>
  <si>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</si>
  <si>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</si>
  <si>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</si>
  <si>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</si>
  <si>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</si>
  <si>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</si>
  <si>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</si>
  <si>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</si>
  <si>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</si>
  <si>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</si>
  <si>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</si>
  <si>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</si>
  <si>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</si>
  <si>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</si>
  <si>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</si>
  <si>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</si>
  <si>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</si>
  <si>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</si>
  <si>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</si>
  <si>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</si>
  <si>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</si>
  <si>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</si>
  <si>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</si>
  <si>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</si>
  <si>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</si>
  <si>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</si>
  <si>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</si>
  <si>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</si>
  <si>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</si>
  <si>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</si>
  <si>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</si>
  <si>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</si>
  <si>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</si>
  <si>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</si>
  <si>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</si>
  <si>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</si>
  <si>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</si>
  <si>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</si>
  <si>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</si>
  <si>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</si>
  <si>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</si>
  <si>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</si>
  <si>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</si>
  <si>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</si>
  <si>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</si>
  <si>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</si>
  <si>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</si>
  <si>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</si>
  <si>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</si>
  <si>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</si>
  <si>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</si>
  <si>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</si>
  <si>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</si>
  <si>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</si>
  <si>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</si>
  <si>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</si>
  <si>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</si>
  <si>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</si>
  <si>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</si>
  <si>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</si>
  <si>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</si>
  <si>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</si>
  <si>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</si>
  <si>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</si>
  <si>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</si>
  <si>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</si>
  <si>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</si>
  <si>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</si>
  <si>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</si>
  <si>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</si>
  <si>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</si>
  <si>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</si>
  <si>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</si>
  <si>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</si>
  <si>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</si>
  <si>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</si>
  <si>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</si>
  <si>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</si>
  <si>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</si>
  <si>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</si>
  <si>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</si>
  <si>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</si>
  <si>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</si>
  <si>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</si>
  <si>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</si>
  <si>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</si>
  <si>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</si>
  <si>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</si>
  <si>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</si>
  <si>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</si>
  <si>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</si>
  <si>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</si>
  <si>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</si>
  <si>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</si>
  <si>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</si>
  <si>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</si>
  <si>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</si>
  <si>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</si>
  <si>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</si>
  <si>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</si>
  <si>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</si>
  <si>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</si>
  <si>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</si>
  <si>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</si>
  <si>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</si>
  <si>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</si>
  <si>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</si>
  <si>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</si>
  <si>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</si>
  <si>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</si>
  <si>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</si>
  <si>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</si>
  <si>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</si>
  <si>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</si>
  <si>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</si>
  <si>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</si>
  <si>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</si>
  <si>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</si>
  <si>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</si>
  <si>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</si>
  <si>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</si>
  <si>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</si>
  <si>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</si>
  <si>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</si>
  <si>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</si>
  <si>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</si>
  <si>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</si>
  <si>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</si>
  <si>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</si>
  <si>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</si>
  <si>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</si>
  <si>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</si>
  <si>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</si>
  <si>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</si>
  <si>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</si>
  <si>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</si>
  <si>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</si>
  <si>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</si>
  <si>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</si>
  <si>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</si>
  <si>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</si>
  <si>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</si>
  <si>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</si>
  <si>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</si>
  <si>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</si>
  <si>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</si>
  <si>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</si>
  <si>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</si>
  <si>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</si>
  <si>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</si>
  <si>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</si>
  <si>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</si>
  <si>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</si>
  <si>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</si>
  <si>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</si>
  <si>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</si>
  <si>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</si>
  <si>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</si>
  <si>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</si>
  <si>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</si>
  <si>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</si>
  <si>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</si>
  <si>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</si>
  <si>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</si>
  <si>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</si>
  <si>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</si>
  <si>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</si>
  <si>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</si>
  <si>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</si>
  <si>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</si>
  <si>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</si>
  <si>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</si>
  <si>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</si>
  <si>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</si>
  <si>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</si>
  <si>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</si>
  <si>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</si>
  <si>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</si>
  <si>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</si>
  <si>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</si>
  <si>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</si>
  <si>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</si>
  <si>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</si>
  <si>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</si>
  <si>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</si>
  <si>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</si>
  <si>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</si>
  <si>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</si>
  <si>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</si>
  <si>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</si>
  <si>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</si>
  <si>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</si>
  <si>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</si>
  <si>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</si>
  <si>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</si>
  <si>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</si>
  <si>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</si>
  <si>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</si>
  <si>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</si>
  <si>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</si>
  <si>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</si>
  <si>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</si>
  <si>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</si>
  <si>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</si>
  <si>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</si>
  <si>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</si>
  <si>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</si>
  <si>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</si>
  <si>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</si>
  <si>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</si>
  <si>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</si>
  <si>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</si>
  <si>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</si>
  <si>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</si>
  <si>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</si>
  <si>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</si>
  <si>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</si>
  <si>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</si>
  <si>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</si>
  <si>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</si>
  <si>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</si>
  <si>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</si>
  <si>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</si>
  <si>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</si>
  <si>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</si>
  <si>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</si>
  <si>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</si>
  <si>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</si>
  <si>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</si>
  <si>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</si>
  <si>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</si>
  <si>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</si>
  <si>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</si>
  <si>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</si>
  <si>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</si>
  <si>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</si>
  <si>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</si>
  <si>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</si>
  <si>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</si>
  <si>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</si>
  <si>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</si>
  <si>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</si>
  <si>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</si>
  <si>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</si>
  <si>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</si>
  <si>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</si>
  <si>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</si>
  <si>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</si>
  <si>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</si>
  <si>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</si>
  <si>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</si>
  <si>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</si>
  <si>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</si>
  <si>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</si>
  <si>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</si>
  <si>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</si>
  <si>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</si>
  <si>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</si>
  <si>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</si>
  <si>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</si>
  <si>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</si>
  <si>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</si>
  <si>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</si>
  <si>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</si>
  <si>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</si>
  <si>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</si>
  <si>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</si>
  <si>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</si>
  <si>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</si>
  <si>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</si>
  <si>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</si>
  <si>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</si>
  <si>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</si>
  <si>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</si>
  <si>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</si>
  <si>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</si>
  <si>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</si>
  <si>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</si>
  <si>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</si>
  <si>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</si>
  <si>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</si>
  <si>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</si>
  <si>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</si>
  <si>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</si>
  <si>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</si>
  <si>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</si>
  <si>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</si>
  <si>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</si>
  <si>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</si>
  <si>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</si>
  <si>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</si>
  <si>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</si>
  <si>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</si>
  <si>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</si>
  <si>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</si>
  <si>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</si>
  <si>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</si>
  <si>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</si>
  <si>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</si>
  <si>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</si>
  <si>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</si>
  <si>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</si>
  <si>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</si>
  <si>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</si>
  <si>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</si>
  <si>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</si>
  <si>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</si>
  <si>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</si>
  <si>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</si>
  <si>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</si>
  <si>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</si>
  <si>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</si>
  <si>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</si>
  <si>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</si>
  <si>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</si>
  <si>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</si>
  <si>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</si>
  <si>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</si>
  <si>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</si>
  <si>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</si>
  <si>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</si>
  <si>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</si>
  <si>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</si>
  <si>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</si>
  <si>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</si>
  <si>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</si>
  <si>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</si>
  <si>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</si>
  <si>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</si>
  <si>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</si>
  <si>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</si>
  <si>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</si>
  <si>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</si>
  <si>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</si>
  <si>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</si>
  <si>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</si>
  <si>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</si>
  <si>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</si>
  <si>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</si>
  <si>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</si>
  <si>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</si>
  <si>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</si>
  <si>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</si>
  <si>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</si>
  <si>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</si>
  <si>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</si>
  <si>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</si>
  <si>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</si>
  <si>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</si>
  <si>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</si>
  <si>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</si>
  <si>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</si>
  <si>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</si>
  <si>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</si>
  <si>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</si>
  <si>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</si>
  <si>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</si>
  <si>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</si>
  <si>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</si>
  <si>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</si>
  <si>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</si>
  <si>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</si>
  <si>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</si>
  <si>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</si>
  <si>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</si>
  <si>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</si>
  <si>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</si>
  <si>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</si>
  <si>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</si>
  <si>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</si>
  <si>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</si>
  <si>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</si>
  <si>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</si>
  <si>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</si>
  <si>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</si>
  <si>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</si>
  <si>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</si>
  <si>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</si>
  <si>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</si>
  <si>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</si>
  <si>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</si>
  <si>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</si>
  <si>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</si>
  <si>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</si>
  <si>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</si>
  <si>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</si>
  <si>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</si>
  <si>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</si>
  <si>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</si>
  <si>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</si>
  <si>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</si>
  <si>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</si>
  <si>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</si>
  <si>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</si>
  <si>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</si>
  <si>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</si>
  <si>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</si>
  <si>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</si>
  <si>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</si>
  <si>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</si>
  <si>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</si>
  <si>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</si>
  <si>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</si>
  <si>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</si>
  <si>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</si>
  <si>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</si>
  <si>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</si>
  <si>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</si>
  <si>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</si>
  <si>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</si>
  <si>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</si>
  <si>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</si>
  <si>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</si>
  <si>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</si>
  <si>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</si>
  <si>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</si>
  <si>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</si>
  <si>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</si>
  <si>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</si>
  <si>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</si>
  <si>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</si>
  <si>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</si>
  <si>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</si>
  <si>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</si>
  <si>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</si>
  <si>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</si>
  <si>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</si>
  <si>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</si>
  <si>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</si>
  <si>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</si>
  <si>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</si>
  <si>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</si>
  <si>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</si>
  <si>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</si>
  <si>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</si>
  <si>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</si>
  <si>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</si>
  <si>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</si>
  <si>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</si>
  <si>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</si>
  <si>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</si>
  <si>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</si>
  <si>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</si>
  <si>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</si>
  <si>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</si>
  <si>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</si>
  <si>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</si>
  <si>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</si>
  <si>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</si>
  <si>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</si>
  <si>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</si>
  <si>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</si>
  <si>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</si>
  <si>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</si>
  <si>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</si>
  <si>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</si>
  <si>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</si>
  <si>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</si>
  <si>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</si>
  <si>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</si>
  <si>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</si>
  <si>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</si>
  <si>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</si>
  <si>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</si>
  <si>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</si>
  <si>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</si>
  <si>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</si>
  <si>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</si>
  <si>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</si>
  <si>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</si>
  <si>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</si>
  <si>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</si>
  <si>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</si>
  <si>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</si>
  <si>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</si>
  <si>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</si>
  <si>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</si>
  <si>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</si>
  <si>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</si>
  <si>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</si>
  <si>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</si>
  <si>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</si>
  <si>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</si>
  <si>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</si>
  <si>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</si>
  <si>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</si>
  <si>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</si>
  <si>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</si>
  <si>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</si>
  <si>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</si>
  <si>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</si>
  <si>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</si>
  <si>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</si>
  <si>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</si>
  <si>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</si>
  <si>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</si>
  <si>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</si>
  <si>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</si>
  <si>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</si>
  <si>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</si>
  <si>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</si>
  <si>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</si>
  <si>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</si>
  <si>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</si>
  <si>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</si>
  <si>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</si>
  <si>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</si>
  <si>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</si>
  <si>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</si>
  <si>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</si>
  <si>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</si>
  <si>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</si>
  <si>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</si>
  <si>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</si>
  <si>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</si>
  <si>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</si>
  <si>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</si>
  <si>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</si>
  <si>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</si>
  <si>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</si>
  <si>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</si>
  <si>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</si>
  <si>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</si>
  <si>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</si>
  <si>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</si>
  <si>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</si>
  <si>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</si>
  <si>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</si>
  <si>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</si>
  <si>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</si>
  <si>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</si>
  <si>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</si>
  <si>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</si>
  <si>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</si>
  <si>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</si>
  <si>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</si>
  <si>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</si>
  <si>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</si>
  <si>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</si>
  <si>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</si>
  <si>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</si>
  <si>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</si>
  <si>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</si>
  <si>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</si>
  <si>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</si>
  <si>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</si>
  <si>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</si>
  <si>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</si>
  <si>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</si>
  <si>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</si>
  <si>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</si>
  <si>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</si>
  <si>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</si>
  <si>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</si>
  <si>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</si>
  <si>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</si>
  <si>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</si>
  <si>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</si>
  <si>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</si>
  <si>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</si>
  <si>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</si>
  <si>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</si>
  <si>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</si>
  <si>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</si>
  <si>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</si>
  <si>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</si>
  <si>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</si>
  <si>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</si>
  <si>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</si>
  <si>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</si>
  <si>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</si>
  <si>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</si>
  <si>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</si>
  <si>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</si>
  <si>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</si>
  <si>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</si>
  <si>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</si>
  <si>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</si>
  <si>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</si>
  <si>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</si>
  <si>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</si>
  <si>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</si>
  <si>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</si>
  <si>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</si>
  <si>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</si>
  <si>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</si>
  <si>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</si>
  <si>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</si>
  <si>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</si>
  <si>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</si>
  <si>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</si>
  <si>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</si>
  <si>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</si>
  <si>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</si>
  <si>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</si>
  <si>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</si>
  <si>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</si>
  <si>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</si>
  <si>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</si>
  <si>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</si>
  <si>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</si>
  <si>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</si>
  <si>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</si>
  <si>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</si>
  <si>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</si>
  <si>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</si>
  <si>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</si>
  <si>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</si>
  <si>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</si>
  <si>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</si>
  <si>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</si>
  <si>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</si>
  <si>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</si>
  <si>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</si>
  <si>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</si>
  <si>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</si>
  <si>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</si>
  <si>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</si>
  <si>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</si>
  <si>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</si>
  <si>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</si>
  <si>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</si>
  <si>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</si>
  <si>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</si>
  <si>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</si>
  <si>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</si>
  <si>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</si>
  <si>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</si>
  <si>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</si>
  <si>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</si>
  <si>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</si>
  <si>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</si>
  <si>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</si>
  <si>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</si>
  <si>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</si>
  <si>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</si>
  <si>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</si>
  <si>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</si>
  <si>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</si>
  <si>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</si>
  <si>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</si>
  <si>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</si>
  <si>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</si>
  <si>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</si>
  <si>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</si>
  <si>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</si>
  <si>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</si>
  <si>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</si>
  <si>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</si>
  <si>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</si>
  <si>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</si>
  <si>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</si>
  <si>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</si>
  <si>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</si>
  <si>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</si>
  <si>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</si>
  <si>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</si>
  <si>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</si>
  <si>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</si>
  <si>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</si>
  <si>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</si>
  <si>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</si>
  <si>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</si>
  <si>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</si>
  <si>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</si>
  <si>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</si>
  <si>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</si>
  <si>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</si>
  <si>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</si>
  <si>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</si>
  <si>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</si>
  <si>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</si>
  <si>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</si>
  <si>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</si>
  <si>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</si>
  <si>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</si>
  <si>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</si>
  <si>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</si>
  <si>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</si>
  <si>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</si>
  <si>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</si>
  <si>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</si>
  <si>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</si>
  <si>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</si>
  <si>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</si>
  <si>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</si>
  <si>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</si>
  <si>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</si>
  <si>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</si>
  <si>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</si>
  <si>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</si>
  <si>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</si>
  <si>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</si>
  <si>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</si>
  <si>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</si>
  <si>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</si>
  <si>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</si>
  <si>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</si>
  <si>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</si>
  <si>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</si>
  <si>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</si>
  <si>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</si>
  <si>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</si>
  <si>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</si>
  <si>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</si>
  <si>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</si>
  <si>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</si>
  <si>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</si>
  <si>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</si>
  <si>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</si>
  <si>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</si>
  <si>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</si>
  <si>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</si>
  <si>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</si>
  <si>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</si>
  <si>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</si>
  <si>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</si>
  <si>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</si>
  <si>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</si>
  <si>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</si>
  <si>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</si>
  <si>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</si>
  <si>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</si>
  <si>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</si>
  <si>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</si>
  <si>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</si>
  <si>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</si>
  <si>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</si>
  <si>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</si>
  <si>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</si>
  <si>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</si>
  <si>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</si>
  <si>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</si>
  <si>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</si>
  <si>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</si>
  <si>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</si>
  <si>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</si>
  <si>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</si>
  <si>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</si>
  <si>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</si>
  <si>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</si>
  <si>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</si>
  <si>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</si>
  <si>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</si>
  <si>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</si>
  <si>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</si>
  <si>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</si>
  <si>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</si>
  <si>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</si>
  <si>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</si>
  <si>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</si>
  <si>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</si>
  <si>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</si>
  <si>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</si>
  <si>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</si>
  <si>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</si>
  <si>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</si>
  <si>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</si>
  <si>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</si>
  <si>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</si>
  <si>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</si>
  <si>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</si>
  <si>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</si>
  <si>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</si>
  <si>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</si>
  <si>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</si>
  <si>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</si>
  <si>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</si>
  <si>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</si>
  <si>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</si>
  <si>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</si>
  <si>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</si>
  <si>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</si>
  <si>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</si>
  <si>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</si>
  <si>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</si>
  <si>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</si>
  <si>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</si>
  <si>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</si>
  <si>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</si>
  <si>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</si>
  <si>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</si>
  <si>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</si>
  <si>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</si>
  <si>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</si>
  <si>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</si>
  <si>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</si>
  <si>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</si>
  <si>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</si>
  <si>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</si>
  <si>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</si>
  <si>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</si>
  <si>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</si>
  <si>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</si>
  <si>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</si>
  <si>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</si>
  <si>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</si>
  <si>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</si>
  <si>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</si>
  <si>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</si>
  <si>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</si>
  <si>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</si>
  <si>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</si>
  <si>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</si>
  <si>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</si>
  <si>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</si>
  <si>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</si>
  <si>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</si>
  <si>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</si>
  <si>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</si>
  <si>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</si>
  <si>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</si>
  <si>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</si>
  <si>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</si>
  <si>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</si>
  <si>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</si>
  <si>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</si>
  <si>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</si>
  <si>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</si>
  <si>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</si>
  <si>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</si>
  <si>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</si>
  <si>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</si>
  <si>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</si>
  <si>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</si>
  <si>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</si>
  <si>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</si>
  <si>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</si>
  <si>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</si>
  <si>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</si>
  <si>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</si>
  <si>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</si>
  <si>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</si>
  <si>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</si>
  <si>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</si>
  <si>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</si>
  <si>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</si>
  <si>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</si>
  <si>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</si>
  <si>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</si>
  <si>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</si>
  <si>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</si>
  <si>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</si>
  <si>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</si>
  <si>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</si>
  <si>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</si>
  <si>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</si>
  <si>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</si>
  <si>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</si>
  <si>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</si>
  <si>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</si>
  <si>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</si>
  <si>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</si>
  <si>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</si>
  <si>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</si>
  <si>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</si>
  <si>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</si>
  <si>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</si>
  <si>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</si>
  <si>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</si>
  <si>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</si>
  <si>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</si>
  <si>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</si>
  <si>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</si>
  <si>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</si>
  <si>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</si>
  <si>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</si>
  <si>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</si>
  <si>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</si>
  <si>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</si>
  <si>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</si>
  <si>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</si>
  <si>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</si>
  <si>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</si>
  <si>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</si>
  <si>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</si>
  <si>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</si>
  <si>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</si>
  <si>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</si>
  <si>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</si>
  <si>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</si>
  <si>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</si>
  <si>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</si>
  <si>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</si>
  <si>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</si>
  <si>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</si>
  <si>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</si>
  <si>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</si>
  <si>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</si>
  <si>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</si>
  <si>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</si>
  <si>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</si>
  <si>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</si>
  <si>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</si>
  <si>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</si>
  <si>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</si>
  <si>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</si>
  <si>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</si>
  <si>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</si>
  <si>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</si>
  <si>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</si>
  <si>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</si>
  <si>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</si>
  <si>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</si>
  <si>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</si>
  <si>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</si>
  <si>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</si>
  <si>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</si>
  <si>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</si>
  <si>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</si>
  <si>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</si>
  <si>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</si>
  <si>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</si>
  <si>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</si>
  <si>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</si>
  <si>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</si>
  <si>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</si>
  <si>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</si>
  <si>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</si>
  <si>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</si>
  <si>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</si>
  <si>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</si>
  <si>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</si>
  <si>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</si>
  <si>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</si>
  <si>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</si>
  <si>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</si>
  <si>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</si>
  <si>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</si>
  <si>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</si>
  <si>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</si>
  <si>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</si>
  <si>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</si>
  <si>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</si>
  <si>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</si>
  <si>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</si>
  <si>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</si>
  <si>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</si>
  <si>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</si>
  <si>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</si>
  <si>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</si>
  <si>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</si>
  <si>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</si>
  <si>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</si>
  <si>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</si>
  <si>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</si>
  <si>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</si>
  <si>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</si>
  <si>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</si>
  <si>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</si>
  <si>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</si>
  <si>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</si>
  <si>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</si>
  <si>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</si>
  <si>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</si>
  <si>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</si>
  <si>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</si>
  <si>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</si>
  <si>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</si>
  <si>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</si>
  <si>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</si>
  <si>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</si>
  <si>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</si>
  <si>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</si>
  <si>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</si>
  <si>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</si>
  <si>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</si>
  <si>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</si>
  <si>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</si>
  <si>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</si>
  <si>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</si>
  <si>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</si>
  <si>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</si>
  <si>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</si>
  <si>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</si>
  <si>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</si>
  <si>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</si>
  <si>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</si>
  <si>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</si>
  <si>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</si>
  <si>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</si>
  <si>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</si>
  <si>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</si>
  <si>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</si>
  <si>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</si>
  <si>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</si>
  <si>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</si>
  <si>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</si>
  <si>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</si>
  <si>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</si>
  <si>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</si>
  <si>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</si>
  <si>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</si>
  <si>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</si>
  <si>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</si>
  <si>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</si>
  <si>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</si>
  <si>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</si>
  <si>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</si>
  <si>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</si>
  <si>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</si>
  <si>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</si>
  <si>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Bucknell: 95 - 406 :Buffalo</t>
  </si>
  <si>
    <t>Butler: 350 - 151 :Cal Poly</t>
  </si>
  <si>
    <t>UPSET! Normal winner is Cal State Fullerton</t>
  </si>
  <si>
    <t>Cal State Northridge: 260 - 241 :California</t>
  </si>
  <si>
    <t>California Baptist: 178 - 323 :Campbell</t>
  </si>
  <si>
    <t>Canisius: 19 - 482 :Central Arkansas</t>
  </si>
  <si>
    <t>Central Connecticut State: 211 - 290 :Central Michigan</t>
  </si>
  <si>
    <t>Charleston Southern: 278 - 223 :Charlotte</t>
  </si>
  <si>
    <t>Auburn: 273 - 228 :Austin Peay</t>
  </si>
  <si>
    <t>Ball State: 69 - 432 :Baylor</t>
  </si>
  <si>
    <t>UPSET! Normal winner is Belmont</t>
  </si>
  <si>
    <t>UPSET! Normal winner is Bethune-Cookman</t>
  </si>
  <si>
    <t>Boise State: 409 - 92 :Boston College</t>
  </si>
  <si>
    <t>Drake: 4 - 497 :Duke</t>
  </si>
  <si>
    <t>Bradley: 85 - 416 :Brigham Young</t>
  </si>
  <si>
    <t>Brown: 301 - 200 :Bryant</t>
  </si>
  <si>
    <t>Abilene Christian: 442 - 59 :Air Force</t>
  </si>
  <si>
    <t>UPSET! Normal winner is Alabama</t>
  </si>
  <si>
    <t>Alabama A&amp;M: 328 - 173 :Alabama State</t>
  </si>
  <si>
    <t>Albany (NY): 331 - 170 :Alcorn State</t>
  </si>
  <si>
    <t>American: 42 - 459 :Appalachian State</t>
  </si>
  <si>
    <t>Arizona: 491 - 10 :Arizona State</t>
  </si>
  <si>
    <t>Arkansas: 453 - 48 :Arkansas State</t>
  </si>
  <si>
    <t>Arkansas-Pine Bluff: 371 - 130 :Army</t>
  </si>
  <si>
    <t>Chattanooga: 375 - 126 :Chicago State</t>
  </si>
  <si>
    <t>Cincinnati: 303 - 198 :Clemson</t>
  </si>
  <si>
    <t>Cleveland State: 59 - 442 :Coastal Carolina</t>
  </si>
  <si>
    <t>Colgate: 92 - 409 :College of Charleston</t>
  </si>
  <si>
    <t>UPSET! Normal winner is Colorado</t>
  </si>
  <si>
    <t>Columbia: 18 - 483 :Connecticut</t>
  </si>
  <si>
    <t>Coppin State: 26 - 475 :Cornell</t>
  </si>
  <si>
    <t>UPSET! Normal winner is Creighton</t>
  </si>
  <si>
    <t>Buffalo: 246 - 255 :Butler</t>
  </si>
  <si>
    <t>Cal State Bakersfield: 30 - 471 :Cal State Northridge</t>
  </si>
  <si>
    <t>Campbell: 164 - 337 :Central Arkansas</t>
  </si>
  <si>
    <t>Central Michigan: 210 - 291 :Charleston Southern</t>
  </si>
  <si>
    <t>UPSET! Normal winner is Auburn</t>
  </si>
  <si>
    <t>Bellarmine: 299 - 202 :Binghamton</t>
  </si>
  <si>
    <t>Boise State: 34 - 467 :Duke</t>
  </si>
  <si>
    <t>Brigham Young: 490 - 11 :Brown</t>
  </si>
  <si>
    <t>Abilene Christian: 11 - 490 :Akron</t>
  </si>
  <si>
    <t>Alabama A&amp;M: 204 - 297 :Albany (NY)</t>
  </si>
  <si>
    <t>Appalachian State: 23 - 478 :Arizona</t>
  </si>
  <si>
    <t>Arkansas: 480 - 21 :Arkansas-Pine Bluff</t>
  </si>
  <si>
    <t>Chattanooga: 58 - 443 :Cincinnati</t>
  </si>
  <si>
    <t>UPSET! Normal winner is College of Charleston</t>
  </si>
  <si>
    <t>Colorado State: 53 - 448 :Connecticut</t>
  </si>
  <si>
    <t>UPSET! Normal winner is Cornell</t>
  </si>
  <si>
    <t>Butler: 221 - 280 :Cal State Northridge</t>
  </si>
  <si>
    <t>Central Arkansas: 416 - 85 :Charleston Southern</t>
  </si>
  <si>
    <t>Baylor: 457 - 44 :Bellarmine</t>
  </si>
  <si>
    <t>UPSET! Normal winner is Duke</t>
  </si>
  <si>
    <t>Akron: 462 - 39 :Albany (NY)</t>
  </si>
  <si>
    <t>Arizona: 413 - 88 :Arkansas</t>
  </si>
  <si>
    <t>Cincinnati: 285 - 216 :Coastal Carolina</t>
  </si>
  <si>
    <t>Connecticut: 472 - 29 :Dartmouth</t>
  </si>
  <si>
    <t>UPSET! Normal winner is Central Arkansas</t>
  </si>
  <si>
    <t>Baylor: 152 - 349 :Brigham Young</t>
  </si>
  <si>
    <t>Akron: 50 - 451 :Arizona</t>
  </si>
  <si>
    <t>Cincinnati: 167 - 334 :Connecticut</t>
  </si>
  <si>
    <t>UPSET! Normal winner is Brigham Young</t>
  </si>
  <si>
    <t>Arizona: 440 - 61 :Connecticut</t>
  </si>
  <si>
    <t>Arizona: 481 - 20 :Cal State Northridge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</si>
</sst>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drake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40"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C32" sqref="C32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112</v>
      </c>
      <c r="D28" t="str">
        <f>_xlfn.XLOOKUP(Teams[[#This Row],[Team]],Team_Links[School],Team_Links[PartialLink],,0,1)</f>
        <v>drake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0.19</v>
      </c>
      <c r="M5" s="84" t="e" vm="66">
        <f>_xlfn.XLOOKUP(I5,Teams!$C:$C,Teams!$E:$E,,0,1)</f>
        <v>#VALUE!</v>
      </c>
      <c r="N5" s="84">
        <v>0.81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 t="s">
        <v>1131</v>
      </c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0.7</v>
      </c>
      <c r="M6" s="82" t="e" vm="68">
        <f>_xlfn.XLOOKUP(I6,Teams!$C:$C,Teams!$E:$E,,0,1)</f>
        <v>#VALUE!</v>
      </c>
      <c r="N6" s="82">
        <v>0.3</v>
      </c>
      <c r="O6" s="189" t="str">
        <f t="shared" si="3"/>
        <v>Butler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1</v>
      </c>
      <c r="M7" s="82" t="e" vm="70">
        <f>_xlfn.XLOOKUP(I7,Teams!$C:$C,Teams!$E:$E,,0,1)</f>
        <v>#VALUE!</v>
      </c>
      <c r="N7" s="82">
        <v>0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0.52</v>
      </c>
      <c r="M8" s="82" t="e" vm="72">
        <f>_xlfn.XLOOKUP(I8,Teams!$C:$C,Teams!$E:$E,,0,1)</f>
        <v>#VALUE!</v>
      </c>
      <c r="N8" s="82">
        <v>0.48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0.36</v>
      </c>
      <c r="M9" s="82" t="e" vm="74">
        <f>_xlfn.XLOOKUP(I9,Teams!$C:$C,Teams!$E:$E,,0,1)</f>
        <v>#VALUE!</v>
      </c>
      <c r="N9" s="82">
        <v>0.64</v>
      </c>
      <c r="O9" s="189" t="str">
        <f t="shared" si="3"/>
        <v>Campbell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0.04</v>
      </c>
      <c r="M10" s="82" t="e" vm="76">
        <f>_xlfn.XLOOKUP(I10,Teams!$C:$C,Teams!$E:$E,,0,1)</f>
        <v>#VALUE!</v>
      </c>
      <c r="N10" s="82">
        <v>0.96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0.42</v>
      </c>
      <c r="M11" s="82" t="e" vm="78">
        <f>_xlfn.XLOOKUP(I11,Teams!$C:$C,Teams!$E:$E,,0,1)</f>
        <v>#VALUE!</v>
      </c>
      <c r="N11" s="82">
        <v>0.57999999999999996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0.55000000000000004</v>
      </c>
      <c r="M12" s="109" t="e" vm="80">
        <f>_xlfn.XLOOKUP(I12,Teams!$C:$C,Teams!$E:$E,,0,1)</f>
        <v>#VALUE!</v>
      </c>
      <c r="N12" s="109">
        <v>0.45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0.54</v>
      </c>
      <c r="M13" s="115" t="e" vm="82">
        <f>_xlfn.XLOOKUP(I13,Teams!$C:$C,Teams!$E:$E,,0,1)</f>
        <v>#VALUE!</v>
      </c>
      <c r="N13" s="115">
        <v>0.46</v>
      </c>
      <c r="O13" s="191" t="str">
        <f t="shared" si="3"/>
        <v>Auburn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0.14000000000000001</v>
      </c>
      <c r="M14" s="83" t="e" vm="84">
        <f>_xlfn.XLOOKUP(I14,Teams!$C:$C,Teams!$E:$E,,0,1)</f>
        <v>#VALUE!</v>
      </c>
      <c r="N14" s="83">
        <v>0.86</v>
      </c>
      <c r="O14" s="192" t="str">
        <f t="shared" si="3"/>
        <v>Baylor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1</v>
      </c>
      <c r="M15" s="83" t="e" vm="86">
        <f>_xlfn.XLOOKUP(I15,Teams!$C:$C,Teams!$E:$E,,0,1)</f>
        <v>#VALUE!</v>
      </c>
      <c r="N15" s="83">
        <v>0</v>
      </c>
      <c r="O15" s="192" t="str">
        <f t="shared" si="3"/>
        <v>Bellarmine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1</v>
      </c>
      <c r="M16" s="83" t="e" vm="88">
        <f>_xlfn.XLOOKUP(I16,Teams!$C:$C,Teams!$E:$E,,0,1)</f>
        <v>#VALUE!</v>
      </c>
      <c r="N16" s="83">
        <v>0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0.82</v>
      </c>
      <c r="M17" s="83" t="e" vm="90">
        <f>_xlfn.XLOOKUP(I17,Teams!$C:$C,Teams!$E:$E,,0,1)</f>
        <v>#VALUE!</v>
      </c>
      <c r="N17" s="83">
        <v>0.18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Drake</v>
      </c>
      <c r="B18" s="91" t="str">
        <f t="shared" si="0"/>
        <v>Duke</v>
      </c>
      <c r="C18" s="91" t="str">
        <f t="shared" si="1"/>
        <v>Drake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112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0.01</v>
      </c>
      <c r="M18" s="83" t="e" vm="92">
        <f>_xlfn.XLOOKUP(I18,Teams!$C:$C,Teams!$E:$E,,0,1)</f>
        <v>#VALUE!</v>
      </c>
      <c r="N18" s="83">
        <v>0.99</v>
      </c>
      <c r="O18" s="192" t="str">
        <f t="shared" si="3"/>
        <v>Duke</v>
      </c>
      <c r="P18" s="207" t="e" vm="92">
        <f>_xlfn.XLOOKUP(O18,Teams!$C:$C,Teams!$E:$E,,0,1)</f>
        <v>#VALUE!</v>
      </c>
      <c r="Q18" s="226" t="s">
        <v>1144</v>
      </c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0.17</v>
      </c>
      <c r="M19" s="83" t="e" vm="94">
        <f>_xlfn.XLOOKUP(I19,Teams!$C:$C,Teams!$E:$E,,0,1)</f>
        <v>#VALUE!</v>
      </c>
      <c r="N19" s="83">
        <v>0.83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 t="s">
        <v>1145</v>
      </c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</v>
      </c>
      <c r="M20" s="126" t="e" vm="96">
        <f>_xlfn.XLOOKUP(I20,Teams!$C:$C,Teams!$E:$E,,0,1)</f>
        <v>#VALUE!</v>
      </c>
      <c r="N20" s="126">
        <v>0.4</v>
      </c>
      <c r="O20" s="193" t="str">
        <f t="shared" si="3"/>
        <v>Brown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1</v>
      </c>
      <c r="M22" s="82" t="e" vm="100">
        <f>_xlfn.XLOOKUP(I22,Teams!$C:$C,Teams!$E:$E,,0,1)</f>
        <v>#VALUE!</v>
      </c>
      <c r="N22" s="82">
        <v>0</v>
      </c>
      <c r="O22" s="189" t="str">
        <f t="shared" si="3"/>
        <v>Akron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0.65</v>
      </c>
      <c r="M23" s="82" t="e" vm="102">
        <f>_xlfn.XLOOKUP(I23,Teams!$C:$C,Teams!$E:$E,,0,1)</f>
        <v>#VALUE!</v>
      </c>
      <c r="N23" s="82">
        <v>0.35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 t="s">
        <v>1149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Alcorn State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0.66</v>
      </c>
      <c r="M24" s="82" t="e" vm="104">
        <f>_xlfn.XLOOKUP(I24,Teams!$C:$C,Teams!$E:$E,,0,1)</f>
        <v>#VALUE!</v>
      </c>
      <c r="N24" s="82">
        <v>0.34</v>
      </c>
      <c r="O24" s="189" t="str">
        <f t="shared" si="3"/>
        <v>Albany (NY)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American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0.08</v>
      </c>
      <c r="M25" s="82" t="e" vm="106">
        <f>_xlfn.XLOOKUP(I25,Teams!$C:$C,Teams!$E:$E,,0,1)</f>
        <v>#VALUE!</v>
      </c>
      <c r="N25" s="82">
        <v>0.92</v>
      </c>
      <c r="O25" s="189" t="str">
        <f t="shared" si="3"/>
        <v>Appalachian State</v>
      </c>
      <c r="P25" s="204" t="e" vm="106">
        <f>_xlfn.XLOOKUP(O25,Teams!$C:$C,Teams!$E:$E,,0,1)</f>
        <v>#VALUE!</v>
      </c>
      <c r="Q25" s="223" t="s">
        <v>1151</v>
      </c>
      <c r="R25" s="6" t="b">
        <f t="shared" si="5"/>
        <v>1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0.98</v>
      </c>
      <c r="M26" s="82" t="e" vm="108">
        <f>_xlfn.XLOOKUP(I26,Teams!$C:$C,Teams!$E:$E,,0,1)</f>
        <v>#VALUE!</v>
      </c>
      <c r="N26" s="82">
        <v>0.02</v>
      </c>
      <c r="O26" s="189" t="str">
        <f t="shared" si="3"/>
        <v>Arizona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</v>
      </c>
      <c r="M27" s="82" t="e" vm="110">
        <f>_xlfn.XLOOKUP(I27,Teams!$C:$C,Teams!$E:$E,,0,1)</f>
        <v>#VALUE!</v>
      </c>
      <c r="N27" s="82">
        <v>0.1</v>
      </c>
      <c r="O27" s="189" t="str">
        <f t="shared" si="3"/>
        <v>Arkansas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0.74</v>
      </c>
      <c r="M28" s="109" t="e" vm="112">
        <f>_xlfn.XLOOKUP(I28,Teams!$C:$C,Teams!$E:$E,,0,1)</f>
        <v>#VALUE!</v>
      </c>
      <c r="N28" s="109">
        <v>0.26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0.75</v>
      </c>
      <c r="M29" s="115" t="e" vm="114">
        <f>_xlfn.XLOOKUP(I29,Teams!$C:$C,Teams!$E:$E,,0,1)</f>
        <v>#VALUE!</v>
      </c>
      <c r="N29" s="115">
        <v>0.25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</v>
      </c>
      <c r="M30" s="83" t="e" vm="116">
        <f>_xlfn.XLOOKUP(I30,Teams!$C:$C,Teams!$E:$E,,0,1)</f>
        <v>#VALUE!</v>
      </c>
      <c r="N30" s="83">
        <v>0.4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 t="s">
        <v>1156</v>
      </c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 t="s">
        <v>1157</v>
      </c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Colgate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0.18</v>
      </c>
      <c r="M32" s="83" t="e" vm="120">
        <f>_xlfn.XLOOKUP(I32,Teams!$C:$C,Teams!$E:$E,,0,1)</f>
        <v>#VALUE!</v>
      </c>
      <c r="N32" s="83">
        <v>0.82</v>
      </c>
      <c r="O32" s="192" t="str">
        <f t="shared" si="3"/>
        <v>College of Charleston</v>
      </c>
      <c r="P32" s="207" t="e" vm="120">
        <f>_xlfn.XLOOKUP(O32,Teams!$C:$C,Teams!$E:$E,,0,1)</f>
        <v>#VALUE!</v>
      </c>
      <c r="Q32" s="226" t="s">
        <v>1158</v>
      </c>
      <c r="R32" s="6" t="b">
        <f t="shared" si="5"/>
        <v>1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1</v>
      </c>
      <c r="M33" s="83" t="e" vm="122">
        <f>_xlfn.XLOOKUP(I33,Teams!$C:$C,Teams!$E:$E,,0,1)</f>
        <v>#VALUE!</v>
      </c>
      <c r="N33" s="83">
        <v>0</v>
      </c>
      <c r="O33" s="192" t="str">
        <f t="shared" si="3"/>
        <v>Colorado</v>
      </c>
      <c r="P33" s="207" t="e" vm="121">
        <f>_xlfn.XLOOKUP(O33,Teams!$C:$C,Teams!$E:$E,,0,1)</f>
        <v>#VALUE!</v>
      </c>
      <c r="Q33" s="226" t="s">
        <v>1159</v>
      </c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0.04</v>
      </c>
      <c r="M34" s="83" t="e" vm="124">
        <f>_xlfn.XLOOKUP(I34,Teams!$C:$C,Teams!$E:$E,,0,1)</f>
        <v>#VALUE!</v>
      </c>
      <c r="N34" s="83">
        <v>0.96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 t="s">
        <v>1160</v>
      </c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Coppin State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0.05</v>
      </c>
      <c r="M35" s="83" t="e" vm="126">
        <f>_xlfn.XLOOKUP(I35,Teams!$C:$C,Teams!$E:$E,,0,1)</f>
        <v>#VALUE!</v>
      </c>
      <c r="N35" s="83">
        <v>0.95</v>
      </c>
      <c r="O35" s="192" t="str">
        <f t="shared" si="3"/>
        <v>Cornell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1</v>
      </c>
      <c r="M36" s="126" t="e" vm="128">
        <f>_xlfn.XLOOKUP(I36,Teams!$C:$C,Teams!$E:$E,,0,1)</f>
        <v>#VALUE!</v>
      </c>
      <c r="N36" s="126">
        <v>0</v>
      </c>
      <c r="O36" s="193" t="str">
        <f t="shared" si="3"/>
        <v>Creighton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Buffalo</v>
      </c>
      <c r="B38" s="91" t="str">
        <f>I38</f>
        <v>Butler</v>
      </c>
      <c r="C38" s="91" t="str">
        <f t="shared" ref="C38:C53" si="7">IF(O38="","",IF(A38=O38,B38,A38))</f>
        <v>Buffalo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16</v>
      </c>
      <c r="G38" s="131" t="s">
        <v>62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6">
        <f>_xlfn.XLOOKUP(G38,Teams!$C:$C,Teams!$E:$E,,0,1)</f>
        <v>#VALUE!</v>
      </c>
      <c r="L38" s="84">
        <v>0.49</v>
      </c>
      <c r="M38" s="84" t="e" vm="67">
        <f>_xlfn.XLOOKUP(I38,Teams!$C:$C,Teams!$E:$E,,0,1)</f>
        <v>#VALUE!</v>
      </c>
      <c r="N38" s="84">
        <v>0.51</v>
      </c>
      <c r="O38" s="194" t="str">
        <f t="shared" ref="O38:O53" si="9">IF(L38&gt;N38,G38,I38)</f>
        <v>Butler</v>
      </c>
      <c r="P38" s="209" t="e" vm="67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0.06</v>
      </c>
      <c r="M39" s="82" t="e" vm="71">
        <f>_xlfn.XLOOKUP(I39,Teams!$C:$C,Teams!$E:$E,,0,1)</f>
        <v>#VALUE!</v>
      </c>
      <c r="N39" s="82">
        <v>0.94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 t="s">
        <v>1164</v>
      </c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Campbell</v>
      </c>
      <c r="B40" s="91" t="str">
        <f t="shared" si="11"/>
        <v>Central Arkansas</v>
      </c>
      <c r="C40" s="91" t="str">
        <f t="shared" si="7"/>
        <v>Campbell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70</v>
      </c>
      <c r="H40" s="176" t="s">
        <v>9</v>
      </c>
      <c r="I40" s="102" t="s">
        <v>72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0.33</v>
      </c>
      <c r="M40" s="82" t="e" vm="76">
        <f>_xlfn.XLOOKUP(I40,Teams!$C:$C,Teams!$E:$E,,0,1)</f>
        <v>#VALUE!</v>
      </c>
      <c r="N40" s="82">
        <v>0.67</v>
      </c>
      <c r="O40" s="189" t="str">
        <f t="shared" si="9"/>
        <v>Central Arkansas</v>
      </c>
      <c r="P40" s="204" t="e" vm="76">
        <f>_xlfn.XLOOKUP(O40,Teams!$C:$C,Teams!$E:$E,,0,1)</f>
        <v>#VALUE!</v>
      </c>
      <c r="Q40" s="223" t="s">
        <v>1165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Michigan</v>
      </c>
      <c r="B41" s="91" t="str">
        <f t="shared" si="11"/>
        <v>Charleston Southern</v>
      </c>
      <c r="C41" s="91" t="str">
        <f t="shared" si="7"/>
        <v>Central Michigan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74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0.42</v>
      </c>
      <c r="M41" s="139" t="e" vm="79">
        <f>_xlfn.XLOOKUP(I41,Teams!$C:$C,Teams!$E:$E,,0,1)</f>
        <v>#VALUE!</v>
      </c>
      <c r="N41" s="139">
        <v>0.57999999999999996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Baylor</v>
      </c>
      <c r="C42" s="91" t="str">
        <f t="shared" si="7"/>
        <v>Baylor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48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1</v>
      </c>
      <c r="M42" s="145" t="e" vm="84">
        <f>_xlfn.XLOOKUP(I42,Teams!$C:$C,Teams!$E:$E,,0,1)</f>
        <v>#VALUE!</v>
      </c>
      <c r="N42" s="145">
        <v>0</v>
      </c>
      <c r="O42" s="196" t="str">
        <f t="shared" si="9"/>
        <v>Auburn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Binghamton</v>
      </c>
      <c r="C43" s="91" t="str">
        <f t="shared" si="7"/>
        <v>Binghamton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52</v>
      </c>
      <c r="J43" s="120" cm="1">
        <f t="array" ref="J43">_xlfn.XLOOKUP(I43,Teams[[#All],[Team]],Teams[[#All],[Seed]],0,0,1)</f>
        <v>13</v>
      </c>
      <c r="K43" s="83" t="e" vm="85">
        <f>_xlfn.XLOOKUP(G43,Teams!$C:$C,Teams!$E:$E,,0,1)</f>
        <v>#VALUE!</v>
      </c>
      <c r="L43" s="83">
        <v>0.6</v>
      </c>
      <c r="M43" s="83" t="e" vm="88">
        <f>_xlfn.XLOOKUP(I43,Teams!$C:$C,Teams!$E:$E,,0,1)</f>
        <v>#VALUE!</v>
      </c>
      <c r="N43" s="83">
        <v>0.4</v>
      </c>
      <c r="O43" s="192" t="str">
        <f t="shared" si="9"/>
        <v>Bellarmine</v>
      </c>
      <c r="P43" s="207" t="e" vm="85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Duke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95</v>
      </c>
      <c r="J44" s="120" cm="1">
        <f t="array" ref="J44">_xlfn.XLOOKUP(I44,Teams[[#All],[Team]],Teams[[#All],[Seed]],0,0,1)</f>
        <v>14</v>
      </c>
      <c r="K44" s="83" t="e" vm="89">
        <f>_xlfn.XLOOKUP(G44,Teams!$C:$C,Teams!$E:$E,,0,1)</f>
        <v>#VALUE!</v>
      </c>
      <c r="L44" s="83">
        <v>7.0000000000000007E-2</v>
      </c>
      <c r="M44" s="83" t="e" vm="92">
        <f>_xlfn.XLOOKUP(I44,Teams!$C:$C,Teams!$E:$E,,0,1)</f>
        <v>#VALUE!</v>
      </c>
      <c r="N44" s="83">
        <v>0.93</v>
      </c>
      <c r="O44" s="192" t="str">
        <f t="shared" si="9"/>
        <v>Duke</v>
      </c>
      <c r="P44" s="207" t="e" vm="92">
        <f>_xlfn.XLOOKUP(O44,Teams!$C:$C,Teams!$E:$E,,0,1)</f>
        <v>#VALUE!</v>
      </c>
      <c r="Q44" s="226" t="s">
        <v>1169</v>
      </c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Brigham Young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10</v>
      </c>
      <c r="G45" s="148" t="s">
        <v>58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4">
        <f>_xlfn.XLOOKUP(G45,Teams!$C:$C,Teams!$E:$E,,0,1)</f>
        <v>#VALUE!</v>
      </c>
      <c r="L45" s="151">
        <v>0.98</v>
      </c>
      <c r="M45" s="151" t="e" vm="95">
        <f>_xlfn.XLOOKUP(I45,Teams!$C:$C,Teams!$E:$E,,0,1)</f>
        <v>#VALUE!</v>
      </c>
      <c r="N45" s="151">
        <v>0.02</v>
      </c>
      <c r="O45" s="197" t="str">
        <f t="shared" si="9"/>
        <v>Brigham Young</v>
      </c>
      <c r="P45" s="212" t="e" vm="94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0.02</v>
      </c>
      <c r="M46" s="84" t="e" vm="99">
        <f>_xlfn.XLOOKUP(I46,Teams!$C:$C,Teams!$E:$E,,0,1)</f>
        <v>#VALUE!</v>
      </c>
      <c r="N46" s="84">
        <v>0.98</v>
      </c>
      <c r="O46" s="194" t="str">
        <f t="shared" si="9"/>
        <v>Akron</v>
      </c>
      <c r="P46" s="209" t="e" vm="99">
        <f>_xlfn.XLOOKUP(O46,Teams!$C:$C,Teams!$E:$E,,0,1)</f>
        <v>#VALUE!</v>
      </c>
      <c r="Q46" s="228" t="s">
        <v>1171</v>
      </c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Alabama A&amp;M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Appalachian State</v>
      </c>
      <c r="B48" s="152" t="str">
        <f t="shared" si="11"/>
        <v>Arizona</v>
      </c>
      <c r="C48" s="152" t="str">
        <f t="shared" si="7"/>
        <v>Appalachian State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11</v>
      </c>
      <c r="G48" s="101" t="s">
        <v>38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6">
        <f>_xlfn.XLOOKUP(G48,Teams!$C:$C,Teams!$E:$E,,0,1)</f>
        <v>#VALUE!</v>
      </c>
      <c r="L48" s="82">
        <v>0.05</v>
      </c>
      <c r="M48" s="82" t="e" vm="107">
        <f>_xlfn.XLOOKUP(I48,Teams!$C:$C,Teams!$E:$E,,0,1)</f>
        <v>#VALUE!</v>
      </c>
      <c r="N48" s="82">
        <v>0.95</v>
      </c>
      <c r="O48" s="189" t="str">
        <f t="shared" si="9"/>
        <v>Arizona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0.96</v>
      </c>
      <c r="M49" s="139" t="e" vm="111">
        <f>_xlfn.XLOOKUP(I49,Teams!$C:$C,Teams!$E:$E,,0,1)</f>
        <v>#VALUE!</v>
      </c>
      <c r="N49" s="139">
        <v>0.04</v>
      </c>
      <c r="O49" s="195" t="str">
        <f t="shared" si="9"/>
        <v>Arkansas</v>
      </c>
      <c r="P49" s="210" t="e" vm="109">
        <f>_xlfn.XLOOKUP(O49,Teams!$C:$C,Teams!$E:$E,,0,1)</f>
        <v>#VALUE!</v>
      </c>
      <c r="Q49" s="224" t="s">
        <v>1174</v>
      </c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Chattanooga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0.12</v>
      </c>
      <c r="M50" s="145" t="e" vm="115">
        <f>_xlfn.XLOOKUP(I50,Teams!$C:$C,Teams!$E:$E,,0,1)</f>
        <v>#VALUE!</v>
      </c>
      <c r="N50" s="145">
        <v>0.88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 t="s">
        <v>1175</v>
      </c>
      <c r="R50" s="6" t="b">
        <f t="shared" si="5"/>
        <v>1</v>
      </c>
      <c r="S50" s="98"/>
    </row>
    <row r="51" spans="1:19" ht="24" customHeight="1" x14ac:dyDescent="0.25">
      <c r="A51" s="91" t="str">
        <f t="shared" si="10"/>
        <v>Coastal Carolina</v>
      </c>
      <c r="B51" s="91" t="str">
        <f t="shared" si="11"/>
        <v>College of Charleston</v>
      </c>
      <c r="C51" s="91" t="str">
        <f t="shared" si="7"/>
        <v>College of Charleston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12</v>
      </c>
      <c r="G51" s="118" t="s">
        <v>82</v>
      </c>
      <c r="H51" s="178" t="s">
        <v>9</v>
      </c>
      <c r="I51" s="119" t="s">
        <v>84</v>
      </c>
      <c r="J51" s="120" cm="1">
        <f t="array" ref="J51">_xlfn.XLOOKUP(I51,Teams[[#All],[Team]],Teams[[#All],[Seed]],0,0,1)</f>
        <v>13</v>
      </c>
      <c r="K51" s="83" t="e" vm="118">
        <f>_xlfn.XLOOKUP(G51,Teams!$C:$C,Teams!$E:$E,,0,1)</f>
        <v>#VALUE!</v>
      </c>
      <c r="L51" s="83">
        <v>1</v>
      </c>
      <c r="M51" s="83" t="e" vm="120">
        <f>_xlfn.XLOOKUP(I51,Teams!$C:$C,Teams!$E:$E,,0,1)</f>
        <v>#VALUE!</v>
      </c>
      <c r="N51" s="83">
        <v>0</v>
      </c>
      <c r="O51" s="192" t="str">
        <f t="shared" si="9"/>
        <v>Coastal Carolina</v>
      </c>
      <c r="P51" s="207" t="e" vm="118">
        <f>_xlfn.XLOOKUP(O51,Teams!$C:$C,Teams!$E:$E,,0,1)</f>
        <v>#VALUE!</v>
      </c>
      <c r="Q51" s="226" t="s">
        <v>1176</v>
      </c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Colorado State</v>
      </c>
      <c r="B52" s="91" t="str">
        <f t="shared" si="11"/>
        <v>Connecticut</v>
      </c>
      <c r="C52" s="91" t="str">
        <f t="shared" si="7"/>
        <v>Colorado State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86</v>
      </c>
      <c r="H52" s="178" t="s">
        <v>9</v>
      </c>
      <c r="I52" s="119" t="s">
        <v>88</v>
      </c>
      <c r="J52" s="120" cm="1">
        <f t="array" ref="J52">_xlfn.XLOOKUP(I52,Teams[[#All],[Team]],Teams[[#All],[Seed]],0,0,1)</f>
        <v>14</v>
      </c>
      <c r="K52" s="83" t="e" vm="122">
        <f>_xlfn.XLOOKUP(G52,Teams!$C:$C,Teams!$E:$E,,0,1)</f>
        <v>#VALUE!</v>
      </c>
      <c r="L52" s="83">
        <v>0.11</v>
      </c>
      <c r="M52" s="83" t="e" vm="124">
        <f>_xlfn.XLOOKUP(I52,Teams!$C:$C,Teams!$E:$E,,0,1)</f>
        <v>#VALUE!</v>
      </c>
      <c r="N52" s="83">
        <v>0.89</v>
      </c>
      <c r="O52" s="192" t="str">
        <f t="shared" si="9"/>
        <v>Connecticut</v>
      </c>
      <c r="P52" s="207" t="e" vm="124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Dartmouth</v>
      </c>
      <c r="C53" s="91" t="str">
        <f t="shared" si="7"/>
        <v>Dartmouth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92</v>
      </c>
      <c r="J53" s="150" cm="1">
        <f t="array" ref="J53">_xlfn.XLOOKUP(I53,Teams[[#All],[Team]],Teams[[#All],[Seed]],0,0,1)</f>
        <v>15</v>
      </c>
      <c r="K53" s="151" t="e" vm="126">
        <f>_xlfn.XLOOKUP(G53,Teams!$C:$C,Teams!$E:$E,,0,1)</f>
        <v>#VALUE!</v>
      </c>
      <c r="L53" s="151">
        <v>1</v>
      </c>
      <c r="M53" s="151" t="e" vm="128">
        <f>_xlfn.XLOOKUP(I53,Teams!$C:$C,Teams!$E:$E,,0,1)</f>
        <v>#VALUE!</v>
      </c>
      <c r="N53" s="151">
        <v>0</v>
      </c>
      <c r="O53" s="197" t="str">
        <f t="shared" si="9"/>
        <v>Cornell</v>
      </c>
      <c r="P53" s="212" t="e" vm="126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Butler</v>
      </c>
      <c r="B55" s="91" t="str">
        <f>I55</f>
        <v>Cal State Northridge</v>
      </c>
      <c r="C55" s="91" t="str">
        <f t="shared" ref="C55:C62" si="12">IF(O55="","",IF(A55=O55,B55,A55))</f>
        <v>Butler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8</v>
      </c>
      <c r="G55" s="94" t="s">
        <v>63</v>
      </c>
      <c r="H55" s="175" t="s">
        <v>9</v>
      </c>
      <c r="I55" s="95" t="s">
        <v>67</v>
      </c>
      <c r="J55" s="96" cm="1">
        <f t="array" ref="J55">_xlfn.XLOOKUP(I55,Teams[[#All],[Team]],Teams[[#All],[Seed]],0,0,1)</f>
        <v>4</v>
      </c>
      <c r="K55" s="97" t="e" vm="67">
        <f>_xlfn.XLOOKUP(G55,Teams!$C:$C,Teams!$E:$E,,0,1)</f>
        <v>#VALUE!</v>
      </c>
      <c r="L55" s="97">
        <v>0.44</v>
      </c>
      <c r="M55" s="97" t="e" vm="71">
        <f>_xlfn.XLOOKUP(I55,Teams!$C:$C,Teams!$E:$E,,0,1)</f>
        <v>#VALUE!</v>
      </c>
      <c r="N55" s="97">
        <v>0.56000000000000005</v>
      </c>
      <c r="O55" s="188" t="str">
        <f t="shared" ref="O55:O62" si="14">IF(L55&gt;N55,G55,I55)</f>
        <v>Cal State Northridge</v>
      </c>
      <c r="P55" s="204" t="e" vm="71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Central Arkansas</v>
      </c>
      <c r="B56" s="91" t="str">
        <f t="shared" ref="B56:B62" si="16">I56</f>
        <v>Charleston Southern</v>
      </c>
      <c r="C56" s="91" t="str">
        <f t="shared" si="12"/>
        <v>Charleston Southern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14</v>
      </c>
      <c r="G56" s="136" t="s">
        <v>72</v>
      </c>
      <c r="H56" s="182" t="s">
        <v>9</v>
      </c>
      <c r="I56" s="137" t="s">
        <v>75</v>
      </c>
      <c r="J56" s="138" cm="1">
        <f t="array" ref="J56">_xlfn.XLOOKUP(I56,Teams[[#All],[Team]],Teams[[#All],[Seed]],0,0,1)</f>
        <v>2</v>
      </c>
      <c r="K56" s="139" t="e" vm="76">
        <f>_xlfn.XLOOKUP(G56,Teams!$C:$C,Teams!$E:$E,,0,1)</f>
        <v>#VALUE!</v>
      </c>
      <c r="L56" s="139">
        <v>0.83</v>
      </c>
      <c r="M56" s="139" t="e" vm="79">
        <f>_xlfn.XLOOKUP(I56,Teams!$C:$C,Teams!$E:$E,,0,1)</f>
        <v>#VALUE!</v>
      </c>
      <c r="N56" s="139">
        <v>0.17</v>
      </c>
      <c r="O56" s="195" t="str">
        <f t="shared" si="14"/>
        <v>Central Arkansas</v>
      </c>
      <c r="P56" s="210" t="e" vm="76">
        <f>_xlfn.XLOOKUP(O56,Teams!$C:$C,Teams!$E:$E,,0,1)</f>
        <v>#VALUE!</v>
      </c>
      <c r="Q56" s="224" t="s">
        <v>1180</v>
      </c>
      <c r="R56" s="6" t="b">
        <f t="shared" si="5"/>
        <v>1</v>
      </c>
      <c r="S56" s="98"/>
    </row>
    <row r="57" spans="1:19" ht="24" customHeight="1" x14ac:dyDescent="0.25">
      <c r="A57" s="91" t="str">
        <f t="shared" si="15"/>
        <v>Baylor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9</v>
      </c>
      <c r="G57" s="142" t="s">
        <v>48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4">
        <f>_xlfn.XLOOKUP(G57,Teams!$C:$C,Teams!$E:$E,,0,1)</f>
        <v>#VALUE!</v>
      </c>
      <c r="L57" s="145">
        <v>0.91</v>
      </c>
      <c r="M57" s="145" t="e" vm="85">
        <f>_xlfn.XLOOKUP(I57,Teams!$C:$C,Teams!$E:$E,,0,1)</f>
        <v>#VALUE!</v>
      </c>
      <c r="N57" s="145">
        <v>0.09</v>
      </c>
      <c r="O57" s="196" t="str">
        <f t="shared" si="14"/>
        <v>Baylor</v>
      </c>
      <c r="P57" s="211" t="e" vm="84">
        <f>_xlfn.XLOOKUP(O57,Teams!$C:$C,Teams!$E:$E,,0,1)</f>
        <v>#VALUE!</v>
      </c>
      <c r="Q57" s="225" t="s">
        <v>1181</v>
      </c>
      <c r="R57" s="6" t="b">
        <f t="shared" si="5"/>
        <v>1</v>
      </c>
      <c r="S57" s="98"/>
    </row>
    <row r="58" spans="1:19" ht="24" customHeight="1" thickBot="1" x14ac:dyDescent="0.3">
      <c r="A58" s="91" t="str">
        <f t="shared" si="15"/>
        <v>Duke</v>
      </c>
      <c r="B58" s="91" t="str">
        <f t="shared" si="16"/>
        <v>Brigham Young</v>
      </c>
      <c r="C58" s="91" t="str">
        <f t="shared" si="12"/>
        <v>Brigham Young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14</v>
      </c>
      <c r="G58" s="148" t="s">
        <v>95</v>
      </c>
      <c r="H58" s="184" t="s">
        <v>9</v>
      </c>
      <c r="I58" s="149" t="s">
        <v>58</v>
      </c>
      <c r="J58" s="150" cm="1">
        <f t="array" ref="J58">_xlfn.XLOOKUP(I58,Teams[[#All],[Team]],Teams[[#All],[Seed]],0,0,1)</f>
        <v>10</v>
      </c>
      <c r="K58" s="151" t="e" vm="92">
        <f>_xlfn.XLOOKUP(G58,Teams!$C:$C,Teams!$E:$E,,0,1)</f>
        <v>#VALUE!</v>
      </c>
      <c r="L58" s="151">
        <v>1</v>
      </c>
      <c r="M58" s="151" t="e" vm="94">
        <f>_xlfn.XLOOKUP(I58,Teams!$C:$C,Teams!$E:$E,,0,1)</f>
        <v>#VALUE!</v>
      </c>
      <c r="N58" s="151">
        <v>0</v>
      </c>
      <c r="O58" s="197" t="str">
        <f t="shared" si="14"/>
        <v>Duke</v>
      </c>
      <c r="P58" s="212" t="e" vm="92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Akron</v>
      </c>
      <c r="B59" s="152" t="str">
        <f t="shared" si="16"/>
        <v>Albany (NY)</v>
      </c>
      <c r="C59" s="152" t="str">
        <f t="shared" si="12"/>
        <v>Albany (NY)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8</v>
      </c>
      <c r="G59" s="131" t="s">
        <v>31</v>
      </c>
      <c r="H59" s="181" t="s">
        <v>9</v>
      </c>
      <c r="I59" s="132" t="s">
        <v>35</v>
      </c>
      <c r="J59" s="133" cm="1">
        <f t="array" ref="J59">_xlfn.XLOOKUP(I59,Teams[[#All],[Team]],Teams[[#All],[Seed]],0,0,1)</f>
        <v>4</v>
      </c>
      <c r="K59" s="84" t="e" vm="99">
        <f>_xlfn.XLOOKUP(G59,Teams!$C:$C,Teams!$E:$E,,0,1)</f>
        <v>#VALUE!</v>
      </c>
      <c r="L59" s="84">
        <v>0.92</v>
      </c>
      <c r="M59" s="84" t="e" vm="103">
        <f>_xlfn.XLOOKUP(I59,Teams!$C:$C,Teams!$E:$E,,0,1)</f>
        <v>#VALUE!</v>
      </c>
      <c r="N59" s="84">
        <v>0.08</v>
      </c>
      <c r="O59" s="194" t="str">
        <f t="shared" si="14"/>
        <v>Akron</v>
      </c>
      <c r="P59" s="209" t="e" vm="99">
        <f>_xlfn.XLOOKUP(O59,Teams!$C:$C,Teams!$E:$E,,0,1)</f>
        <v>#VALUE!</v>
      </c>
      <c r="Q59" s="228" t="s">
        <v>1183</v>
      </c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Arizona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39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7">
        <f>_xlfn.XLOOKUP(G60,Teams!$C:$C,Teams!$E:$E,,0,1)</f>
        <v>#VALUE!</v>
      </c>
      <c r="L60" s="139">
        <v>0.82</v>
      </c>
      <c r="M60" s="139" t="e" vm="109">
        <f>_xlfn.XLOOKUP(I60,Teams!$C:$C,Teams!$E:$E,,0,1)</f>
        <v>#VALUE!</v>
      </c>
      <c r="N60" s="139">
        <v>0.18</v>
      </c>
      <c r="O60" s="195" t="str">
        <f t="shared" si="14"/>
        <v>Arizona</v>
      </c>
      <c r="P60" s="210" t="e" vm="107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Cincinnati</v>
      </c>
      <c r="B61" s="91" t="str">
        <f t="shared" si="16"/>
        <v>Coastal Carolina</v>
      </c>
      <c r="C61" s="91" t="str">
        <f t="shared" si="12"/>
        <v>Coastal Carolina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8</v>
      </c>
      <c r="G61" s="142" t="s">
        <v>79</v>
      </c>
      <c r="H61" s="183" t="s">
        <v>9</v>
      </c>
      <c r="I61" s="143" t="s">
        <v>82</v>
      </c>
      <c r="J61" s="144" cm="1">
        <f t="array" ref="J61">_xlfn.XLOOKUP(I61,Teams[[#All],[Team]],Teams[[#All],[Seed]],0,0,1)</f>
        <v>12</v>
      </c>
      <c r="K61" s="145" t="e" vm="115">
        <f>_xlfn.XLOOKUP(G61,Teams!$C:$C,Teams!$E:$E,,0,1)</f>
        <v>#VALUE!</v>
      </c>
      <c r="L61" s="145">
        <v>0.56999999999999995</v>
      </c>
      <c r="M61" s="145" t="e" vm="118">
        <f>_xlfn.XLOOKUP(I61,Teams!$C:$C,Teams!$E:$E,,0,1)</f>
        <v>#VALUE!</v>
      </c>
      <c r="N61" s="145">
        <v>0.43</v>
      </c>
      <c r="O61" s="196" t="str">
        <f t="shared" si="14"/>
        <v>Cincinnati</v>
      </c>
      <c r="P61" s="211" t="e" vm="115">
        <f>_xlfn.XLOOKUP(O61,Teams!$C:$C,Teams!$E:$E,,0,1)</f>
        <v>#VALUE!</v>
      </c>
      <c r="Q61" s="225" t="s">
        <v>1185</v>
      </c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Connecticut</v>
      </c>
      <c r="B62" s="91" t="str">
        <f t="shared" si="16"/>
        <v>Dartmouth</v>
      </c>
      <c r="C62" s="91" t="str">
        <f t="shared" si="12"/>
        <v>Dartmouth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14</v>
      </c>
      <c r="G62" s="148" t="s">
        <v>88</v>
      </c>
      <c r="H62" s="184" t="s">
        <v>9</v>
      </c>
      <c r="I62" s="149" t="s">
        <v>92</v>
      </c>
      <c r="J62" s="150" cm="1">
        <f t="array" ref="J62">_xlfn.XLOOKUP(I62,Teams[[#All],[Team]],Teams[[#All],[Seed]],0,0,1)</f>
        <v>15</v>
      </c>
      <c r="K62" s="151" t="e" vm="124">
        <f>_xlfn.XLOOKUP(G62,Teams!$C:$C,Teams!$E:$E,,0,1)</f>
        <v>#VALUE!</v>
      </c>
      <c r="L62" s="151">
        <v>0.94</v>
      </c>
      <c r="M62" s="151" t="e" vm="128">
        <f>_xlfn.XLOOKUP(I62,Teams!$C:$C,Teams!$E:$E,,0,1)</f>
        <v>#VALUE!</v>
      </c>
      <c r="N62" s="151">
        <v>0.06</v>
      </c>
      <c r="O62" s="197" t="str">
        <f t="shared" si="14"/>
        <v>Connecticut</v>
      </c>
      <c r="P62" s="212" t="e" vm="124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Cal State Northridge</v>
      </c>
      <c r="B64" s="91" t="str">
        <f>I64</f>
        <v>Central Arkansas</v>
      </c>
      <c r="C64" s="91" t="str">
        <f>IF(O64="","",IF(A64=O64,B64,A64))</f>
        <v>Central Arkansas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4</v>
      </c>
      <c r="G64" s="155" t="s">
        <v>67</v>
      </c>
      <c r="H64" s="185" t="s">
        <v>9</v>
      </c>
      <c r="I64" s="156" t="s">
        <v>72</v>
      </c>
      <c r="J64" s="157" cm="1">
        <f t="array" ref="J64">_xlfn.XLOOKUP(I64,Teams[[#All],[Team]],Teams[[#All],[Seed]],0,0,1)</f>
        <v>14</v>
      </c>
      <c r="K64" s="158" t="e" vm="71">
        <f>_xlfn.XLOOKUP(G64,Teams!$C:$C,Teams!$E:$E,,0,1)</f>
        <v>#VALUE!</v>
      </c>
      <c r="L64" s="158">
        <v>1</v>
      </c>
      <c r="M64" s="158" t="e" vm="76">
        <f>_xlfn.XLOOKUP(I64,Teams!$C:$C,Teams!$E:$E,,0,1)</f>
        <v>#VALUE!</v>
      </c>
      <c r="N64" s="158">
        <v>0</v>
      </c>
      <c r="O64" s="198" t="str">
        <f>IF(L64&gt;N64,G64,I64)</f>
        <v>Cal State Northridge</v>
      </c>
      <c r="P64" s="204" t="e" vm="71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Baylor</v>
      </c>
      <c r="B65" s="91" t="str">
        <f>I65</f>
        <v>Brigham Young</v>
      </c>
      <c r="C65" s="91" t="str">
        <f>IF(O65="","",IF(A65=O65,B65,A65))</f>
        <v>Baylor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9</v>
      </c>
      <c r="G65" s="161" t="s">
        <v>48</v>
      </c>
      <c r="H65" s="186" t="s">
        <v>9</v>
      </c>
      <c r="I65" s="162" t="s">
        <v>58</v>
      </c>
      <c r="J65" s="163" cm="1">
        <f t="array" ref="J65">_xlfn.XLOOKUP(I65,Teams[[#All],[Team]],Teams[[#All],[Seed]],0,0,1)</f>
        <v>10</v>
      </c>
      <c r="K65" s="164" t="e" vm="84">
        <f>_xlfn.XLOOKUP(G65,Teams!$C:$C,Teams!$E:$E,,0,1)</f>
        <v>#VALUE!</v>
      </c>
      <c r="L65" s="164">
        <v>0.3</v>
      </c>
      <c r="M65" s="164" t="e" vm="94">
        <f>_xlfn.XLOOKUP(I65,Teams!$C:$C,Teams!$E:$E,,0,1)</f>
        <v>#VALUE!</v>
      </c>
      <c r="N65" s="164">
        <v>0.7</v>
      </c>
      <c r="O65" s="199" t="str">
        <f>IF(L65&gt;N65,G65,I65)</f>
        <v>Brigham Young</v>
      </c>
      <c r="P65" s="207" t="e" vm="94">
        <f>_xlfn.XLOOKUP(O65,Teams!$C:$C,Teams!$E:$E,,0,1)</f>
        <v>#VALUE!</v>
      </c>
      <c r="Q65" s="231" t="s">
        <v>1188</v>
      </c>
      <c r="R65" s="6" t="b">
        <f t="shared" si="5"/>
        <v>1</v>
      </c>
      <c r="S65" s="98"/>
    </row>
    <row r="66" spans="1:19" ht="24" customHeight="1" thickBot="1" x14ac:dyDescent="0.3">
      <c r="A66" s="91" t="str">
        <f>G66</f>
        <v>Akron</v>
      </c>
      <c r="B66" s="91" t="str">
        <f>I66</f>
        <v>Arizona</v>
      </c>
      <c r="C66" s="91" t="str">
        <f>IF(O66="","",IF(A66=O66,B66,A66))</f>
        <v>Akron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8</v>
      </c>
      <c r="G66" s="155" t="s">
        <v>31</v>
      </c>
      <c r="H66" s="185" t="s">
        <v>9</v>
      </c>
      <c r="I66" s="156" t="s">
        <v>39</v>
      </c>
      <c r="J66" s="157" cm="1">
        <f t="array" ref="J66">_xlfn.XLOOKUP(I66,Teams[[#All],[Team]],Teams[[#All],[Seed]],0,0,1)</f>
        <v>3</v>
      </c>
      <c r="K66" s="158" t="e" vm="99">
        <f>_xlfn.XLOOKUP(G66,Teams!$C:$C,Teams!$E:$E,,0,1)</f>
        <v>#VALUE!</v>
      </c>
      <c r="L66" s="158">
        <v>0.1</v>
      </c>
      <c r="M66" s="158" t="e" vm="107">
        <f>_xlfn.XLOOKUP(I66,Teams!$C:$C,Teams!$E:$E,,0,1)</f>
        <v>#VALUE!</v>
      </c>
      <c r="N66" s="158">
        <v>0.9</v>
      </c>
      <c r="O66" s="198" t="str">
        <f>IF(L66&gt;N66,G66,I66)</f>
        <v>Arizona</v>
      </c>
      <c r="P66" s="204" t="e" vm="10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Cincinnati</v>
      </c>
      <c r="B67" s="91" t="str">
        <f>I67</f>
        <v>Connecticut</v>
      </c>
      <c r="C67" s="91" t="str">
        <f>IF(O67="","",IF(A67=O67,B67,A67))</f>
        <v>Cincinnati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8</v>
      </c>
      <c r="G67" s="161" t="s">
        <v>79</v>
      </c>
      <c r="H67" s="186" t="s">
        <v>9</v>
      </c>
      <c r="I67" s="162" t="s">
        <v>88</v>
      </c>
      <c r="J67" s="163" cm="1">
        <f t="array" ref="J67">_xlfn.XLOOKUP(I67,Teams[[#All],[Team]],Teams[[#All],[Seed]],0,0,1)</f>
        <v>14</v>
      </c>
      <c r="K67" s="164" t="e" vm="115">
        <f>_xlfn.XLOOKUP(G67,Teams!$C:$C,Teams!$E:$E,,0,1)</f>
        <v>#VALUE!</v>
      </c>
      <c r="L67" s="164">
        <v>0.33</v>
      </c>
      <c r="M67" s="164" t="e" vm="124">
        <f>_xlfn.XLOOKUP(I67,Teams!$C:$C,Teams!$E:$E,,0,1)</f>
        <v>#VALUE!</v>
      </c>
      <c r="N67" s="164">
        <v>0.67</v>
      </c>
      <c r="O67" s="199" t="str">
        <f>IF(L67&gt;N67,G67,I67)</f>
        <v>Connecticut</v>
      </c>
      <c r="P67" s="207" t="e" vm="124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Cal State Northridge</v>
      </c>
      <c r="B69" s="91" t="str">
        <f>I69</f>
        <v>Brigham Young</v>
      </c>
      <c r="C69" s="91" t="str">
        <f>IF(O69="","",IF(A69=O69,B69,A69))</f>
        <v>Brigham Young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4</v>
      </c>
      <c r="G69" s="167" t="s">
        <v>67</v>
      </c>
      <c r="H69" s="187" t="s">
        <v>9</v>
      </c>
      <c r="I69" s="168" t="s">
        <v>58</v>
      </c>
      <c r="J69" s="169" cm="1">
        <f t="array" ref="J69">_xlfn.XLOOKUP(I69,Teams[[#All],[Team]],Teams[[#All],[Seed]],0,0,1)</f>
        <v>10</v>
      </c>
      <c r="K69" s="170" t="e" vm="71">
        <f>_xlfn.XLOOKUP(G69,Teams!$C:$C,Teams!$E:$E,,0,1)</f>
        <v>#VALUE!</v>
      </c>
      <c r="L69" s="170">
        <v>1</v>
      </c>
      <c r="M69" s="170" t="e" vm="94">
        <f>_xlfn.XLOOKUP(I69,Teams!$C:$C,Teams!$E:$E,,0,1)</f>
        <v>#VALUE!</v>
      </c>
      <c r="N69" s="170">
        <v>0</v>
      </c>
      <c r="O69" s="200" t="str">
        <f>IF(L69&gt;N69,G69,I69)</f>
        <v>Cal State Northridge</v>
      </c>
      <c r="P69" s="210" t="e" vm="71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Connecticut</v>
      </c>
      <c r="C70" s="91" t="str">
        <f>IF(O70="","",IF(A70=O70,B70,A70))</f>
        <v>Connecticut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3</v>
      </c>
      <c r="G70" s="161" t="s">
        <v>39</v>
      </c>
      <c r="H70" s="186" t="s">
        <v>9</v>
      </c>
      <c r="I70" s="162" t="s">
        <v>88</v>
      </c>
      <c r="J70" s="163" cm="1">
        <f t="array" ref="J70">_xlfn.XLOOKUP(I70,Teams[[#All],[Team]],Teams[[#All],[Seed]],0,0,1)</f>
        <v>14</v>
      </c>
      <c r="K70" s="164" t="e" vm="107">
        <f>_xlfn.XLOOKUP(G70,Teams!$C:$C,Teams!$E:$E,,0,1)</f>
        <v>#VALUE!</v>
      </c>
      <c r="L70" s="164">
        <v>0.88</v>
      </c>
      <c r="M70" s="164" t="e" vm="124">
        <f>_xlfn.XLOOKUP(I70,Teams!$C:$C,Teams!$E:$E,,0,1)</f>
        <v>#VALUE!</v>
      </c>
      <c r="N70" s="164">
        <v>0.12</v>
      </c>
      <c r="O70" s="199" t="str">
        <f>IF(L70&gt;N70,G70,I70)</f>
        <v>Arizona</v>
      </c>
      <c r="P70" s="213" t="e" vm="10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Cal State Northridge</v>
      </c>
      <c r="B72" s="91" t="str">
        <f>I72</f>
        <v>Arizona</v>
      </c>
      <c r="C72" s="91" t="str">
        <f>IF(O72="","",IF(A72=O72,B72,A72))</f>
        <v>Arizona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4</v>
      </c>
      <c r="G72" s="155" t="s">
        <v>67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3</v>
      </c>
      <c r="K72" s="158" t="e" vm="71">
        <f>_xlfn.XLOOKUP(G72,Teams!$C:$C,Teams!$E:$E,,0,1)</f>
        <v>#VALUE!</v>
      </c>
      <c r="L72" s="158">
        <v>0.96</v>
      </c>
      <c r="M72" s="158" t="e" vm="107">
        <f>_xlfn.XLOOKUP(I72,Teams!$C:$C,Teams!$E:$E,,0,1)</f>
        <v>#VALUE!</v>
      </c>
      <c r="N72" s="158">
        <v>0.04</v>
      </c>
      <c r="O72" s="198" t="str">
        <f>IF(L72&gt;N72,G72,I72)</f>
        <v>Cal State Northridge</v>
      </c>
      <c r="P72" s="205" t="e" vm="71">
        <f>_xlfn.XLOOKUP(O72,Teams!$C:$C,Teams!$E:$E,,0,1)</f>
        <v>#VALUE!</v>
      </c>
      <c r="Q72" s="233" t="s">
        <v>1193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0.19</v>
      </c>
      <c r="F5" s="262" t="str">
        <f>Games!O5</f>
        <v>Buffalo</v>
      </c>
      <c r="G5" s="247" t="e" vm="66">
        <f>_xlfn.XLOOKUP(F5,Teams!$C:$C,Teams!$E:$E,,0,1)</f>
        <v>#VALUE!</v>
      </c>
      <c r="H5" s="284">
        <f>Games!L38</f>
        <v>0.49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0.02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0.81</v>
      </c>
      <c r="F7" s="282">
        <f>IF($AU$5=TRUE,AO66+1,"")</f>
        <v>33</v>
      </c>
      <c r="G7" s="14"/>
      <c r="H7" s="49"/>
      <c r="I7" s="279" t="str">
        <f>Games!O38</f>
        <v>Butler</v>
      </c>
      <c r="J7" s="247" t="e" vm="67">
        <f>_xlfn.XLOOKUP(I7,Teams!$C:$C,Teams!$E:$E,,0,1)</f>
        <v>#VALUE!</v>
      </c>
      <c r="K7" s="264">
        <f>Games!L55</f>
        <v>0.44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0.92</v>
      </c>
      <c r="AF7" s="297" t="e" vm="99">
        <f>_xlfn.XLOOKUP(AG7,Teams!$C:$C,Teams!$E:$E,,0,1)</f>
        <v>#VALUE!</v>
      </c>
      <c r="AG7" s="262" t="str">
        <f>Games!O46</f>
        <v>Akron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0.7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0.51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0.98</v>
      </c>
      <c r="AI9" s="297" t="e" vm="99">
        <f>_xlfn.XLOOKUP(AJ9,Teams!$C:$C,Teams!$E:$E,,0,1)</f>
        <v>#VALUE!</v>
      </c>
      <c r="AJ9" s="262" t="str">
        <f>Games!O22</f>
        <v>Akron</v>
      </c>
      <c r="AK9" s="58">
        <f>Games!L22</f>
        <v>1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Cal State Northridge</v>
      </c>
      <c r="M11" s="247" t="e" vm="71">
        <f>_xlfn.XLOOKUP(L11,Teams!$C:$C,Teams!$E:$E,,0,1)</f>
        <v>#VALUE!</v>
      </c>
      <c r="N11" s="264">
        <f>Games!L64</f>
        <v>1</v>
      </c>
      <c r="O11" s="25"/>
      <c r="P11" s="25"/>
      <c r="R11" s="25"/>
      <c r="S11" s="25"/>
      <c r="T11" s="251" t="e" vm="7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0.1</v>
      </c>
      <c r="AC11" s="249" t="e" vm="99">
        <f>_xlfn.XLOOKUP(AD11,Teams!$C:$C,Teams!$E:$E,,0,1)</f>
        <v>#VALUE!</v>
      </c>
      <c r="AD11" s="262" t="str">
        <f>Games!O59</f>
        <v>Akron</v>
      </c>
      <c r="AE11" s="56"/>
      <c r="AG11" s="283">
        <f>IF($AU$5=TRUE,I59+1,"")</f>
        <v>53</v>
      </c>
      <c r="AJ11" s="24"/>
      <c r="AK11" s="59">
        <f>Games!N22</f>
        <v>0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1</v>
      </c>
      <c r="F13" s="262" t="str">
        <f>Games!O7</f>
        <v>Cal State Bakersfield</v>
      </c>
      <c r="G13" s="247" t="e" vm="69">
        <f>_xlfn.XLOOKUP(F13,Teams!$C:$C,Teams!$E:$E,,0,1)</f>
        <v>#VALUE!</v>
      </c>
      <c r="H13" s="264">
        <f>Games!L39</f>
        <v>0.06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0.41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0.65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</v>
      </c>
      <c r="F15" s="282">
        <f>IF($AU$5=TRUE,F7+1,"")</f>
        <v>34</v>
      </c>
      <c r="G15" s="14"/>
      <c r="H15" s="49"/>
      <c r="I15" s="279" t="str">
        <f>Games!O39</f>
        <v>Cal State Northridge</v>
      </c>
      <c r="J15" s="247" t="e" vm="71">
        <f>_xlfn.XLOOKUP(I15,Teams!$C:$C,Teams!$E:$E,,0,1)</f>
        <v>#VALUE!</v>
      </c>
      <c r="K15" s="277">
        <f>Games!N55</f>
        <v>0.56000000000000005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0.08</v>
      </c>
      <c r="AF15" s="249" t="e" vm="103">
        <f>_xlfn.XLOOKUP(AG15,Teams!$C:$C,Teams!$E:$E,,0,1)</f>
        <v>#VALUE!</v>
      </c>
      <c r="AG15" s="262" t="str">
        <f>Games!O47</f>
        <v>Albany (NY)</v>
      </c>
      <c r="AH15" s="55"/>
      <c r="AI15" s="51"/>
      <c r="AJ15" s="282">
        <f>IF($AU$5=TRUE,AJ7+1,"")</f>
        <v>42</v>
      </c>
      <c r="AK15" s="59">
        <f>Games!N23</f>
        <v>0.35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0.52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0.94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0.59</v>
      </c>
      <c r="AI17" s="249" t="e" vm="103">
        <f>_xlfn.XLOOKUP(AJ17,Teams!$C:$C,Teams!$E:$E,,0,1)</f>
        <v>#VALUE!</v>
      </c>
      <c r="AJ17" s="262" t="str">
        <f>Games!O24</f>
        <v>Albany (NY)</v>
      </c>
      <c r="AK17" s="58">
        <f>Games!L24</f>
        <v>0.66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0.48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Cal State Northridge</v>
      </c>
      <c r="P19" s="247" t="e" vm="71">
        <f>_xlfn.XLOOKUP(O19,Teams!$C:$C,Teams!$E:$E,,0,1)</f>
        <v>#VALUE!</v>
      </c>
      <c r="Q19" s="264">
        <f>Games!L69</f>
        <v>1</v>
      </c>
      <c r="R19" s="25"/>
      <c r="S19" s="25"/>
      <c r="T19" s="257"/>
      <c r="U19" s="258"/>
      <c r="V19" s="259"/>
      <c r="W19" s="25"/>
      <c r="X19" s="25"/>
      <c r="Y19" s="264">
        <f>Games!L70</f>
        <v>0.88</v>
      </c>
      <c r="Z19" s="249" t="e" vm="107">
        <f>_xlfn.XLOOKUP(AA19,Teams!$C:$C,Teams!$E:$E,,0,1)</f>
        <v>#VALUE!</v>
      </c>
      <c r="AA19" s="262" t="str">
        <f>Games!O66</f>
        <v>Arizona</v>
      </c>
      <c r="AB19" s="56"/>
      <c r="AD19" s="266" t="s">
        <v>3</v>
      </c>
      <c r="AE19" s="266"/>
      <c r="AF19" s="20"/>
      <c r="AG19" s="24"/>
      <c r="AJ19" s="24"/>
      <c r="AK19" s="59">
        <f>Games!N24</f>
        <v>0.34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0.36</v>
      </c>
      <c r="F21" s="262" t="str">
        <f>Games!O9</f>
        <v>Campbell</v>
      </c>
      <c r="G21" s="247" t="e" vm="74">
        <f>_xlfn.XLOOKUP(F21,Teams!$C:$C,Teams!$E:$E,,0,1)</f>
        <v>#VALUE!</v>
      </c>
      <c r="H21" s="264">
        <f>Games!L40</f>
        <v>0.33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0.05</v>
      </c>
      <c r="AI21" s="249" t="e" vm="106">
        <f>_xlfn.XLOOKUP(AJ21,Teams!$C:$C,Teams!$E:$E,,0,1)</f>
        <v>#VALUE!</v>
      </c>
      <c r="AJ21" s="262" t="str">
        <f>Games!O25</f>
        <v>Appalachian State</v>
      </c>
      <c r="AK21" s="58">
        <f>Games!L25</f>
        <v>0.08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0.64</v>
      </c>
      <c r="F23" s="282">
        <f>IF($AU$5=TRUE,F15+1,"")</f>
        <v>35</v>
      </c>
      <c r="G23" s="14"/>
      <c r="H23" s="49"/>
      <c r="I23" s="279" t="str">
        <f>Games!O40</f>
        <v>Central Arkansas</v>
      </c>
      <c r="J23" s="247" t="e" vm="76">
        <f>_xlfn.XLOOKUP(I23,Teams!$C:$C,Teams!$E:$E,,0,1)</f>
        <v>#VALUE!</v>
      </c>
      <c r="K23" s="264">
        <f>Games!L56</f>
        <v>0.83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0.82</v>
      </c>
      <c r="AF23" s="249" t="e" vm="107">
        <f>_xlfn.XLOOKUP(AG23,Teams!$C:$C,Teams!$E:$E,,0,1)</f>
        <v>#VALUE!</v>
      </c>
      <c r="AG23" s="262" t="str">
        <f>Games!O48</f>
        <v>Arizona</v>
      </c>
      <c r="AH23" s="55"/>
      <c r="AI23" s="51"/>
      <c r="AJ23" s="282">
        <f>IF($AU$5=TRUE,AJ15+1,"")</f>
        <v>43</v>
      </c>
      <c r="AK23" s="59">
        <f>Games!N25</f>
        <v>0.92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0.04</v>
      </c>
      <c r="F25" s="262" t="str">
        <f>Games!O10</f>
        <v>Central Arkansas</v>
      </c>
      <c r="G25" s="247" t="e" vm="76">
        <f>_xlfn.XLOOKUP(F25,Teams!$C:$C,Teams!$E:$E,,0,1)</f>
        <v>#VALUE!</v>
      </c>
      <c r="H25" s="277">
        <f>Games!N40</f>
        <v>0.67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0.95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0.98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0.96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Central Arkansas</v>
      </c>
      <c r="M27" s="247" t="e" vm="76">
        <f>_xlfn.XLOOKUP(L27,Teams!$C:$C,Teams!$E:$E,,0,1)</f>
        <v>#VALUE!</v>
      </c>
      <c r="N27" s="277">
        <f>Games!N64</f>
        <v>0</v>
      </c>
      <c r="O27" s="25"/>
      <c r="P27" s="25"/>
      <c r="Q27" s="50"/>
      <c r="R27" s="279" t="str">
        <f>Games!O69</f>
        <v>Cal State Northridge</v>
      </c>
      <c r="S27" s="262"/>
      <c r="T27" s="262"/>
      <c r="U27" s="289" t="e" vm="71">
        <f>_xlfn.XLOOKUP(R27,Teams!$C:$C,Teams!$E:$E,,0,1)</f>
        <v>#VALUE!</v>
      </c>
      <c r="V27" s="267">
        <f>Games!L72</f>
        <v>0.96</v>
      </c>
      <c r="W27" s="24"/>
      <c r="X27" s="25"/>
      <c r="Y27" s="56"/>
      <c r="AA27" s="25"/>
      <c r="AB27" s="269">
        <f>Games!N66</f>
        <v>0.9</v>
      </c>
      <c r="AC27" s="249" t="e" vm="107">
        <f>_xlfn.XLOOKUP(AD27,Teams!$C:$C,Teams!$E:$E,,0,1)</f>
        <v>#VALUE!</v>
      </c>
      <c r="AD27" s="262" t="str">
        <f>Games!O60</f>
        <v>Arizona</v>
      </c>
      <c r="AE27" s="56"/>
      <c r="AG27" s="283">
        <f>IF($AU$5=TRUE,AG11+1,"")</f>
        <v>54</v>
      </c>
      <c r="AJ27" s="24"/>
      <c r="AK27" s="59">
        <f>Games!N26</f>
        <v>0.02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0.42</v>
      </c>
      <c r="F29" s="262" t="str">
        <f>Games!O11</f>
        <v>Central Michigan</v>
      </c>
      <c r="G29" s="247" t="e" vm="78">
        <f>_xlfn.XLOOKUP(F29,Teams!$C:$C,Teams!$E:$E,,0,1)</f>
        <v>#VALUE!</v>
      </c>
      <c r="H29" s="264">
        <f>Games!L41</f>
        <v>0.42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0.96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0.57999999999999996</v>
      </c>
      <c r="F31" s="282">
        <f>IF($AU$5=TRUE,F23+1,"")</f>
        <v>36</v>
      </c>
      <c r="G31" s="14"/>
      <c r="H31" s="49"/>
      <c r="I31" s="279" t="str">
        <f>Games!O41</f>
        <v>Charleston Southern</v>
      </c>
      <c r="J31" s="247" t="e" vm="79">
        <f>_xlfn.XLOOKUP(I31,Teams!$C:$C,Teams!$E:$E,,0,1)</f>
        <v>#VALUE!</v>
      </c>
      <c r="K31" s="277">
        <f>Games!N56</f>
        <v>0.17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0.18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0.1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Cal State Northridge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0.55000000000000004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0.57999999999999996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0.04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0.74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0.45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0.26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0.54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1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0.12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0.75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0.46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0.91</v>
      </c>
      <c r="L39" s="25"/>
      <c r="M39" s="25"/>
      <c r="O39" s="25"/>
      <c r="P39" s="25"/>
      <c r="Q39" s="50"/>
      <c r="R39" s="25"/>
      <c r="S39" s="25"/>
      <c r="T39" s="267">
        <f>Games!N72</f>
        <v>0.04</v>
      </c>
      <c r="U39" s="293" t="e" vm="10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0.56999999999999995</v>
      </c>
      <c r="AF39" s="249" t="e" vm="115">
        <f>_xlfn.XLOOKUP(AG39,Teams!$C:$C,Teams!$E:$E,,0,1)</f>
        <v>#VALUE!</v>
      </c>
      <c r="AG39" s="262" t="str">
        <f>Games!O50</f>
        <v>Cincinnati</v>
      </c>
      <c r="AH39" s="55"/>
      <c r="AI39" s="51"/>
      <c r="AJ39" s="282">
        <f>IF($AU$5=TRUE,AJ31+1,"")</f>
        <v>45</v>
      </c>
      <c r="AK39" s="59">
        <f>Games!N29</f>
        <v>0.25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0.14000000000000001</v>
      </c>
      <c r="F41" s="262" t="str">
        <f>Games!O14</f>
        <v>Baylor</v>
      </c>
      <c r="G41" s="247" t="e" vm="84">
        <f>_xlfn.XLOOKUP(F41,Teams!$C:$C,Teams!$E:$E,,0,1)</f>
        <v>#VALUE!</v>
      </c>
      <c r="H41" s="277">
        <f>Games!N42</f>
        <v>0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0.88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0.86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Baylor</v>
      </c>
      <c r="M43" s="247" t="e" vm="84">
        <f>_xlfn.XLOOKUP(L43,Teams!$C:$C,Teams!$E:$E,,0,1)</f>
        <v>#VALUE!</v>
      </c>
      <c r="N43" s="264">
        <f>Games!L65</f>
        <v>0.3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0.33</v>
      </c>
      <c r="AC43" s="249" t="e" vm="115">
        <f>_xlfn.XLOOKUP(AD43,Teams!$C:$C,Teams!$E:$E,,0,1)</f>
        <v>#VALUE!</v>
      </c>
      <c r="AD43" s="291" t="str">
        <f>Games!O61</f>
        <v>Cincinnati</v>
      </c>
      <c r="AE43" s="56"/>
      <c r="AG43" s="283">
        <f>IF($AU$5=TRUE,AG27+1,"")</f>
        <v>55</v>
      </c>
      <c r="AJ43" s="24"/>
      <c r="AK43" s="59">
        <f>Games!N30</f>
        <v>0.4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1</v>
      </c>
      <c r="F45" s="262" t="str">
        <f>Games!O15</f>
        <v>Bellarmine</v>
      </c>
      <c r="G45" s="247" t="e" vm="85">
        <f>_xlfn.XLOOKUP(F45,Teams!$C:$C,Teams!$E:$E,,0,1)</f>
        <v>#VALUE!</v>
      </c>
      <c r="H45" s="264">
        <f>Games!L43</f>
        <v>0.6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1</v>
      </c>
      <c r="AI45" s="249" t="e" vm="118">
        <f>_xlfn.XLOOKUP(AJ45,Teams!$C:$C,Teams!$E:$E,,0,1)</f>
        <v>#VALUE!</v>
      </c>
      <c r="AJ45" s="262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</v>
      </c>
      <c r="F47" s="282">
        <f>IF($AU$5=TRUE,F39+1,"")</f>
        <v>38</v>
      </c>
      <c r="G47" s="14"/>
      <c r="H47" s="49"/>
      <c r="I47" s="279" t="str">
        <f>Games!O43</f>
        <v>Bellarmine</v>
      </c>
      <c r="J47" s="247" t="e" vm="85">
        <f>_xlfn.XLOOKUP(I47,Teams!$C:$C,Teams!$E:$E,,0,1)</f>
        <v>#VALUE!</v>
      </c>
      <c r="K47" s="277">
        <f>Games!N57</f>
        <v>0.09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0.43</v>
      </c>
      <c r="AF47" s="249" t="e" vm="118">
        <f>_xlfn.XLOOKUP(AG47,Teams!$C:$C,Teams!$E:$E,,0,1)</f>
        <v>#VALUE!</v>
      </c>
      <c r="AG47" s="262" t="str">
        <f>Games!O51</f>
        <v>Coastal Carolina</v>
      </c>
      <c r="AH47" s="55"/>
      <c r="AI47" s="51"/>
      <c r="AJ47" s="282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1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0.4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</v>
      </c>
      <c r="AI49" s="249" t="e" vm="120">
        <f>_xlfn.XLOOKUP(AJ49,Teams!$C:$C,Teams!$E:$E,,0,1)</f>
        <v>#VALUE!</v>
      </c>
      <c r="AJ49" s="262" t="str">
        <f>Games!O32</f>
        <v>College of Charleston</v>
      </c>
      <c r="AK49" s="58">
        <f>Games!L32</f>
        <v>0.18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Brigham Young</v>
      </c>
      <c r="P51" s="247" t="e" vm="94">
        <f>_xlfn.XLOOKUP(O51,Teams!$C:$C,Teams!$E:$E,,0,1)</f>
        <v>#VALUE!</v>
      </c>
      <c r="Q51" s="277">
        <f>Games!N69</f>
        <v>0</v>
      </c>
      <c r="R51" s="25"/>
      <c r="S51" s="25"/>
      <c r="T51" s="25"/>
      <c r="U51" s="75"/>
      <c r="V51" s="25"/>
      <c r="W51" s="25"/>
      <c r="X51" s="25"/>
      <c r="Y51" s="269">
        <f>Games!N70</f>
        <v>0.12</v>
      </c>
      <c r="Z51" s="249" t="e" vm="124">
        <f>_xlfn.XLOOKUP(AA51,Teams!$C:$C,Teams!$E:$E,,0,1)</f>
        <v>#VALUE!</v>
      </c>
      <c r="AA51" s="262" t="str">
        <f>Games!O67</f>
        <v>Connecticut</v>
      </c>
      <c r="AB51" s="56"/>
      <c r="AD51" s="266" t="s">
        <v>14</v>
      </c>
      <c r="AE51" s="266"/>
      <c r="AF51" s="20"/>
      <c r="AG51" s="24"/>
      <c r="AJ51" s="24"/>
      <c r="AK51" s="59">
        <f>Games!N32</f>
        <v>0.82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0.82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7.0000000000000007E-2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0.11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0.18</v>
      </c>
      <c r="F55" s="282">
        <f>IF($AU$5=TRUE,F47+1,"")</f>
        <v>39</v>
      </c>
      <c r="G55" s="14"/>
      <c r="H55" s="49"/>
      <c r="I55" s="279" t="str">
        <f>Games!O44</f>
        <v>Duke</v>
      </c>
      <c r="J55" s="247" t="e" vm="92">
        <f>_xlfn.XLOOKUP(I55,Teams!$C:$C,Teams!$E:$E,,0,1)</f>
        <v>#VALUE!</v>
      </c>
      <c r="K55" s="264">
        <f>Games!L58</f>
        <v>1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0.94</v>
      </c>
      <c r="AF55" s="249" t="e" vm="124">
        <f>_xlfn.XLOOKUP(AG55,Teams!$C:$C,Teams!$E:$E,,0,1)</f>
        <v>#VALUE!</v>
      </c>
      <c r="AG55" s="262" t="str">
        <f>Games!O52</f>
        <v>Connecticut</v>
      </c>
      <c r="AH55" s="55"/>
      <c r="AI55" s="51"/>
      <c r="AJ55" s="282">
        <f>IF($AU$5=TRUE,AJ47+1,"")</f>
        <v>47</v>
      </c>
      <c r="AK55" s="59">
        <f>Games!N33</f>
        <v>0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Drake</v>
      </c>
      <c r="D57" s="70" t="e" vm="91">
        <f>_xlfn.XLOOKUP(C57,Teams!$C:$C,Teams!$E:$E,,0,1)</f>
        <v>#VALUE!</v>
      </c>
      <c r="E57" s="46">
        <f>Games!L18</f>
        <v>0.01</v>
      </c>
      <c r="F57" s="262" t="str">
        <f>Games!O18</f>
        <v>Duke</v>
      </c>
      <c r="G57" s="247" t="e" vm="92">
        <f>_xlfn.XLOOKUP(F57,Teams!$C:$C,Teams!$E:$E,,0,1)</f>
        <v>#VALUE!</v>
      </c>
      <c r="H57" s="277">
        <f>Games!N44</f>
        <v>0.93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0.89</v>
      </c>
      <c r="AI57" s="249" t="e" vm="124">
        <f>_xlfn.XLOOKUP(AJ57,Teams!$C:$C,Teams!$E:$E,,0,1)</f>
        <v>#VALUE!</v>
      </c>
      <c r="AJ57" s="262" t="str">
        <f>Games!O34</f>
        <v>Connecticut</v>
      </c>
      <c r="AK57" s="58">
        <f>Games!L34</f>
        <v>0.04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0.99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Duke</v>
      </c>
      <c r="M59" s="247" t="e" vm="92">
        <f>_xlfn.XLOOKUP(L59,Teams!$C:$C,Teams!$E:$E,,0,1)</f>
        <v>#VALUE!</v>
      </c>
      <c r="N59" s="277">
        <f>Games!N65</f>
        <v>0.7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0.67</v>
      </c>
      <c r="AC59" s="249" t="e" vm="124">
        <f>_xlfn.XLOOKUP(AD59,Teams!$C:$C,Teams!$E:$E,,0,1)</f>
        <v>#VALUE!</v>
      </c>
      <c r="AD59" s="262" t="str">
        <f>Games!O62</f>
        <v>Connecticut</v>
      </c>
      <c r="AE59" s="56"/>
      <c r="AG59" s="283">
        <f>IF($AU$5=TRUE,AG43+1,"")</f>
        <v>56</v>
      </c>
      <c r="AJ59" s="24"/>
      <c r="AK59" s="59">
        <f>Games!N34</f>
        <v>0.96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0.17</v>
      </c>
      <c r="F61" s="262" t="str">
        <f>Games!O19</f>
        <v>Brigham Young</v>
      </c>
      <c r="G61" s="247" t="e" vm="94">
        <f>_xlfn.XLOOKUP(F61,Teams!$C:$C,Teams!$E:$E,,0,1)</f>
        <v>#VALUE!</v>
      </c>
      <c r="H61" s="264">
        <f>Games!L45</f>
        <v>0.98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1</v>
      </c>
      <c r="AI61" s="249" t="e" vm="126">
        <f>_xlfn.XLOOKUP(AJ61,Teams!$C:$C,Teams!$E:$E,,0,1)</f>
        <v>#VALUE!</v>
      </c>
      <c r="AJ61" s="262" t="str">
        <f>Games!O35</f>
        <v>Cornell</v>
      </c>
      <c r="AK61" s="58">
        <f>Games!L35</f>
        <v>0.05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0.83</v>
      </c>
      <c r="F63" s="282">
        <f>IF($AU$5=TRUE,F55+1,"")</f>
        <v>40</v>
      </c>
      <c r="G63" s="14"/>
      <c r="H63" s="49"/>
      <c r="I63" s="279" t="str">
        <f>Games!O45</f>
        <v>Brigham Young</v>
      </c>
      <c r="J63" s="247" t="e" vm="94">
        <f>_xlfn.XLOOKUP(I63,Teams!$C:$C,Teams!$E:$E,,0,1)</f>
        <v>#VALUE!</v>
      </c>
      <c r="K63" s="277">
        <f>Games!N58</f>
        <v>0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0.06</v>
      </c>
      <c r="AF63" s="249" t="e" vm="126">
        <f>_xlfn.XLOOKUP(AG63,Teams!$C:$C,Teams!$E:$E,,0,1)</f>
        <v>#VALUE!</v>
      </c>
      <c r="AG63" s="262" t="str">
        <f>Games!O53</f>
        <v>Cornell</v>
      </c>
      <c r="AH63" s="55"/>
      <c r="AI63" s="51"/>
      <c r="AJ63" s="282">
        <f>IF($AU$5=TRUE,AJ55+1,"")</f>
        <v>48</v>
      </c>
      <c r="AK63" s="59">
        <f>Games!N35</f>
        <v>0.95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0.02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1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0.4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2026-03-06T05:24:21Z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