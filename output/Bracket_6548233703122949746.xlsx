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DA9FDE91-5B7A-4E45-BD8B-7CF9301B0032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<sst xmlns="http://schemas.openxmlformats.org/spreadsheetml/2006/main" count="1526" uniqueCount="1194">
  <si>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</si>
  <si>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</si>
  <si>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</si>
  <si>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</si>
  <si>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</si>
  <si>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</si>
  <si>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</si>
  <si>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</si>
  <si>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</si>
  <si>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</si>
  <si>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</si>
  <si>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</si>
  <si>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</si>
  <si>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</si>
  <si>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</si>
  <si>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</si>
  <si>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</si>
  <si>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</si>
  <si>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</si>
  <si>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</si>
  <si>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</si>
  <si>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</si>
  <si>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</si>
  <si>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</si>
  <si>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</si>
  <si>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</si>
  <si>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</si>
  <si>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</si>
  <si>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</si>
  <si>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</si>
  <si>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</si>
  <si>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</si>
  <si>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</si>
  <si>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</si>
  <si>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</si>
  <si>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</si>
  <si>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</si>
  <si>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</si>
  <si>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</si>
  <si>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</si>
  <si>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</si>
  <si>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</si>
  <si>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</si>
  <si>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</si>
  <si>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</si>
  <si>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</si>
  <si>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</si>
  <si>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</si>
  <si>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</si>
  <si>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</si>
  <si>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</si>
  <si>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</si>
  <si>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</si>
  <si>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</si>
  <si>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</si>
  <si>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</si>
  <si>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</si>
  <si>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</si>
  <si>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</si>
  <si>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</si>
  <si>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</si>
  <si>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</si>
  <si>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</si>
  <si>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</si>
  <si>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</si>
  <si>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</si>
  <si>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</si>
  <si>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</si>
  <si>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</si>
  <si>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</si>
  <si>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</si>
  <si>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</si>
  <si>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</si>
  <si>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</si>
  <si>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</si>
  <si>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</si>
  <si>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</si>
  <si>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</si>
  <si>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</si>
  <si>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</si>
  <si>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</si>
  <si>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</si>
  <si>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</si>
  <si>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</si>
  <si>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</si>
  <si>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</si>
  <si>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</si>
  <si>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</si>
  <si>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</si>
  <si>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</si>
  <si>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</si>
  <si>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</si>
  <si>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</si>
  <si>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</si>
  <si>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</si>
  <si>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</si>
  <si>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</si>
  <si>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</si>
  <si>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</si>
  <si>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</si>
  <si>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</si>
  <si>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</si>
  <si>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</si>
  <si>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</si>
  <si>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</si>
  <si>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</si>
  <si>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</si>
  <si>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</si>
  <si>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</si>
  <si>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</si>
  <si>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</si>
  <si>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</si>
  <si>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</si>
  <si>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</si>
  <si>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</si>
  <si>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</si>
  <si>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</si>
  <si>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</si>
  <si>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</si>
  <si>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</si>
  <si>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</si>
  <si>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</si>
  <si>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</si>
  <si>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</si>
  <si>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</si>
  <si>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</si>
  <si>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</si>
  <si>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</si>
  <si>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</si>
  <si>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</si>
  <si>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</si>
  <si>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</si>
  <si>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</si>
  <si>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</si>
  <si>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</si>
  <si>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</si>
  <si>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</si>
  <si>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</si>
  <si>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</si>
  <si>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</si>
  <si>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</si>
  <si>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</si>
  <si>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</si>
  <si>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</si>
  <si>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</si>
  <si>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</si>
  <si>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</si>
  <si>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</si>
  <si>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</si>
  <si>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</si>
  <si>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</si>
  <si>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</si>
  <si>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</si>
  <si>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</si>
  <si>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</si>
  <si>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</si>
  <si>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</si>
  <si>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</si>
  <si>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</si>
  <si>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</si>
  <si>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</si>
  <si>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</si>
  <si>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</si>
  <si>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</si>
  <si>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</si>
  <si>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</si>
  <si>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</si>
  <si>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</si>
  <si>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</si>
  <si>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</si>
  <si>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</si>
  <si>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</si>
  <si>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</si>
  <si>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</si>
  <si>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</si>
  <si>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</si>
  <si>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</si>
  <si>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</si>
  <si>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</si>
  <si>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</si>
  <si>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</si>
  <si>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</si>
  <si>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</si>
  <si>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</si>
  <si>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</si>
  <si>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</si>
  <si>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</si>
  <si>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</si>
  <si>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</si>
  <si>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</si>
  <si>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</si>
  <si>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</si>
  <si>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</si>
  <si>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</si>
  <si>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</si>
  <si>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</si>
  <si>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</si>
  <si>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</si>
  <si>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</si>
  <si>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</si>
  <si>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</si>
  <si>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</si>
  <si>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</si>
  <si>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</si>
  <si>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</si>
  <si>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</si>
  <si>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</si>
  <si>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</si>
  <si>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</si>
  <si>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</si>
  <si>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</si>
  <si>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</si>
  <si>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</si>
  <si>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</si>
  <si>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</si>
  <si>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</si>
  <si>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</si>
  <si>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</si>
  <si>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</si>
  <si>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</si>
  <si>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</si>
  <si>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</si>
  <si>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</si>
  <si>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</si>
  <si>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</si>
  <si>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</si>
  <si>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</si>
  <si>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</si>
  <si>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</si>
  <si>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</si>
  <si>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</si>
  <si>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</si>
  <si>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</si>
  <si>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</si>
  <si>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</si>
  <si>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</si>
  <si>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</si>
  <si>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</si>
  <si>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</si>
  <si>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</si>
  <si>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</si>
  <si>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</si>
  <si>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</si>
  <si>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</si>
  <si>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</si>
  <si>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</si>
  <si>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</si>
  <si>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</si>
  <si>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</si>
  <si>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</si>
  <si>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</si>
  <si>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</si>
  <si>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</si>
  <si>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</si>
  <si>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</si>
  <si>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</si>
  <si>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</si>
  <si>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</si>
  <si>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</si>
  <si>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</si>
  <si>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</si>
  <si>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</si>
  <si>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</si>
  <si>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</si>
  <si>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</si>
  <si>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</si>
  <si>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</si>
  <si>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</si>
  <si>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</si>
  <si>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</si>
  <si>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</si>
  <si>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</si>
  <si>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</si>
  <si>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</si>
  <si>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</si>
  <si>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</si>
  <si>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</si>
  <si>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</si>
  <si>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</si>
  <si>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</si>
  <si>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</si>
  <si>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</si>
  <si>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</si>
  <si>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</si>
  <si>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</si>
  <si>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</si>
  <si>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</si>
  <si>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</si>
  <si>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</si>
  <si>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</si>
  <si>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</si>
  <si>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</si>
  <si>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</si>
  <si>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</si>
  <si>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</si>
  <si>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</si>
  <si>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</si>
  <si>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</si>
  <si>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</si>
  <si>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</si>
  <si>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</si>
  <si>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</si>
  <si>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</si>
  <si>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</si>
  <si>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</si>
  <si>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</si>
  <si>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</si>
  <si>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</si>
  <si>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</si>
  <si>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</si>
  <si>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</si>
  <si>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</si>
  <si>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</si>
  <si>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</si>
  <si>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</si>
  <si>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</si>
  <si>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</si>
  <si>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</si>
  <si>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</si>
  <si>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</si>
  <si>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</si>
  <si>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</si>
  <si>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</si>
  <si>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</si>
  <si>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</si>
  <si>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</si>
  <si>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</si>
  <si>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</si>
  <si>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</si>
  <si>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</si>
  <si>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</si>
  <si>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</si>
  <si>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</si>
  <si>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</si>
  <si>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</si>
  <si>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</si>
  <si>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</si>
  <si>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</si>
  <si>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</si>
  <si>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</si>
  <si>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</si>
  <si>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</si>
  <si>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</si>
  <si>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</si>
  <si>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</si>
  <si>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</si>
  <si>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</si>
  <si>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</si>
  <si>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</si>
  <si>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</si>
  <si>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</si>
  <si>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</si>
  <si>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</si>
  <si>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</si>
  <si>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</si>
  <si>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</si>
  <si>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</si>
  <si>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</si>
  <si>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</si>
  <si>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</si>
  <si>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</si>
  <si>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</si>
  <si>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</si>
  <si>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</si>
  <si>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</si>
  <si>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</si>
  <si>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</si>
  <si>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</si>
  <si>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</si>
  <si>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</si>
  <si>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</si>
  <si>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</si>
  <si>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</si>
  <si>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</si>
  <si>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</si>
  <si>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</si>
  <si>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</si>
  <si>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</si>
  <si>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</si>
  <si>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</si>
  <si>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</si>
  <si>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</si>
  <si>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</si>
  <si>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</si>
  <si>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</si>
  <si>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</si>
  <si>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</si>
  <si>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</si>
  <si>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</si>
  <si>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</si>
  <si>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</si>
  <si>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</si>
  <si>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</si>
  <si>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</si>
  <si>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</si>
  <si>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</si>
  <si>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</si>
  <si>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</si>
  <si>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</si>
  <si>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</si>
  <si>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</si>
  <si>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</si>
  <si>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</si>
  <si>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</si>
  <si>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</si>
  <si>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</si>
  <si>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</si>
  <si>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</si>
  <si>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</si>
  <si>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</si>
  <si>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</si>
  <si>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</si>
  <si>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</si>
  <si>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</si>
  <si>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</si>
  <si>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</si>
  <si>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</si>
  <si>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</si>
  <si>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</si>
  <si>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</si>
  <si>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</si>
  <si>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</si>
  <si>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</si>
  <si>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</si>
  <si>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</si>
  <si>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</si>
  <si>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</si>
  <si>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</si>
  <si>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</si>
  <si>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</si>
  <si>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</si>
  <si>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</si>
  <si>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</si>
  <si>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</si>
  <si>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</si>
  <si>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</si>
  <si>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</si>
  <si>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</si>
  <si>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</si>
  <si>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</si>
  <si>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</si>
  <si>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</si>
  <si>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</si>
  <si>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</si>
  <si>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</si>
  <si>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</si>
  <si>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</si>
  <si>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</si>
  <si>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</si>
  <si>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</si>
  <si>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</si>
  <si>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</si>
  <si>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</si>
  <si>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</si>
  <si>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</si>
  <si>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</si>
  <si>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</si>
  <si>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</si>
  <si>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</si>
  <si>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</si>
  <si>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</si>
  <si>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</si>
  <si>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</si>
  <si>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</si>
  <si>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</si>
  <si>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</si>
  <si>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</si>
  <si>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</si>
  <si>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</si>
  <si>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</si>
  <si>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</si>
  <si>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</si>
  <si>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</si>
  <si>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</si>
  <si>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</si>
  <si>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</si>
  <si>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</si>
  <si>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</si>
  <si>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</si>
  <si>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</si>
  <si>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</si>
  <si>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</si>
  <si>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</si>
  <si>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</si>
  <si>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</si>
  <si>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</si>
  <si>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</si>
  <si>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</si>
  <si>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</si>
  <si>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</si>
  <si>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</si>
  <si>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</si>
  <si>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</si>
  <si>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</si>
  <si>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</si>
  <si>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</si>
  <si>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</si>
  <si>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</si>
  <si>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</si>
  <si>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</si>
  <si>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</si>
  <si>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</si>
  <si>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</si>
  <si>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</si>
  <si>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</si>
  <si>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</si>
  <si>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</si>
  <si>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</si>
  <si>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</si>
  <si>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</si>
  <si>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</si>
  <si>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</si>
  <si>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</si>
  <si>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</si>
  <si>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</si>
  <si>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</si>
  <si>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</si>
  <si>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</si>
  <si>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</si>
  <si>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</si>
  <si>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</si>
  <si>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</si>
  <si>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</si>
  <si>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</si>
  <si>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</si>
  <si>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</si>
  <si>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</si>
  <si>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</si>
  <si>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</si>
  <si>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</si>
  <si>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</si>
  <si>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</si>
  <si>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</si>
  <si>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</si>
  <si>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</si>
  <si>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</si>
  <si>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</si>
  <si>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</si>
  <si>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</si>
  <si>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</si>
  <si>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</si>
  <si>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</si>
  <si>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</si>
  <si>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</si>
  <si>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</si>
  <si>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</si>
  <si>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</si>
  <si>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</si>
  <si>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</si>
  <si>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</si>
  <si>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</si>
  <si>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</si>
  <si>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</si>
  <si>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</si>
  <si>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</si>
  <si>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</si>
  <si>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</si>
  <si>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</si>
  <si>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</si>
  <si>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</si>
  <si>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</si>
  <si>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</si>
  <si>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</si>
  <si>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</si>
  <si>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</si>
  <si>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</si>
  <si>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</si>
  <si>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</si>
  <si>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</si>
  <si>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</si>
  <si>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</si>
  <si>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</si>
  <si>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</si>
  <si>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</si>
  <si>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</si>
  <si>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</si>
  <si>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</si>
  <si>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</si>
  <si>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</si>
  <si>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</si>
  <si>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</si>
  <si>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</si>
  <si>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</si>
  <si>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</si>
  <si>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</si>
  <si>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</si>
  <si>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</si>
  <si>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</si>
  <si>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</si>
  <si>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</si>
  <si>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</si>
  <si>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</si>
  <si>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</si>
  <si>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</si>
  <si>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</si>
  <si>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</si>
  <si>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</si>
  <si>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</si>
  <si>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</si>
  <si>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</si>
  <si>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</si>
  <si>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</si>
  <si>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</si>
  <si>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</si>
  <si>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</si>
  <si>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</si>
  <si>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</si>
  <si>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</si>
  <si>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</si>
  <si>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</si>
  <si>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</si>
  <si>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</si>
  <si>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</si>
  <si>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</si>
  <si>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</si>
  <si>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</si>
  <si>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</si>
  <si>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</si>
  <si>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</si>
  <si>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</si>
  <si>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</si>
  <si>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</si>
  <si>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</si>
  <si>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</si>
  <si>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</si>
  <si>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</si>
  <si>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</si>
  <si>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</si>
  <si>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</si>
  <si>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</si>
  <si>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</si>
  <si>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</si>
  <si>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</si>
  <si>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</si>
  <si>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</si>
  <si>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</si>
  <si>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</si>
  <si>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</si>
  <si>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</si>
  <si>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</si>
  <si>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</si>
  <si>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</si>
  <si>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</si>
  <si>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</si>
  <si>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</si>
  <si>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</si>
  <si>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</si>
  <si>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</si>
  <si>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</si>
  <si>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</si>
  <si>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</si>
  <si>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</si>
  <si>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</si>
  <si>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</si>
  <si>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</si>
  <si>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</si>
  <si>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</si>
  <si>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</si>
  <si>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</si>
  <si>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</si>
  <si>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</si>
  <si>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</si>
  <si>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</si>
  <si>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</si>
  <si>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</si>
  <si>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</si>
  <si>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</si>
  <si>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</si>
  <si>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</si>
  <si>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</si>
  <si>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</si>
  <si>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</si>
  <si>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</si>
  <si>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</si>
  <si>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</si>
  <si>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</si>
  <si>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</si>
  <si>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</si>
  <si>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</si>
  <si>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</si>
  <si>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</si>
  <si>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</si>
  <si>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</si>
  <si>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</si>
  <si>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</si>
  <si>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</si>
  <si>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</si>
  <si>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</si>
  <si>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</si>
  <si>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</si>
  <si>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</si>
  <si>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</si>
  <si>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</si>
  <si>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</si>
  <si>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</si>
  <si>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</si>
  <si>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</si>
  <si>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</si>
  <si>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</si>
  <si>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</si>
  <si>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</si>
  <si>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</si>
  <si>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</si>
  <si>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</si>
  <si>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</si>
  <si>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</si>
  <si>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</si>
  <si>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</si>
  <si>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</si>
  <si>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</si>
  <si>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</si>
  <si>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</si>
  <si>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</si>
  <si>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</si>
  <si>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</si>
  <si>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</si>
  <si>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</si>
  <si>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</si>
  <si>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</si>
  <si>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</si>
  <si>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</si>
  <si>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</si>
  <si>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</si>
  <si>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</si>
  <si>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</si>
  <si>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</si>
  <si>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</si>
  <si>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</si>
  <si>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</si>
  <si>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</si>
  <si>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</si>
  <si>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</si>
  <si>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</si>
  <si>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</si>
  <si>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</si>
  <si>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</si>
  <si>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</si>
  <si>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</si>
  <si>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</si>
  <si>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</si>
  <si>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</si>
  <si>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</si>
  <si>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</si>
  <si>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</si>
  <si>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</si>
  <si>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</si>
  <si>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</si>
  <si>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</si>
  <si>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</si>
  <si>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</si>
  <si>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</si>
  <si>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</si>
  <si>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</si>
  <si>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</si>
  <si>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</si>
  <si>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</si>
  <si>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</si>
  <si>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</si>
  <si>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</si>
  <si>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</si>
  <si>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</si>
  <si>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</si>
  <si>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</si>
  <si>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</si>
  <si>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</si>
  <si>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</si>
  <si>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</si>
  <si>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</si>
  <si>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</si>
  <si>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</si>
  <si>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</si>
  <si>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</si>
  <si>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</si>
  <si>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</si>
  <si>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</si>
  <si>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</si>
  <si>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</si>
  <si>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</si>
  <si>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</si>
  <si>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</si>
  <si>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</si>
  <si>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</si>
  <si>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</si>
  <si>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</si>
  <si>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</si>
  <si>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</si>
  <si>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</si>
  <si>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</si>
  <si>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</si>
  <si>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</si>
  <si>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</si>
  <si>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</si>
  <si>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</si>
  <si>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</si>
  <si>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</si>
  <si>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</si>
  <si>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</si>
  <si>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</si>
  <si>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</si>
  <si>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</si>
  <si>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</si>
  <si>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</si>
  <si>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</si>
  <si>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</si>
  <si>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</si>
  <si>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</si>
  <si>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</si>
  <si>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</si>
  <si>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</si>
  <si>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</si>
  <si>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</si>
  <si>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</si>
  <si>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</si>
  <si>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</si>
  <si>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</si>
  <si>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</si>
  <si>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</si>
  <si>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</si>
  <si>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</si>
  <si>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</si>
  <si>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</si>
  <si>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</si>
  <si>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</si>
  <si>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</si>
  <si>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</si>
  <si>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</si>
  <si>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</si>
  <si>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</si>
  <si>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</si>
  <si>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</si>
  <si>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</si>
  <si>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</si>
  <si>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</si>
  <si>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</si>
  <si>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</si>
  <si>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</si>
  <si>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</si>
  <si>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</si>
  <si>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</si>
  <si>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</si>
  <si>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</si>
  <si>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</si>
  <si>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</si>
  <si>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</si>
  <si>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</si>
  <si>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</si>
  <si>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</si>
  <si>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</si>
  <si>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</si>
  <si>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</si>
  <si>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</si>
  <si>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</si>
  <si>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</si>
  <si>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</si>
  <si>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</si>
  <si>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</si>
  <si>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</si>
  <si>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</si>
  <si>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</si>
  <si>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</si>
  <si>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</si>
  <si>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</si>
  <si>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</si>
  <si>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</si>
  <si>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</si>
  <si>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</si>
  <si>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</si>
  <si>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</si>
  <si>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</si>
  <si>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</si>
  <si>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</si>
  <si>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</si>
  <si>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</si>
  <si>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</si>
  <si>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</si>
  <si>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</si>
  <si>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</si>
  <si>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</si>
  <si>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</si>
  <si>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</si>
  <si>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</si>
  <si>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</si>
  <si>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</si>
  <si>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</si>
  <si>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</si>
  <si>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</si>
  <si>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</si>
  <si>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</si>
  <si>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</si>
  <si>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</si>
  <si>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</si>
  <si>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</si>
  <si>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</si>
  <si>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</si>
  <si>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</si>
  <si>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</si>
  <si>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</si>
  <si>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</si>
  <si>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</si>
  <si>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</si>
  <si>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</si>
  <si>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</si>
  <si>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</si>
  <si>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</si>
  <si>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</si>
  <si>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</si>
  <si>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</si>
  <si>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</si>
  <si>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</si>
  <si>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</si>
  <si>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</si>
  <si>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</si>
  <si>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</si>
  <si>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</si>
  <si>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</si>
  <si>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</si>
  <si>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</si>
  <si>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</si>
  <si>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</si>
  <si>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</si>
  <si>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</si>
  <si>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</si>
  <si>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</si>
  <si>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</si>
  <si>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</si>
  <si>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</si>
  <si>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</si>
  <si>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</si>
  <si>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</si>
  <si>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</si>
  <si>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</si>
  <si>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</si>
  <si>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</si>
  <si>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</si>
  <si>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</si>
  <si>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</si>
  <si>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</si>
  <si>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</si>
  <si>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</si>
  <si>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</si>
  <si>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</si>
  <si>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</si>
  <si>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</si>
  <si>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</si>
  <si>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</si>
  <si>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</si>
  <si>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</si>
  <si>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</si>
  <si>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</si>
  <si>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</si>
  <si>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</si>
  <si>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</si>
  <si>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</si>
  <si>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</si>
  <si>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</si>
  <si>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</si>
  <si>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</si>
  <si>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</si>
  <si>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</si>
  <si>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</si>
  <si>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</si>
  <si>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</si>
  <si>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</si>
  <si>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</si>
  <si>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</si>
  <si>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</si>
  <si>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</si>
  <si>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</si>
  <si>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</si>
  <si>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</si>
  <si>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</si>
  <si>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</si>
  <si>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</si>
  <si>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</si>
  <si>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</si>
  <si>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</si>
  <si>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</si>
  <si>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</si>
  <si>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</si>
  <si>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</si>
  <si>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</si>
  <si>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</si>
  <si>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</si>
  <si>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</si>
  <si>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</si>
  <si>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</si>
  <si>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</si>
  <si>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</si>
  <si>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</si>
  <si>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</si>
  <si>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</si>
  <si>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</si>
  <si>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</si>
  <si>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</si>
  <si>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</si>
  <si>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</si>
  <si>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</si>
  <si>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</si>
  <si>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</si>
  <si>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</si>
  <si>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</si>
  <si>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</si>
  <si>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</si>
  <si>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</si>
  <si>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</si>
  <si>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</si>
  <si>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</si>
  <si>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</si>
  <si>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</si>
  <si>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</si>
  <si>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</si>
  <si>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</si>
  <si>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</si>
  <si>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</si>
  <si>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</si>
  <si>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</si>
  <si>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</si>
  <si>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</si>
  <si>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</si>
  <si>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</si>
  <si>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</si>
  <si>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</si>
  <si>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</si>
  <si>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</si>
  <si>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</si>
  <si>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</si>
  <si>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</si>
  <si>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</si>
  <si>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</si>
  <si>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</si>
  <si>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</si>
  <si>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</si>
  <si>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</si>
  <si>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</si>
  <si>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</si>
  <si>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</si>
  <si>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</si>
  <si>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</si>
  <si>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</si>
  <si>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</si>
  <si>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</si>
  <si>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</si>
  <si>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</si>
  <si>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</si>
  <si>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</si>
  <si>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</si>
  <si>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</si>
  <si>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</si>
  <si>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</si>
  <si>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</si>
  <si>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</si>
  <si>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</si>
  <si>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</si>
  <si>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</si>
  <si>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</si>
  <si>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</si>
  <si>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</si>
  <si>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</si>
  <si>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</si>
  <si>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</si>
  <si>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</si>
  <si>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</si>
  <si>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</si>
  <si>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</si>
  <si>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</si>
  <si>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</si>
  <si>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</si>
  <si>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</si>
  <si>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</si>
  <si>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</si>
  <si>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</si>
  <si>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</si>
  <si>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</si>
  <si>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</si>
  <si>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</si>
  <si>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</si>
  <si>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</si>
  <si>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</si>
  <si>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</si>
  <si>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</si>
  <si>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</si>
  <si>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</si>
  <si>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</si>
  <si>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</si>
  <si>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</si>
  <si>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</si>
  <si>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</si>
  <si>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</si>
  <si>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</si>
  <si>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</si>
  <si>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</si>
  <si>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</si>
  <si>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</si>
  <si>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</si>
  <si>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</si>
  <si>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</si>
  <si>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</si>
  <si>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</si>
  <si>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</si>
  <si>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</si>
  <si>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</si>
  <si>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</si>
  <si>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</si>
  <si>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</si>
  <si>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</si>
  <si>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</si>
  <si>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</si>
  <si>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</si>
  <si>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</si>
  <si>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</si>
  <si>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</si>
  <si>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</si>
  <si>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</si>
  <si>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</si>
  <si>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</si>
  <si>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</si>
  <si>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</si>
  <si>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</si>
  <si>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</si>
  <si>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</si>
  <si>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</si>
  <si>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</si>
  <si>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</si>
  <si>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</si>
  <si>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</si>
  <si>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</si>
  <si>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</si>
  <si>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</si>
  <si>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</si>
  <si>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</si>
  <si>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</si>
  <si>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</si>
  <si>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Ohio State: 202 - 299 :TCU</t>
  </si>
  <si>
    <t>St. John's (NY): 470 - 31 :Northern Iowa</t>
  </si>
  <si>
    <t>Kansas: 475 - 26 :California Baptist</t>
  </si>
  <si>
    <t>Louisville: 236 - 265 :South Florida</t>
  </si>
  <si>
    <t>Michigan State: 349 - 152 :North Dakota State</t>
  </si>
  <si>
    <t>UCLA: 250 - 251 :UCF</t>
  </si>
  <si>
    <t>Connecticut: 415 - 86 :Furman</t>
  </si>
  <si>
    <t>Florida: 494 - 7 :Lehigh</t>
  </si>
  <si>
    <t>Clemson: 227 - 274 :Iowa</t>
  </si>
  <si>
    <t>Vanderbilt: 294 - 207 :McNeese State</t>
  </si>
  <si>
    <t>Nebraska: 417 - 84 :Troy</t>
  </si>
  <si>
    <t>North Carolina: 385 - 116 :Virginia Commonwealth</t>
  </si>
  <si>
    <t>Illinois: 453 - 48 :Pennsylvania</t>
  </si>
  <si>
    <t>Saint Mary's (CA): 445 - 56 :Texas A&amp;M</t>
  </si>
  <si>
    <t>Houston: 489 - 12 :Idaho</t>
  </si>
  <si>
    <t>Arizona: 489 - 12 :Long Island University</t>
  </si>
  <si>
    <t>Villanova: 364 - 137 :Utah State</t>
  </si>
  <si>
    <t>Wisconsin: 257 - 244 :High Point</t>
  </si>
  <si>
    <t>Arkansas: 454 - 47 :Hawaii</t>
  </si>
  <si>
    <t>Brigham Young: 271 - 230 :Texas</t>
  </si>
  <si>
    <t>Gonzaga: 413 - 88 :Kennesaw State</t>
  </si>
  <si>
    <t>Miami (FL): 343 - 158 :Missouri</t>
  </si>
  <si>
    <t>Purdue: 420 - 81 :Queens (NC)</t>
  </si>
  <si>
    <t>Michigan: 448 - 53 :Maryland-Baltimore County</t>
  </si>
  <si>
    <t>Georgia: 199 - 302 :Saint Louis</t>
  </si>
  <si>
    <t>Texas Tech: 420 - 81 :Akron</t>
  </si>
  <si>
    <t>Alabama: 439 - 62 :Hofstra</t>
  </si>
  <si>
    <t>Tennessee: 174 - 327 :Miami (OH)</t>
  </si>
  <si>
    <t>Virginia: 400 - 101 :Wright State</t>
  </si>
  <si>
    <t>Kentucky: 278 - 223 :Santa Clara</t>
  </si>
  <si>
    <t>Iowa State: 463 - 38 :Tennessee State</t>
  </si>
  <si>
    <t>Duke: 419 - 82 :TCU</t>
  </si>
  <si>
    <t>UPSET! Normal winner is Kansas</t>
  </si>
  <si>
    <t>South Florida: 215 - 286 :Michigan State</t>
  </si>
  <si>
    <t>UCF: 197 - 304 :Connecticut</t>
  </si>
  <si>
    <t>Florida: 463 - 38 :Iowa</t>
  </si>
  <si>
    <t>Vanderbilt: 197 - 304 :Nebraska</t>
  </si>
  <si>
    <t>North Carolina: 218 - 283 :Illinois</t>
  </si>
  <si>
    <t>Saint Mary's (CA): 301 - 200 :Houston</t>
  </si>
  <si>
    <t>Arizona: 403 - 98 :Villanova</t>
  </si>
  <si>
    <t>UPSET! Normal winner is Arkansas</t>
  </si>
  <si>
    <t>Brigham Young: 191 - 310 :Gonzaga</t>
  </si>
  <si>
    <t>Miami (FL): 235 - 266 :Purdue</t>
  </si>
  <si>
    <t>UPSET! Normal winner is Michigan</t>
  </si>
  <si>
    <t>Texas Tech: 345 - 156 :Alabama</t>
  </si>
  <si>
    <t>UPSET! Normal winner is Miami (OH)</t>
  </si>
  <si>
    <t>Kentucky: 126 - 375 :Iowa State</t>
  </si>
  <si>
    <t>Duke: 318 - 183 :St. John's (NY)</t>
  </si>
  <si>
    <t>Michigan State: 213 - 288 :Connecticut</t>
  </si>
  <si>
    <t>Florida: 394 - 107 :Nebraska</t>
  </si>
  <si>
    <t>Illinois: 238 - 263 :Saint Mary's (CA)</t>
  </si>
  <si>
    <t>Arizona: 434 - 67 :Wisconsin</t>
  </si>
  <si>
    <t>Gonzaga: 272 - 229 :Purdue</t>
  </si>
  <si>
    <t>Saint Louis: 65 - 436 :Texas Tech</t>
  </si>
  <si>
    <t>Virginia: 158 - 343 :Iowa State</t>
  </si>
  <si>
    <t>Duke: 381 - 120 :Connecticut</t>
  </si>
  <si>
    <t>Florida: 344 - 157 :Saint Mary's (CA)</t>
  </si>
  <si>
    <t>Arizona: 378 - 123 :Gonzaga</t>
  </si>
  <si>
    <t>UPSET! Normal winner is Texas Tech</t>
  </si>
  <si>
    <t>Duke: 215 - 286 :Florida</t>
  </si>
  <si>
    <t>Arizona: 392 - 109 :Iowa State</t>
  </si>
  <si>
    <t>Florida: 217 - 284 :Arizona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</si>
</sst>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Ohio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0.4</v>
      </c>
      <c r="M6" s="82" t="e" vm="68">
        <f>_xlfn.XLOOKUP(I6,Teams!$C:$C,Teams!$E:$E,,0,1)</f>
        <v>#VALUE!</v>
      </c>
      <c r="N6" s="82">
        <v>0.6</v>
      </c>
      <c r="O6" s="189" t="str">
        <f t="shared" si="3"/>
        <v>TCU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North Dakota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0.7</v>
      </c>
      <c r="M10" s="82" t="e" vm="76">
        <f>_xlfn.XLOOKUP(I10,Teams!$C:$C,Teams!$E:$E,,0,1)</f>
        <v>#VALUE!</v>
      </c>
      <c r="N10" s="82">
        <v>0.3</v>
      </c>
      <c r="O10" s="189" t="str">
        <f t="shared" si="3"/>
        <v>Michigan State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UCLA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tr">
        <f t="shared" si="3"/>
        <v>UCF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Clemson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0.45</v>
      </c>
      <c r="M14" s="83" t="e" vm="84">
        <f>_xlfn.XLOOKUP(I14,Teams!$C:$C,Teams!$E:$E,,0,1)</f>
        <v>#VALUE!</v>
      </c>
      <c r="N14" s="83">
        <v>0.55000000000000004</v>
      </c>
      <c r="O14" s="192" t="str">
        <f t="shared" si="3"/>
        <v>Iowa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McNeese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0.59</v>
      </c>
      <c r="M15" s="83" t="e" vm="86">
        <f>_xlfn.XLOOKUP(I15,Teams!$C:$C,Teams!$E:$E,,0,1)</f>
        <v>#VALUE!</v>
      </c>
      <c r="N15" s="83">
        <v>0.41</v>
      </c>
      <c r="O15" s="192" t="str">
        <f t="shared" si="3"/>
        <v>Vanderbilt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Virginia Commonwealth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0.77</v>
      </c>
      <c r="M17" s="83" t="e" vm="90">
        <f>_xlfn.XLOOKUP(I17,Teams!$C:$C,Teams!$E:$E,,0,1)</f>
        <v>#VALUE!</v>
      </c>
      <c r="N17" s="83">
        <v>0.23</v>
      </c>
      <c r="O17" s="192" t="str">
        <f t="shared" si="3"/>
        <v>North Carolina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Utah State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0.73</v>
      </c>
      <c r="M22" s="82" t="e" vm="100">
        <f>_xlfn.XLOOKUP(I22,Teams!$C:$C,Teams!$E:$E,,0,1)</f>
        <v>#VALUE!</v>
      </c>
      <c r="N22" s="82">
        <v>0.27</v>
      </c>
      <c r="O22" s="189" t="str">
        <f t="shared" si="3"/>
        <v>Villanova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High Point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0.51</v>
      </c>
      <c r="M23" s="82" t="e" vm="102">
        <f>_xlfn.XLOOKUP(I23,Teams!$C:$C,Teams!$E:$E,,0,1)</f>
        <v>#VALUE!</v>
      </c>
      <c r="N23" s="82">
        <v>0.49</v>
      </c>
      <c r="O23" s="189" t="str">
        <f t="shared" si="3"/>
        <v>Wisconsin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Texas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0.54</v>
      </c>
      <c r="M25" s="82" t="e" vm="106">
        <f>_xlfn.XLOOKUP(I25,Teams!$C:$C,Teams!$E:$E,,0,1)</f>
        <v>#VALUE!</v>
      </c>
      <c r="N25" s="82">
        <v>0.46</v>
      </c>
      <c r="O25" s="189" t="str">
        <f t="shared" si="3"/>
        <v>Brigham Young</v>
      </c>
      <c r="P25" s="204" t="e" vm="105">
        <f>_xlfn.XLOOKUP(O25,Teams!$C:$C,Teams!$E:$E,,0,1)</f>
        <v>#VALUE!</v>
      </c>
      <c r="Q25" s="223" t="s">
        <v>1151</v>
      </c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Missouri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0.68</v>
      </c>
      <c r="M27" s="82" t="e" vm="110">
        <f>_xlfn.XLOOKUP(I27,Teams!$C:$C,Teams!$E:$E,,0,1)</f>
        <v>#VALUE!</v>
      </c>
      <c r="N27" s="82">
        <v>0.32</v>
      </c>
      <c r="O27" s="189" t="str">
        <f t="shared" si="3"/>
        <v>Miami (FL)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0.4</v>
      </c>
      <c r="M30" s="83" t="e" vm="116">
        <f>_xlfn.XLOOKUP(I30,Teams!$C:$C,Teams!$E:$E,,0,1)</f>
        <v>#VALUE!</v>
      </c>
      <c r="N30" s="83">
        <v>0.6</v>
      </c>
      <c r="O30" s="192" t="str">
        <f t="shared" si="3"/>
        <v>Saint Louis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Tennessee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0.35</v>
      </c>
      <c r="M33" s="83" t="e" vm="122">
        <f>_xlfn.XLOOKUP(I33,Teams!$C:$C,Teams!$E:$E,,0,1)</f>
        <v>#VALUE!</v>
      </c>
      <c r="N33" s="83">
        <v>0.65</v>
      </c>
      <c r="O33" s="192" t="str">
        <f t="shared" si="3"/>
        <v>Miami (OH)</v>
      </c>
      <c r="P33" s="207" t="e" vm="122">
        <f>_xlfn.XLOOKUP(O33,Teams!$C:$C,Teams!$E:$E,,0,1)</f>
        <v>#VALUE!</v>
      </c>
      <c r="Q33" s="226" t="s">
        <v>1159</v>
      </c>
      <c r="R33" s="6" t="b">
        <f t="shared" si="5"/>
        <v>1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Wright State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0.8</v>
      </c>
      <c r="M34" s="83" t="e" vm="124">
        <f>_xlfn.XLOOKUP(I34,Teams!$C:$C,Teams!$E:$E,,0,1)</f>
        <v>#VALUE!</v>
      </c>
      <c r="N34" s="83">
        <v>0.2</v>
      </c>
      <c r="O34" s="192" t="str">
        <f t="shared" si="3"/>
        <v>Virginia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Santa Clara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0.55000000000000004</v>
      </c>
      <c r="M35" s="83" t="e" vm="126">
        <f>_xlfn.XLOOKUP(I35,Teams!$C:$C,Teams!$E:$E,,0,1)</f>
        <v>#VALUE!</v>
      </c>
      <c r="N35" s="83">
        <v>0.45</v>
      </c>
      <c r="O35" s="192" t="str">
        <f t="shared" si="3"/>
        <v>Kentucky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TCU</v>
      </c>
      <c r="C38" s="91" t="str">
        <f t="shared" ref="C38:C53" si="7">IF(O38="","",IF(A38=O38,B38,A38))</f>
        <v>TCU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946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0.84</v>
      </c>
      <c r="M38" s="84" t="e" vm="68">
        <f>_xlfn.XLOOKUP(I38,Teams!$C:$C,Teams!$E:$E,,0,1)</f>
        <v>#VALUE!</v>
      </c>
      <c r="N38" s="84">
        <v>0.16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Kansas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0.59</v>
      </c>
      <c r="M39" s="82" t="e" vm="71">
        <f>_xlfn.XLOOKUP(I39,Teams!$C:$C,Teams!$E:$E,,0,1)</f>
        <v>#VALUE!</v>
      </c>
      <c r="N39" s="82">
        <v>0.41</v>
      </c>
      <c r="O39" s="189" t="str">
        <f t="shared" si="9"/>
        <v>St. John's (NY)</v>
      </c>
      <c r="P39" s="204" t="e" vm="69">
        <f>_xlfn.XLOOKUP(O39,Teams!$C:$C,Teams!$E:$E,,0,1)</f>
        <v>#VALUE!</v>
      </c>
      <c r="Q39" s="223" t="s">
        <v>1164</v>
      </c>
      <c r="R39" s="6" t="b">
        <f t="shared" si="5"/>
        <v>1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Michigan State</v>
      </c>
      <c r="C40" s="91" t="str">
        <f t="shared" si="7"/>
        <v>South Florida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117</v>
      </c>
      <c r="J40" s="103" cm="1">
        <f t="array" ref="J40">_xlfn.XLOOKUP(I40,Teams[[#All],[Team]],Teams[[#All],[Seed]],0,0,1)</f>
        <v>3</v>
      </c>
      <c r="K40" s="82" t="e" vm="74">
        <f>_xlfn.XLOOKUP(G40,Teams!$C:$C,Teams!$E:$E,,0,1)</f>
        <v>#VALUE!</v>
      </c>
      <c r="L40" s="82">
        <v>0.43</v>
      </c>
      <c r="M40" s="82" t="e" vm="75">
        <f>_xlfn.XLOOKUP(I40,Teams!$C:$C,Teams!$E:$E,,0,1)</f>
        <v>#VALUE!</v>
      </c>
      <c r="N40" s="82">
        <v>0.56999999999999995</v>
      </c>
      <c r="O40" s="189" t="str">
        <f t="shared" si="9"/>
        <v>Michigan State</v>
      </c>
      <c r="P40" s="204" t="e" vm="75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UCF</v>
      </c>
      <c r="B41" s="91" t="str">
        <f t="shared" si="11"/>
        <v>Connecticut</v>
      </c>
      <c r="C41" s="91" t="str">
        <f t="shared" si="7"/>
        <v>UCF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1015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0.39</v>
      </c>
      <c r="M41" s="139" t="e" vm="79">
        <f>_xlfn.XLOOKUP(I41,Teams!$C:$C,Teams!$E:$E,,0,1)</f>
        <v>#VALUE!</v>
      </c>
      <c r="N41" s="139">
        <v>0.61</v>
      </c>
      <c r="O41" s="195" t="str">
        <f t="shared" si="9"/>
        <v>Connecticut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Iowa</v>
      </c>
      <c r="C42" s="91" t="str">
        <f t="shared" si="7"/>
        <v>Iowa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450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0.92</v>
      </c>
      <c r="M42" s="145" t="e" vm="84">
        <f>_xlfn.XLOOKUP(I42,Teams!$C:$C,Teams!$E:$E,,0,1)</f>
        <v>#VALUE!</v>
      </c>
      <c r="N42" s="145">
        <v>0.08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Vanderbilt</v>
      </c>
      <c r="B43" s="91" t="str">
        <f t="shared" si="11"/>
        <v>Nebraska</v>
      </c>
      <c r="C43" s="91" t="str">
        <f t="shared" si="7"/>
        <v>Vanderbilt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99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0.39</v>
      </c>
      <c r="M43" s="83" t="e" vm="87">
        <f>_xlfn.XLOOKUP(I43,Teams!$C:$C,Teams!$E:$E,,0,1)</f>
        <v>#VALUE!</v>
      </c>
      <c r="N43" s="83">
        <v>0.61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North Carolina</v>
      </c>
      <c r="B44" s="91" t="str">
        <f t="shared" si="11"/>
        <v>Illinois</v>
      </c>
      <c r="C44" s="91" t="str">
        <f t="shared" si="7"/>
        <v>North Carolina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125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0.44</v>
      </c>
      <c r="M44" s="83" t="e" vm="91">
        <f>_xlfn.XLOOKUP(I44,Teams!$C:$C,Teams!$E:$E,,0,1)</f>
        <v>#VALUE!</v>
      </c>
      <c r="N44" s="83">
        <v>0.56000000000000005</v>
      </c>
      <c r="O44" s="192" t="str">
        <f t="shared" si="9"/>
        <v>Illinois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Houston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0.6</v>
      </c>
      <c r="M45" s="151" t="e" vm="95">
        <f>_xlfn.XLOOKUP(I45,Teams!$C:$C,Teams!$E:$E,,0,1)</f>
        <v>#VALUE!</v>
      </c>
      <c r="N45" s="151">
        <v>0.4</v>
      </c>
      <c r="O45" s="197" t="str">
        <f t="shared" si="9"/>
        <v>Saint Mary's (CA)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Villanova</v>
      </c>
      <c r="C46" s="152" t="str">
        <f t="shared" si="7"/>
        <v>Villanova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1056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0.8</v>
      </c>
      <c r="M46" s="84" t="e" vm="99">
        <f>_xlfn.XLOOKUP(I46,Teams!$C:$C,Teams!$E:$E,,0,1)</f>
        <v>#VALUE!</v>
      </c>
      <c r="N46" s="84">
        <v>0.2</v>
      </c>
      <c r="O46" s="194" t="str">
        <f t="shared" si="9"/>
        <v>Arizona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Wisconsin</v>
      </c>
      <c r="B47" s="152" t="str">
        <f t="shared" si="11"/>
        <v>Arkansas</v>
      </c>
      <c r="C47" s="152" t="str">
        <f t="shared" si="7"/>
        <v>Arkansas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96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0.63</v>
      </c>
      <c r="M47" s="82" t="e" vm="103">
        <f>_xlfn.XLOOKUP(I47,Teams!$C:$C,Teams!$E:$E,,0,1)</f>
        <v>#VALUE!</v>
      </c>
      <c r="N47" s="82">
        <v>0.37</v>
      </c>
      <c r="O47" s="189" t="str">
        <f t="shared" si="9"/>
        <v>Wisconsin</v>
      </c>
      <c r="P47" s="204" t="e" vm="101">
        <f>_xlfn.XLOOKUP(O47,Teams!$C:$C,Teams!$E:$E,,0,1)</f>
        <v>#VALUE!</v>
      </c>
      <c r="Q47" s="223" t="s">
        <v>1172</v>
      </c>
      <c r="R47" s="6" t="b">
        <f t="shared" si="5"/>
        <v>1</v>
      </c>
      <c r="S47" s="98"/>
    </row>
    <row r="48" spans="1:19" ht="24" customHeight="1" x14ac:dyDescent="0.25">
      <c r="A48" s="152" t="str">
        <f t="shared" si="10"/>
        <v>Brigham Young</v>
      </c>
      <c r="B48" s="152" t="str">
        <f t="shared" si="11"/>
        <v>Gonzaga</v>
      </c>
      <c r="C48" s="152" t="str">
        <f t="shared" si="7"/>
        <v>Brigham Young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58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0.38</v>
      </c>
      <c r="M48" s="82" t="e" vm="107">
        <f>_xlfn.XLOOKUP(I48,Teams!$C:$C,Teams!$E:$E,,0,1)</f>
        <v>#VALUE!</v>
      </c>
      <c r="N48" s="82">
        <v>0.62</v>
      </c>
      <c r="O48" s="189" t="str">
        <f t="shared" si="9"/>
        <v>Gonzaga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Miami (FL)</v>
      </c>
      <c r="B49" s="152" t="str">
        <f t="shared" si="11"/>
        <v>Purdue</v>
      </c>
      <c r="C49" s="152" t="str">
        <f t="shared" si="7"/>
        <v>Miami (FL)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585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0.47</v>
      </c>
      <c r="M49" s="139" t="e" vm="111">
        <f>_xlfn.XLOOKUP(I49,Teams!$C:$C,Teams!$E:$E,,0,1)</f>
        <v>#VALUE!</v>
      </c>
      <c r="N49" s="139">
        <v>0.53</v>
      </c>
      <c r="O49" s="195" t="str">
        <f t="shared" si="9"/>
        <v>Purdue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Saint Louis</v>
      </c>
      <c r="C50" s="91" t="str">
        <f t="shared" si="7"/>
        <v>Michigan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829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0.24</v>
      </c>
      <c r="M50" s="145" t="e" vm="116">
        <f>_xlfn.XLOOKUP(I50,Teams!$C:$C,Teams!$E:$E,,0,1)</f>
        <v>#VALUE!</v>
      </c>
      <c r="N50" s="145">
        <v>0.76</v>
      </c>
      <c r="O50" s="196" t="str">
        <f t="shared" si="9"/>
        <v>Saint Louis</v>
      </c>
      <c r="P50" s="211" t="e" vm="116">
        <f>_xlfn.XLOOKUP(O50,Teams!$C:$C,Teams!$E:$E,,0,1)</f>
        <v>#VALUE!</v>
      </c>
      <c r="Q50" s="225" t="s">
        <v>1175</v>
      </c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Alabama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0.69</v>
      </c>
      <c r="M51" s="83" t="e" vm="119">
        <f>_xlfn.XLOOKUP(I51,Teams!$C:$C,Teams!$E:$E,,0,1)</f>
        <v>#VALUE!</v>
      </c>
      <c r="N51" s="83">
        <v>0.31</v>
      </c>
      <c r="O51" s="192" t="str">
        <f t="shared" si="9"/>
        <v>Texas Tech</v>
      </c>
      <c r="P51" s="207" t="e" vm="117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Miami (OH)</v>
      </c>
      <c r="B52" s="91" t="str">
        <f t="shared" si="11"/>
        <v>Virginia</v>
      </c>
      <c r="C52" s="91" t="str">
        <f t="shared" si="7"/>
        <v>Miami (OH)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11</v>
      </c>
      <c r="G52" s="118" t="s">
        <v>588</v>
      </c>
      <c r="H52" s="178" t="s">
        <v>9</v>
      </c>
      <c r="I52" s="119" t="s">
        <v>1059</v>
      </c>
      <c r="J52" s="120" cm="1">
        <f t="array" ref="J52">_xlfn.XLOOKUP(I52,Teams[[#All],[Team]],Teams[[#All],[Seed]],0,0,1)</f>
        <v>3</v>
      </c>
      <c r="K52" s="83" t="e" vm="122">
        <f>_xlfn.XLOOKUP(G52,Teams!$C:$C,Teams!$E:$E,,0,1)</f>
        <v>#VALUE!</v>
      </c>
      <c r="L52" s="83">
        <v>0.35</v>
      </c>
      <c r="M52" s="83" t="e" vm="123">
        <f>_xlfn.XLOOKUP(I52,Teams!$C:$C,Teams!$E:$E,,0,1)</f>
        <v>#VALUE!</v>
      </c>
      <c r="N52" s="83">
        <v>0.65</v>
      </c>
      <c r="O52" s="192" t="str">
        <f t="shared" si="9"/>
        <v>Virginia</v>
      </c>
      <c r="P52" s="207" t="e" vm="123">
        <f>_xlfn.XLOOKUP(O52,Teams!$C:$C,Teams!$E:$E,,0,1)</f>
        <v>#VALUE!</v>
      </c>
      <c r="Q52" s="226" t="s">
        <v>1177</v>
      </c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Kentucky</v>
      </c>
      <c r="B53" s="91" t="str">
        <f t="shared" si="11"/>
        <v>Iowa State</v>
      </c>
      <c r="C53" s="91" t="str">
        <f t="shared" si="7"/>
        <v>Kentucky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131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0.25</v>
      </c>
      <c r="M53" s="151" t="e" vm="127">
        <f>_xlfn.XLOOKUP(I53,Teams!$C:$C,Teams!$E:$E,,0,1)</f>
        <v>#VALUE!</v>
      </c>
      <c r="N53" s="151">
        <v>0.75</v>
      </c>
      <c r="O53" s="197" t="str">
        <f t="shared" si="9"/>
        <v>Iowa State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St. John's (NY)</v>
      </c>
      <c r="C55" s="91" t="str">
        <f t="shared" ref="C55:C62" si="12">IF(O55="","",IF(A55=O55,B55,A55))</f>
        <v>St. John's (NY)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919</v>
      </c>
      <c r="J55" s="96" cm="1">
        <f t="array" ref="J55">_xlfn.XLOOKUP(I55,Teams[[#All],[Team]],Teams[[#All],[Seed]],0,0,1)</f>
        <v>5</v>
      </c>
      <c r="K55" s="97" t="e" vm="65">
        <f>_xlfn.XLOOKUP(G55,Teams!$C:$C,Teams!$E:$E,,0,1)</f>
        <v>#VALUE!</v>
      </c>
      <c r="L55" s="97">
        <v>0.63</v>
      </c>
      <c r="M55" s="97" t="e" vm="69">
        <f>_xlfn.XLOOKUP(I55,Teams!$C:$C,Teams!$E:$E,,0,1)</f>
        <v>#VALUE!</v>
      </c>
      <c r="N55" s="97">
        <v>0.37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Michigan State</v>
      </c>
      <c r="B56" s="91" t="str">
        <f t="shared" ref="B56:B62" si="16">I56</f>
        <v>Connecticut</v>
      </c>
      <c r="C56" s="91" t="str">
        <f t="shared" si="12"/>
        <v>Michigan State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3</v>
      </c>
      <c r="G56" s="136" t="s">
        <v>117</v>
      </c>
      <c r="H56" s="182" t="s">
        <v>9</v>
      </c>
      <c r="I56" s="137" t="s">
        <v>88</v>
      </c>
      <c r="J56" s="138" cm="1">
        <f t="array" ref="J56">_xlfn.XLOOKUP(I56,Teams[[#All],[Team]],Teams[[#All],[Seed]],0,0,1)</f>
        <v>2</v>
      </c>
      <c r="K56" s="139" t="e" vm="75">
        <f>_xlfn.XLOOKUP(G56,Teams!$C:$C,Teams!$E:$E,,0,1)</f>
        <v>#VALUE!</v>
      </c>
      <c r="L56" s="139">
        <v>0.43</v>
      </c>
      <c r="M56" s="139" t="e" vm="79">
        <f>_xlfn.XLOOKUP(I56,Teams!$C:$C,Teams!$E:$E,,0,1)</f>
        <v>#VALUE!</v>
      </c>
      <c r="N56" s="139">
        <v>0.56999999999999995</v>
      </c>
      <c r="O56" s="195" t="str">
        <f t="shared" si="14"/>
        <v>Connecticut</v>
      </c>
      <c r="P56" s="210" t="e" vm="79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Nebraska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0.79</v>
      </c>
      <c r="M57" s="145" t="e" vm="87">
        <f>_xlfn.XLOOKUP(I57,Teams!$C:$C,Teams!$E:$E,,0,1)</f>
        <v>#VALUE!</v>
      </c>
      <c r="N57" s="145">
        <v>0.21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Illinois</v>
      </c>
      <c r="B58" s="91" t="str">
        <f t="shared" si="16"/>
        <v>Saint Mary's (CA)</v>
      </c>
      <c r="C58" s="91" t="str">
        <f t="shared" si="12"/>
        <v>Illinois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133</v>
      </c>
      <c r="H58" s="184" t="s">
        <v>9</v>
      </c>
      <c r="I58" s="149" t="s">
        <v>832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0.48</v>
      </c>
      <c r="M58" s="151" t="e" vm="93">
        <f>_xlfn.XLOOKUP(I58,Teams!$C:$C,Teams!$E:$E,,0,1)</f>
        <v>#VALUE!</v>
      </c>
      <c r="N58" s="151">
        <v>0.52</v>
      </c>
      <c r="O58" s="197" t="str">
        <f t="shared" si="14"/>
        <v>Saint Mary's (CA)</v>
      </c>
      <c r="P58" s="212" t="e" vm="93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Arizona</v>
      </c>
      <c r="B59" s="152" t="str">
        <f t="shared" si="16"/>
        <v>Wisconsin</v>
      </c>
      <c r="C59" s="152" t="str">
        <f t="shared" si="12"/>
        <v>Wisconsin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39</v>
      </c>
      <c r="H59" s="181" t="s">
        <v>9</v>
      </c>
      <c r="I59" s="132" t="s">
        <v>96</v>
      </c>
      <c r="J59" s="133" cm="1">
        <f t="array" ref="J59">_xlfn.XLOOKUP(I59,Teams[[#All],[Team]],Teams[[#All],[Seed]],0,0,1)</f>
        <v>5</v>
      </c>
      <c r="K59" s="84" t="e" vm="97">
        <f>_xlfn.XLOOKUP(G59,Teams!$C:$C,Teams!$E:$E,,0,1)</f>
        <v>#VALUE!</v>
      </c>
      <c r="L59" s="84">
        <v>0.87</v>
      </c>
      <c r="M59" s="84" t="e" vm="101">
        <f>_xlfn.XLOOKUP(I59,Teams!$C:$C,Teams!$E:$E,,0,1)</f>
        <v>#VALUE!</v>
      </c>
      <c r="N59" s="84">
        <v>0.13</v>
      </c>
      <c r="O59" s="194" t="str">
        <f t="shared" si="14"/>
        <v>Arizona</v>
      </c>
      <c r="P59" s="209" t="e" vm="97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Gonzaga</v>
      </c>
      <c r="B60" s="152" t="str">
        <f t="shared" si="16"/>
        <v>Purdue</v>
      </c>
      <c r="C60" s="152" t="str">
        <f t="shared" si="12"/>
        <v>Purdue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135</v>
      </c>
      <c r="H60" s="182" t="s">
        <v>9</v>
      </c>
      <c r="I60" s="137" t="s">
        <v>132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0.54</v>
      </c>
      <c r="M60" s="139" t="e" vm="111">
        <f>_xlfn.XLOOKUP(I60,Teams!$C:$C,Teams!$E:$E,,0,1)</f>
        <v>#VALUE!</v>
      </c>
      <c r="N60" s="139">
        <v>0.46</v>
      </c>
      <c r="O60" s="195" t="str">
        <f t="shared" si="14"/>
        <v>Gonzaga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Saint Louis</v>
      </c>
      <c r="B61" s="91" t="str">
        <f t="shared" si="16"/>
        <v>Texas Tech</v>
      </c>
      <c r="C61" s="91" t="str">
        <f t="shared" si="12"/>
        <v>Saint Louis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9</v>
      </c>
      <c r="G61" s="142" t="s">
        <v>829</v>
      </c>
      <c r="H61" s="183" t="s">
        <v>9</v>
      </c>
      <c r="I61" s="143" t="s">
        <v>106</v>
      </c>
      <c r="J61" s="144" cm="1">
        <f t="array" ref="J61">_xlfn.XLOOKUP(I61,Teams[[#All],[Team]],Teams[[#All],[Seed]],0,0,1)</f>
        <v>5</v>
      </c>
      <c r="K61" s="145" t="e" vm="116">
        <f>_xlfn.XLOOKUP(G61,Teams!$C:$C,Teams!$E:$E,,0,1)</f>
        <v>#VALUE!</v>
      </c>
      <c r="L61" s="145">
        <v>0.13</v>
      </c>
      <c r="M61" s="145" t="e" vm="117">
        <f>_xlfn.XLOOKUP(I61,Teams!$C:$C,Teams!$E:$E,,0,1)</f>
        <v>#VALUE!</v>
      </c>
      <c r="N61" s="145">
        <v>0.87</v>
      </c>
      <c r="O61" s="196" t="str">
        <f t="shared" si="14"/>
        <v>Texas Tech</v>
      </c>
      <c r="P61" s="211" t="e" vm="117">
        <f>_xlfn.XLOOKUP(O61,Teams!$C:$C,Teams!$E:$E,,0,1)</f>
        <v>#VALUE!</v>
      </c>
      <c r="Q61" s="225" t="s">
        <v>1185</v>
      </c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Virginia</v>
      </c>
      <c r="B62" s="91" t="str">
        <f t="shared" si="16"/>
        <v>Iowa State</v>
      </c>
      <c r="C62" s="91" t="str">
        <f t="shared" si="12"/>
        <v>Virginia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3</v>
      </c>
      <c r="G62" s="148" t="s">
        <v>1059</v>
      </c>
      <c r="H62" s="184" t="s">
        <v>9</v>
      </c>
      <c r="I62" s="149" t="s">
        <v>118</v>
      </c>
      <c r="J62" s="150" cm="1">
        <f t="array" ref="J62">_xlfn.XLOOKUP(I62,Teams[[#All],[Team]],Teams[[#All],[Seed]],0,0,1)</f>
        <v>2</v>
      </c>
      <c r="K62" s="151" t="e" vm="123">
        <f>_xlfn.XLOOKUP(G62,Teams!$C:$C,Teams!$E:$E,,0,1)</f>
        <v>#VALUE!</v>
      </c>
      <c r="L62" s="151">
        <v>0.32</v>
      </c>
      <c r="M62" s="151" t="e" vm="127">
        <f>_xlfn.XLOOKUP(I62,Teams!$C:$C,Teams!$E:$E,,0,1)</f>
        <v>#VALUE!</v>
      </c>
      <c r="N62" s="151">
        <v>0.68</v>
      </c>
      <c r="O62" s="197" t="str">
        <f t="shared" si="14"/>
        <v>Iowa State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Connecticut</v>
      </c>
      <c r="C64" s="91" t="str">
        <f>IF(O64="","",IF(A64=O64,B64,A64))</f>
        <v>Connecticut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88</v>
      </c>
      <c r="J64" s="157" cm="1">
        <f t="array" ref="J64">_xlfn.XLOOKUP(I64,Teams[[#All],[Team]],Teams[[#All],[Seed]],0,0,1)</f>
        <v>2</v>
      </c>
      <c r="K64" s="158" t="e" vm="65">
        <f>_xlfn.XLOOKUP(G64,Teams!$C:$C,Teams!$E:$E,,0,1)</f>
        <v>#VALUE!</v>
      </c>
      <c r="L64" s="158">
        <v>0.76</v>
      </c>
      <c r="M64" s="158" t="e" vm="79">
        <f>_xlfn.XLOOKUP(I64,Teams!$C:$C,Teams!$E:$E,,0,1)</f>
        <v>#VALUE!</v>
      </c>
      <c r="N64" s="158">
        <v>0.24</v>
      </c>
      <c r="O64" s="198" t="str">
        <f>IF(L64&gt;N64,G64,I64)</f>
        <v>Duke</v>
      </c>
      <c r="P64" s="204" t="e" vm="65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Saint Mary's (CA)</v>
      </c>
      <c r="C65" s="91" t="str">
        <f>IF(O65="","",IF(A65=O65,B65,A65))</f>
        <v>Saint Mary's (CA)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832</v>
      </c>
      <c r="J65" s="163" cm="1">
        <f t="array" ref="J65">_xlfn.XLOOKUP(I65,Teams[[#All],[Team]],Teams[[#All],[Seed]],0,0,1)</f>
        <v>7</v>
      </c>
      <c r="K65" s="164" t="e" vm="81">
        <f>_xlfn.XLOOKUP(G65,Teams!$C:$C,Teams!$E:$E,,0,1)</f>
        <v>#VALUE!</v>
      </c>
      <c r="L65" s="164">
        <v>0.69</v>
      </c>
      <c r="M65" s="164" t="e" vm="93">
        <f>_xlfn.XLOOKUP(I65,Teams!$C:$C,Teams!$E:$E,,0,1)</f>
        <v>#VALUE!</v>
      </c>
      <c r="N65" s="164">
        <v>0.31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Arizona</v>
      </c>
      <c r="B66" s="91" t="str">
        <f>I66</f>
        <v>Gonzaga</v>
      </c>
      <c r="C66" s="91" t="str">
        <f>IF(O66="","",IF(A66=O66,B66,A66))</f>
        <v>Gonzaga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39</v>
      </c>
      <c r="H66" s="185" t="s">
        <v>9</v>
      </c>
      <c r="I66" s="156" t="s">
        <v>135</v>
      </c>
      <c r="J66" s="157" cm="1">
        <f t="array" ref="J66">_xlfn.XLOOKUP(I66,Teams[[#All],[Team]],Teams[[#All],[Seed]],0,0,1)</f>
        <v>3</v>
      </c>
      <c r="K66" s="158" t="e" vm="97">
        <f>_xlfn.XLOOKUP(G66,Teams!$C:$C,Teams!$E:$E,,0,1)</f>
        <v>#VALUE!</v>
      </c>
      <c r="L66" s="158">
        <v>0.75</v>
      </c>
      <c r="M66" s="158" t="e" vm="107">
        <f>_xlfn.XLOOKUP(I66,Teams!$C:$C,Teams!$E:$E,,0,1)</f>
        <v>#VALUE!</v>
      </c>
      <c r="N66" s="158">
        <v>0.25</v>
      </c>
      <c r="O66" s="198" t="str">
        <f>IF(L66&gt;N66,G66,I66)</f>
        <v>Arizona</v>
      </c>
      <c r="P66" s="204" t="e" vm="9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Texas Tech</v>
      </c>
      <c r="B67" s="91" t="str">
        <f>I67</f>
        <v>Iowa State</v>
      </c>
      <c r="C67" s="91" t="str">
        <f>IF(O67="","",IF(A67=O67,B67,A67))</f>
        <v>Texas Tech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5</v>
      </c>
      <c r="G67" s="161" t="s">
        <v>106</v>
      </c>
      <c r="H67" s="186" t="s">
        <v>9</v>
      </c>
      <c r="I67" s="162" t="s">
        <v>118</v>
      </c>
      <c r="J67" s="163" cm="1">
        <f t="array" ref="J67">_xlfn.XLOOKUP(I67,Teams[[#All],[Team]],Teams[[#All],[Seed]],0,0,1)</f>
        <v>2</v>
      </c>
      <c r="K67" s="164" t="e" vm="117">
        <f>_xlfn.XLOOKUP(G67,Teams!$C:$C,Teams!$E:$E,,0,1)</f>
        <v>#VALUE!</v>
      </c>
      <c r="L67" s="164">
        <v>0.27</v>
      </c>
      <c r="M67" s="164" t="e" vm="127">
        <f>_xlfn.XLOOKUP(I67,Teams!$C:$C,Teams!$E:$E,,0,1)</f>
        <v>#VALUE!</v>
      </c>
      <c r="N67" s="164">
        <v>0.73</v>
      </c>
      <c r="O67" s="199" t="str">
        <f>IF(L67&gt;N67,G67,I67)</f>
        <v>Iowa State</v>
      </c>
      <c r="P67" s="207" t="e" vm="127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Duke</v>
      </c>
      <c r="B69" s="91" t="str">
        <f>I69</f>
        <v>Florida</v>
      </c>
      <c r="C69" s="91" t="str">
        <f>IF(O69="","",IF(A69=O69,B69,A69))</f>
        <v>Duke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95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65">
        <f>_xlfn.XLOOKUP(G69,Teams!$C:$C,Teams!$E:$E,,0,1)</f>
        <v>#VALUE!</v>
      </c>
      <c r="L69" s="170">
        <v>0.43</v>
      </c>
      <c r="M69" s="170" t="e" vm="81">
        <f>_xlfn.XLOOKUP(I69,Teams!$C:$C,Teams!$E:$E,,0,1)</f>
        <v>#VALUE!</v>
      </c>
      <c r="N69" s="170">
        <v>0.56999999999999995</v>
      </c>
      <c r="O69" s="200" t="str">
        <f>IF(L69&gt;N69,G69,I69)</f>
        <v>Florida</v>
      </c>
      <c r="P69" s="210" t="e" vm="8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Iowa State</v>
      </c>
      <c r="C70" s="91" t="str">
        <f>IF(O70="","",IF(A70=O70,B70,A70))</f>
        <v>Iowa State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1</v>
      </c>
      <c r="G70" s="161" t="s">
        <v>39</v>
      </c>
      <c r="H70" s="186" t="s">
        <v>9</v>
      </c>
      <c r="I70" s="162" t="s">
        <v>118</v>
      </c>
      <c r="J70" s="163" cm="1">
        <f t="array" ref="J70">_xlfn.XLOOKUP(I70,Teams[[#All],[Team]],Teams[[#All],[Seed]],0,0,1)</f>
        <v>2</v>
      </c>
      <c r="K70" s="164" t="e" vm="97">
        <f>_xlfn.XLOOKUP(G70,Teams!$C:$C,Teams!$E:$E,,0,1)</f>
        <v>#VALUE!</v>
      </c>
      <c r="L70" s="164">
        <v>0.78</v>
      </c>
      <c r="M70" s="164" t="e" vm="127">
        <f>_xlfn.XLOOKUP(I70,Teams!$C:$C,Teams!$E:$E,,0,1)</f>
        <v>#VALUE!</v>
      </c>
      <c r="N70" s="164">
        <v>0.22</v>
      </c>
      <c r="O70" s="199" t="str">
        <f>IF(L70&gt;N70,G70,I70)</f>
        <v>Arizona</v>
      </c>
      <c r="P70" s="213" t="e" vm="9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Florida</v>
      </c>
      <c r="B72" s="91" t="str">
        <f>I72</f>
        <v>Arizona</v>
      </c>
      <c r="C72" s="91" t="str">
        <f>IF(O72="","",IF(A72=O72,B72,A72))</f>
        <v>Florida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105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1</v>
      </c>
      <c r="K72" s="158" t="e" vm="81">
        <f>_xlfn.XLOOKUP(G72,Teams!$C:$C,Teams!$E:$E,,0,1)</f>
        <v>#VALUE!</v>
      </c>
      <c r="L72" s="158">
        <v>0.43</v>
      </c>
      <c r="M72" s="158" t="e" vm="97">
        <f>_xlfn.XLOOKUP(I72,Teams!$C:$C,Teams!$E:$E,,0,1)</f>
        <v>#VALUE!</v>
      </c>
      <c r="N72" s="158">
        <v>0.56999999999999995</v>
      </c>
      <c r="O72" s="198" t="str">
        <f>IF(L72&gt;N72,G72,I72)</f>
        <v>Arizona</v>
      </c>
      <c r="P72" s="205" t="e" vm="97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62" t="str">
        <f>Games!O5</f>
        <v>Duke</v>
      </c>
      <c r="G5" s="247" t="e" vm="65">
        <f>_xlfn.XLOOKUP(F5,Teams!$C:$C,Teams!$E:$E,,0,1)</f>
        <v>#VALUE!</v>
      </c>
      <c r="H5" s="284">
        <f>Games!L38</f>
        <v>0.84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0.8</v>
      </c>
      <c r="AI5" s="297" t="e" vm="97">
        <f>_xlfn.XLOOKUP(AJ5,Teams!$C:$C,Teams!$E:$E,,0,1)</f>
        <v>#VALUE!</v>
      </c>
      <c r="AJ5" s="262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82">
        <f>IF($AU$5=TRUE,AO66+1,"")</f>
        <v>33</v>
      </c>
      <c r="G7" s="14"/>
      <c r="H7" s="49"/>
      <c r="I7" s="279" t="str">
        <f>Games!O38</f>
        <v>Duke</v>
      </c>
      <c r="J7" s="247" t="e" vm="65">
        <f>_xlfn.XLOOKUP(I7,Teams!$C:$C,Teams!$E:$E,,0,1)</f>
        <v>#VALUE!</v>
      </c>
      <c r="K7" s="264">
        <f>Games!L55</f>
        <v>0.63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0.87</v>
      </c>
      <c r="AF7" s="297" t="e" vm="97">
        <f>_xlfn.XLOOKUP(AG7,Teams!$C:$C,Teams!$E:$E,,0,1)</f>
        <v>#VALUE!</v>
      </c>
      <c r="AG7" s="262" t="str">
        <f>Games!O46</f>
        <v>Arizona</v>
      </c>
      <c r="AH7" s="55"/>
      <c r="AI7" s="51"/>
      <c r="AJ7" s="282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0.4</v>
      </c>
      <c r="F9" s="262" t="str">
        <f>Games!O6</f>
        <v>TCU</v>
      </c>
      <c r="G9" s="247" t="e" vm="68">
        <f>_xlfn.XLOOKUP(F9,Teams!$C:$C,Teams!$E:$E,,0,1)</f>
        <v>#VALUE!</v>
      </c>
      <c r="H9" s="277">
        <f>Games!N38</f>
        <v>0.16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0.2</v>
      </c>
      <c r="AI9" s="297" t="e" vm="99">
        <f>_xlfn.XLOOKUP(AJ9,Teams!$C:$C,Teams!$E:$E,,0,1)</f>
        <v>#VALUE!</v>
      </c>
      <c r="AJ9" s="262" t="str">
        <f>Games!O22</f>
        <v>Villanova</v>
      </c>
      <c r="AK9" s="58">
        <f>Games!L22</f>
        <v>0.73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0.6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Duke</v>
      </c>
      <c r="M11" s="247" t="e" vm="65">
        <f>_xlfn.XLOOKUP(L11,Teams!$C:$C,Teams!$E:$E,,0,1)</f>
        <v>#VALUE!</v>
      </c>
      <c r="N11" s="264">
        <f>Games!L64</f>
        <v>0.76</v>
      </c>
      <c r="O11" s="25"/>
      <c r="P11" s="25"/>
      <c r="R11" s="25"/>
      <c r="S11" s="25"/>
      <c r="T11" s="251" t="e" vm="97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0.75</v>
      </c>
      <c r="AC11" s="249" t="e" vm="97">
        <f>_xlfn.XLOOKUP(AD11,Teams!$C:$C,Teams!$E:$E,,0,1)</f>
        <v>#VALUE!</v>
      </c>
      <c r="AD11" s="262" t="str">
        <f>Games!O59</f>
        <v>Arizona</v>
      </c>
      <c r="AE11" s="56"/>
      <c r="AG11" s="283">
        <f>IF($AU$5=TRUE,I59+1,"")</f>
        <v>53</v>
      </c>
      <c r="AJ11" s="24"/>
      <c r="AK11" s="59">
        <f>Games!N22</f>
        <v>0.27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62" t="str">
        <f>Games!O7</f>
        <v>St. John's (NY)</v>
      </c>
      <c r="G13" s="247" t="e" vm="69">
        <f>_xlfn.XLOOKUP(F13,Teams!$C:$C,Teams!$E:$E,,0,1)</f>
        <v>#VALUE!</v>
      </c>
      <c r="H13" s="264">
        <f>Games!L39</f>
        <v>0.59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0.63</v>
      </c>
      <c r="AI13" s="249" t="e" vm="101">
        <f>_xlfn.XLOOKUP(AJ13,Teams!$C:$C,Teams!$E:$E,,0,1)</f>
        <v>#VALUE!</v>
      </c>
      <c r="AJ13" s="262" t="str">
        <f>Games!O23</f>
        <v>Wisconsin</v>
      </c>
      <c r="AK13" s="58">
        <f>Games!L23</f>
        <v>0.51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82">
        <f>IF($AU$5=TRUE,F7+1,"")</f>
        <v>34</v>
      </c>
      <c r="G15" s="14"/>
      <c r="H15" s="49"/>
      <c r="I15" s="279" t="str">
        <f>Games!O39</f>
        <v>St. John's (NY)</v>
      </c>
      <c r="J15" s="247" t="e" vm="69">
        <f>_xlfn.XLOOKUP(I15,Teams!$C:$C,Teams!$E:$E,,0,1)</f>
        <v>#VALUE!</v>
      </c>
      <c r="K15" s="277">
        <f>Games!N55</f>
        <v>0.37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0.13</v>
      </c>
      <c r="AF15" s="249" t="e" vm="101">
        <f>_xlfn.XLOOKUP(AG15,Teams!$C:$C,Teams!$E:$E,,0,1)</f>
        <v>#VALUE!</v>
      </c>
      <c r="AG15" s="262" t="str">
        <f>Games!O47</f>
        <v>Wisconsin</v>
      </c>
      <c r="AH15" s="55"/>
      <c r="AI15" s="51"/>
      <c r="AJ15" s="282">
        <f>IF($AU$5=TRUE,AJ7+1,"")</f>
        <v>42</v>
      </c>
      <c r="AK15" s="59">
        <f>Games!N23</f>
        <v>0.49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62" t="str">
        <f>Games!O8</f>
        <v>Kansas</v>
      </c>
      <c r="G17" s="247" t="e" vm="71">
        <f>_xlfn.XLOOKUP(F17,Teams!$C:$C,Teams!$E:$E,,0,1)</f>
        <v>#VALUE!</v>
      </c>
      <c r="H17" s="277">
        <f>Games!N39</f>
        <v>0.41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0.37</v>
      </c>
      <c r="AI17" s="249" t="e" vm="103">
        <f>_xlfn.XLOOKUP(AJ17,Teams!$C:$C,Teams!$E:$E,,0,1)</f>
        <v>#VALUE!</v>
      </c>
      <c r="AJ17" s="262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66" t="s">
        <v>3</v>
      </c>
      <c r="L19" s="266"/>
      <c r="M19" s="20"/>
      <c r="N19" s="50"/>
      <c r="O19" s="279" t="str">
        <f>Games!O64</f>
        <v>Duke</v>
      </c>
      <c r="P19" s="247" t="e" vm="65">
        <f>_xlfn.XLOOKUP(O19,Teams!$C:$C,Teams!$E:$E,,0,1)</f>
        <v>#VALUE!</v>
      </c>
      <c r="Q19" s="264">
        <f>Games!L69</f>
        <v>0.43</v>
      </c>
      <c r="R19" s="25"/>
      <c r="S19" s="25"/>
      <c r="T19" s="257"/>
      <c r="U19" s="258"/>
      <c r="V19" s="259"/>
      <c r="W19" s="25"/>
      <c r="X19" s="25"/>
      <c r="Y19" s="264">
        <f>Games!L70</f>
        <v>0.78</v>
      </c>
      <c r="Z19" s="249" t="e" vm="97">
        <f>_xlfn.XLOOKUP(AA19,Teams!$C:$C,Teams!$E:$E,,0,1)</f>
        <v>#VALUE!</v>
      </c>
      <c r="AA19" s="262" t="str">
        <f>Games!O66</f>
        <v>Arizona</v>
      </c>
      <c r="AB19" s="56"/>
      <c r="AD19" s="266" t="s">
        <v>4</v>
      </c>
      <c r="AE19" s="266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62" t="str">
        <f>Games!O9</f>
        <v>South Florida</v>
      </c>
      <c r="G21" s="247" t="e" vm="74">
        <f>_xlfn.XLOOKUP(F21,Teams!$C:$C,Teams!$E:$E,,0,1)</f>
        <v>#VALUE!</v>
      </c>
      <c r="H21" s="264">
        <f>Games!L40</f>
        <v>0.43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0.38</v>
      </c>
      <c r="AI21" s="249" t="e" vm="105">
        <f>_xlfn.XLOOKUP(AJ21,Teams!$C:$C,Teams!$E:$E,,0,1)</f>
        <v>#VALUE!</v>
      </c>
      <c r="AJ21" s="262" t="str">
        <f>Games!O25</f>
        <v>Brigham Young</v>
      </c>
      <c r="AK21" s="58">
        <f>Games!L25</f>
        <v>0.54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82">
        <f>IF($AU$5=TRUE,F15+1,"")</f>
        <v>35</v>
      </c>
      <c r="G23" s="14"/>
      <c r="H23" s="49"/>
      <c r="I23" s="279" t="str">
        <f>Games!O40</f>
        <v>Michigan State</v>
      </c>
      <c r="J23" s="247" t="e" vm="75">
        <f>_xlfn.XLOOKUP(I23,Teams!$C:$C,Teams!$E:$E,,0,1)</f>
        <v>#VALUE!</v>
      </c>
      <c r="K23" s="264">
        <f>Games!L56</f>
        <v>0.43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0.54</v>
      </c>
      <c r="AF23" s="249" t="e" vm="107">
        <f>_xlfn.XLOOKUP(AG23,Teams!$C:$C,Teams!$E:$E,,0,1)</f>
        <v>#VALUE!</v>
      </c>
      <c r="AG23" s="262" t="str">
        <f>Games!O48</f>
        <v>Gonzaga</v>
      </c>
      <c r="AH23" s="55"/>
      <c r="AI23" s="51"/>
      <c r="AJ23" s="282">
        <f>IF($AU$5=TRUE,AJ15+1,"")</f>
        <v>43</v>
      </c>
      <c r="AK23" s="59">
        <f>Games!N25</f>
        <v>0.46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0.7</v>
      </c>
      <c r="F25" s="262" t="str">
        <f>Games!O10</f>
        <v>Michigan State</v>
      </c>
      <c r="G25" s="247" t="e" vm="75">
        <f>_xlfn.XLOOKUP(F25,Teams!$C:$C,Teams!$E:$E,,0,1)</f>
        <v>#VALUE!</v>
      </c>
      <c r="H25" s="277">
        <f>Games!N40</f>
        <v>0.56999999999999995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0.62</v>
      </c>
      <c r="AI25" s="249" t="e" vm="107">
        <f>_xlfn.XLOOKUP(AJ25,Teams!$C:$C,Teams!$E:$E,,0,1)</f>
        <v>#VALUE!</v>
      </c>
      <c r="AJ25" s="262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0.3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Connecticut</v>
      </c>
      <c r="M27" s="247" t="e" vm="79">
        <f>_xlfn.XLOOKUP(L27,Teams!$C:$C,Teams!$E:$E,,0,1)</f>
        <v>#VALUE!</v>
      </c>
      <c r="N27" s="277">
        <f>Games!N64</f>
        <v>0.24</v>
      </c>
      <c r="O27" s="25"/>
      <c r="P27" s="25"/>
      <c r="Q27" s="50"/>
      <c r="R27" s="279" t="str">
        <f>Games!O69</f>
        <v>Florida</v>
      </c>
      <c r="S27" s="262"/>
      <c r="T27" s="262"/>
      <c r="U27" s="289" t="e" vm="81">
        <f>_xlfn.XLOOKUP(R27,Teams!$C:$C,Teams!$E:$E,,0,1)</f>
        <v>#VALUE!</v>
      </c>
      <c r="V27" s="267">
        <f>Games!L72</f>
        <v>0.43</v>
      </c>
      <c r="W27" s="24"/>
      <c r="X27" s="25"/>
      <c r="Y27" s="56"/>
      <c r="AA27" s="25"/>
      <c r="AB27" s="269">
        <f>Games!N66</f>
        <v>0.25</v>
      </c>
      <c r="AC27" s="249" t="e" vm="107">
        <f>_xlfn.XLOOKUP(AD27,Teams!$C:$C,Teams!$E:$E,,0,1)</f>
        <v>#VALUE!</v>
      </c>
      <c r="AD27" s="262" t="str">
        <f>Games!O60</f>
        <v>Gonzaga</v>
      </c>
      <c r="AE27" s="56"/>
      <c r="AG27" s="283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62" t="str">
        <f>Games!O11</f>
        <v>UCF</v>
      </c>
      <c r="G29" s="247" t="e" vm="78">
        <f>_xlfn.XLOOKUP(F29,Teams!$C:$C,Teams!$E:$E,,0,1)</f>
        <v>#VALUE!</v>
      </c>
      <c r="H29" s="264">
        <f>Games!L41</f>
        <v>0.39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0.47</v>
      </c>
      <c r="AI29" s="249" t="e" vm="109">
        <f>_xlfn.XLOOKUP(AJ29,Teams!$C:$C,Teams!$E:$E,,0,1)</f>
        <v>#VALUE!</v>
      </c>
      <c r="AJ29" s="262" t="str">
        <f>Games!O27</f>
        <v>Miami (FL)</v>
      </c>
      <c r="AK29" s="58">
        <f>Games!L27</f>
        <v>0.68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82">
        <f>IF($AU$5=TRUE,F23+1,"")</f>
        <v>36</v>
      </c>
      <c r="G31" s="14"/>
      <c r="H31" s="49"/>
      <c r="I31" s="279" t="str">
        <f>Games!O41</f>
        <v>Connecticut</v>
      </c>
      <c r="J31" s="247" t="e" vm="79">
        <f>_xlfn.XLOOKUP(I31,Teams!$C:$C,Teams!$E:$E,,0,1)</f>
        <v>#VALUE!</v>
      </c>
      <c r="K31" s="277">
        <f>Games!N56</f>
        <v>0.56999999999999995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0.46</v>
      </c>
      <c r="AF31" s="249" t="e" vm="111">
        <f>_xlfn.XLOOKUP(AG31,Teams!$C:$C,Teams!$E:$E,,0,1)</f>
        <v>#VALUE!</v>
      </c>
      <c r="AG31" s="262" t="str">
        <f>Games!O49</f>
        <v>Purdue</v>
      </c>
      <c r="AH31" s="55"/>
      <c r="AI31" s="51"/>
      <c r="AJ31" s="282">
        <f>IF($AU$5=TRUE,AJ23+1,"")</f>
        <v>44</v>
      </c>
      <c r="AK31" s="59">
        <f>Games!N27</f>
        <v>0.32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Arizona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62" t="str">
        <f>Games!O12</f>
        <v>Connecticut</v>
      </c>
      <c r="G33" s="247" t="e" vm="79">
        <f>_xlfn.XLOOKUP(F33,Teams!$C:$C,Teams!$E:$E,,0,1)</f>
        <v>#VALUE!</v>
      </c>
      <c r="H33" s="277">
        <f>Games!N41</f>
        <v>0.61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0.53</v>
      </c>
      <c r="AI33" s="249" t="e" vm="111">
        <f>_xlfn.XLOOKUP(AJ33,Teams!$C:$C,Teams!$E:$E,,0,1)</f>
        <v>#VALUE!</v>
      </c>
      <c r="AJ33" s="262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62" t="str">
        <f>Games!O13</f>
        <v>Florida</v>
      </c>
      <c r="G37" s="247" t="e" vm="81">
        <f>_xlfn.XLOOKUP(F37,Teams!$C:$C,Teams!$E:$E,,0,1)</f>
        <v>#VALUE!</v>
      </c>
      <c r="H37" s="264">
        <f>Games!L42</f>
        <v>0.92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0.24</v>
      </c>
      <c r="AI37" s="249" t="e" vm="113">
        <f>_xlfn.XLOOKUP(AJ37,Teams!$C:$C,Teams!$E:$E,,0,1)</f>
        <v>#VALUE!</v>
      </c>
      <c r="AJ37" s="262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82">
        <f>IF($AU$5=TRUE,F31+1,"")</f>
        <v>37</v>
      </c>
      <c r="G39" s="14"/>
      <c r="H39" s="49"/>
      <c r="I39" s="279" t="str">
        <f>Games!O42</f>
        <v>Florida</v>
      </c>
      <c r="J39" s="247" t="e" vm="81">
        <f>_xlfn.XLOOKUP(I39,Teams!$C:$C,Teams!$E:$E,,0,1)</f>
        <v>#VALUE!</v>
      </c>
      <c r="K39" s="264">
        <f>Games!L57</f>
        <v>0.79</v>
      </c>
      <c r="L39" s="25"/>
      <c r="M39" s="25"/>
      <c r="O39" s="25"/>
      <c r="P39" s="25"/>
      <c r="Q39" s="50"/>
      <c r="R39" s="25"/>
      <c r="S39" s="25"/>
      <c r="T39" s="267">
        <f>Games!N72</f>
        <v>0.56999999999999995</v>
      </c>
      <c r="U39" s="293" t="e" vm="97">
        <f>_xlfn.XLOOKUP(V39,Teams!$C:$C,Teams!$E:$E,,0,1)</f>
        <v>#VALUE!</v>
      </c>
      <c r="V39" s="262" t="str">
        <f>Games!O70</f>
        <v>Arizona</v>
      </c>
      <c r="W39" s="262"/>
      <c r="X39" s="295"/>
      <c r="Y39" s="56"/>
      <c r="AA39" s="25"/>
      <c r="AD39" s="25"/>
      <c r="AE39" s="269">
        <f>Games!L61</f>
        <v>0.13</v>
      </c>
      <c r="AF39" s="249" t="e" vm="116">
        <f>_xlfn.XLOOKUP(AG39,Teams!$C:$C,Teams!$E:$E,,0,1)</f>
        <v>#VALUE!</v>
      </c>
      <c r="AG39" s="262" t="str">
        <f>Games!O50</f>
        <v>Saint Louis</v>
      </c>
      <c r="AH39" s="55"/>
      <c r="AI39" s="51"/>
      <c r="AJ39" s="282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0.45</v>
      </c>
      <c r="F41" s="262" t="str">
        <f>Games!O14</f>
        <v>Iowa</v>
      </c>
      <c r="G41" s="247" t="e" vm="84">
        <f>_xlfn.XLOOKUP(F41,Teams!$C:$C,Teams!$E:$E,,0,1)</f>
        <v>#VALUE!</v>
      </c>
      <c r="H41" s="277">
        <f>Games!N42</f>
        <v>0.08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0.76</v>
      </c>
      <c r="AI41" s="249" t="e" vm="116">
        <f>_xlfn.XLOOKUP(AJ41,Teams!$C:$C,Teams!$E:$E,,0,1)</f>
        <v>#VALUE!</v>
      </c>
      <c r="AJ41" s="262" t="str">
        <f>Games!O30</f>
        <v>Saint Louis</v>
      </c>
      <c r="AK41" s="58">
        <f>Games!L30</f>
        <v>0.4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0.55000000000000004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Florida</v>
      </c>
      <c r="M43" s="247" t="e" vm="81">
        <f>_xlfn.XLOOKUP(L43,Teams!$C:$C,Teams!$E:$E,,0,1)</f>
        <v>#VALUE!</v>
      </c>
      <c r="N43" s="264">
        <f>Games!L65</f>
        <v>0.69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0.27</v>
      </c>
      <c r="AC43" s="249" t="e" vm="117">
        <f>_xlfn.XLOOKUP(AD43,Teams!$C:$C,Teams!$E:$E,,0,1)</f>
        <v>#VALUE!</v>
      </c>
      <c r="AD43" s="291" t="str">
        <f>Games!O61</f>
        <v>Texas Tech</v>
      </c>
      <c r="AE43" s="56"/>
      <c r="AG43" s="283">
        <f>IF($AU$5=TRUE,AG27+1,"")</f>
        <v>55</v>
      </c>
      <c r="AJ43" s="24"/>
      <c r="AK43" s="59">
        <f>Games!N30</f>
        <v>0.6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0.59</v>
      </c>
      <c r="F45" s="262" t="str">
        <f>Games!O15</f>
        <v>Vanderbilt</v>
      </c>
      <c r="G45" s="247" t="e" vm="85">
        <f>_xlfn.XLOOKUP(F45,Teams!$C:$C,Teams!$E:$E,,0,1)</f>
        <v>#VALUE!</v>
      </c>
      <c r="H45" s="264">
        <f>Games!L43</f>
        <v>0.39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0.69</v>
      </c>
      <c r="AI45" s="249" t="e" vm="117">
        <f>_xlfn.XLOOKUP(AJ45,Teams!$C:$C,Teams!$E:$E,,0,1)</f>
        <v>#VALUE!</v>
      </c>
      <c r="AJ45" s="262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0.41</v>
      </c>
      <c r="F47" s="282">
        <f>IF($AU$5=TRUE,F39+1,"")</f>
        <v>38</v>
      </c>
      <c r="G47" s="14"/>
      <c r="H47" s="49"/>
      <c r="I47" s="279" t="str">
        <f>Games!O43</f>
        <v>Nebraska</v>
      </c>
      <c r="J47" s="247" t="e" vm="87">
        <f>_xlfn.XLOOKUP(I47,Teams!$C:$C,Teams!$E:$E,,0,1)</f>
        <v>#VALUE!</v>
      </c>
      <c r="K47" s="277">
        <f>Games!N57</f>
        <v>0.21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0.87</v>
      </c>
      <c r="AF47" s="249" t="e" vm="117">
        <f>_xlfn.XLOOKUP(AG47,Teams!$C:$C,Teams!$E:$E,,0,1)</f>
        <v>#VALUE!</v>
      </c>
      <c r="AG47" s="262" t="str">
        <f>Games!O51</f>
        <v>Texas Tech</v>
      </c>
      <c r="AH47" s="55"/>
      <c r="AI47" s="51"/>
      <c r="AJ47" s="282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Nebraska</v>
      </c>
      <c r="G49" s="247" t="e" vm="87">
        <f>_xlfn.XLOOKUP(F49,Teams!$C:$C,Teams!$E:$E,,0,1)</f>
        <v>#VALUE!</v>
      </c>
      <c r="H49" s="277">
        <f>Games!N43</f>
        <v>0.61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0.31</v>
      </c>
      <c r="AI49" s="249" t="e" vm="119">
        <f>_xlfn.XLOOKUP(AJ49,Teams!$C:$C,Teams!$E:$E,,0,1)</f>
        <v>#VALUE!</v>
      </c>
      <c r="AJ49" s="262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15</v>
      </c>
      <c r="L51" s="266"/>
      <c r="M51" s="20"/>
      <c r="N51" s="50"/>
      <c r="O51" s="279" t="str">
        <f>Games!O65</f>
        <v>Florida</v>
      </c>
      <c r="P51" s="247" t="e" vm="81">
        <f>_xlfn.XLOOKUP(O51,Teams!$C:$C,Teams!$E:$E,,0,1)</f>
        <v>#VALUE!</v>
      </c>
      <c r="Q51" s="277">
        <f>Games!N69</f>
        <v>0.56999999999999995</v>
      </c>
      <c r="R51" s="25"/>
      <c r="S51" s="25"/>
      <c r="T51" s="25"/>
      <c r="U51" s="75"/>
      <c r="V51" s="25"/>
      <c r="W51" s="25"/>
      <c r="X51" s="25"/>
      <c r="Y51" s="269">
        <f>Games!N70</f>
        <v>0.22</v>
      </c>
      <c r="Z51" s="249" t="e" vm="127">
        <f>_xlfn.XLOOKUP(AA51,Teams!$C:$C,Teams!$E:$E,,0,1)</f>
        <v>#VALUE!</v>
      </c>
      <c r="AA51" s="262" t="str">
        <f>Games!O67</f>
        <v>Iowa State</v>
      </c>
      <c r="AB51" s="56"/>
      <c r="AD51" s="266" t="s">
        <v>14</v>
      </c>
      <c r="AE51" s="266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0.77</v>
      </c>
      <c r="F53" s="262" t="str">
        <f>Games!O17</f>
        <v>North Carolina</v>
      </c>
      <c r="G53" s="247" t="e" vm="89">
        <f>_xlfn.XLOOKUP(F53,Teams!$C:$C,Teams!$E:$E,,0,1)</f>
        <v>#VALUE!</v>
      </c>
      <c r="H53" s="264">
        <f>Games!L44</f>
        <v>0.44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0.35</v>
      </c>
      <c r="AI53" s="249" t="e" vm="122">
        <f>_xlfn.XLOOKUP(AJ53,Teams!$C:$C,Teams!$E:$E,,0,1)</f>
        <v>#VALUE!</v>
      </c>
      <c r="AJ53" s="262" t="str">
        <f>Games!O33</f>
        <v>Miami (OH)</v>
      </c>
      <c r="AK53" s="58">
        <f>Games!L33</f>
        <v>0.35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0.23</v>
      </c>
      <c r="F55" s="282">
        <f>IF($AU$5=TRUE,F47+1,"")</f>
        <v>39</v>
      </c>
      <c r="G55" s="14"/>
      <c r="H55" s="49"/>
      <c r="I55" s="279" t="str">
        <f>Games!O44</f>
        <v>Illinois</v>
      </c>
      <c r="J55" s="247" t="e" vm="91">
        <f>_xlfn.XLOOKUP(I55,Teams!$C:$C,Teams!$E:$E,,0,1)</f>
        <v>#VALUE!</v>
      </c>
      <c r="K55" s="264">
        <f>Games!L58</f>
        <v>0.48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0.32</v>
      </c>
      <c r="AF55" s="249" t="e" vm="123">
        <f>_xlfn.XLOOKUP(AG55,Teams!$C:$C,Teams!$E:$E,,0,1)</f>
        <v>#VALUE!</v>
      </c>
      <c r="AG55" s="262" t="str">
        <f>Games!O52</f>
        <v>Virginia</v>
      </c>
      <c r="AH55" s="55"/>
      <c r="AI55" s="51"/>
      <c r="AJ55" s="282">
        <f>IF($AU$5=TRUE,AJ47+1,"")</f>
        <v>47</v>
      </c>
      <c r="AK55" s="59">
        <f>Games!N33</f>
        <v>0.65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62" t="str">
        <f>Games!O18</f>
        <v>Illinois</v>
      </c>
      <c r="G57" s="247" t="e" vm="91">
        <f>_xlfn.XLOOKUP(F57,Teams!$C:$C,Teams!$E:$E,,0,1)</f>
        <v>#VALUE!</v>
      </c>
      <c r="H57" s="277">
        <f>Games!N44</f>
        <v>0.56000000000000005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0.65</v>
      </c>
      <c r="AI57" s="249" t="e" vm="123">
        <f>_xlfn.XLOOKUP(AJ57,Teams!$C:$C,Teams!$E:$E,,0,1)</f>
        <v>#VALUE!</v>
      </c>
      <c r="AJ57" s="262" t="str">
        <f>Games!O34</f>
        <v>Virginia</v>
      </c>
      <c r="AK57" s="58">
        <f>Games!L34</f>
        <v>0.8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Saint Mary's (CA)</v>
      </c>
      <c r="M59" s="247" t="e" vm="93">
        <f>_xlfn.XLOOKUP(L59,Teams!$C:$C,Teams!$E:$E,,0,1)</f>
        <v>#VALUE!</v>
      </c>
      <c r="N59" s="277">
        <f>Games!N65</f>
        <v>0.31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0.73</v>
      </c>
      <c r="AC59" s="249" t="e" vm="127">
        <f>_xlfn.XLOOKUP(AD59,Teams!$C:$C,Teams!$E:$E,,0,1)</f>
        <v>#VALUE!</v>
      </c>
      <c r="AD59" s="262" t="str">
        <f>Games!O62</f>
        <v>Iowa State</v>
      </c>
      <c r="AE59" s="56"/>
      <c r="AG59" s="283">
        <f>IF($AU$5=TRUE,AG43+1,"")</f>
        <v>56</v>
      </c>
      <c r="AJ59" s="24"/>
      <c r="AK59" s="59">
        <f>Games!N34</f>
        <v>0.2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62" t="str">
        <f>Games!O19</f>
        <v>Saint Mary's (CA)</v>
      </c>
      <c r="G61" s="247" t="e" vm="93">
        <f>_xlfn.XLOOKUP(F61,Teams!$C:$C,Teams!$E:$E,,0,1)</f>
        <v>#VALUE!</v>
      </c>
      <c r="H61" s="264">
        <f>Games!L45</f>
        <v>0.6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0.25</v>
      </c>
      <c r="AI61" s="249" t="e" vm="125">
        <f>_xlfn.XLOOKUP(AJ61,Teams!$C:$C,Teams!$E:$E,,0,1)</f>
        <v>#VALUE!</v>
      </c>
      <c r="AJ61" s="262" t="str">
        <f>Games!O35</f>
        <v>Kentucky</v>
      </c>
      <c r="AK61" s="58">
        <f>Games!L35</f>
        <v>0.55000000000000004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82">
        <f>IF($AU$5=TRUE,F55+1,"")</f>
        <v>40</v>
      </c>
      <c r="G63" s="14"/>
      <c r="H63" s="49"/>
      <c r="I63" s="279" t="str">
        <f>Games!O45</f>
        <v>Saint Mary's (CA)</v>
      </c>
      <c r="J63" s="247" t="e" vm="93">
        <f>_xlfn.XLOOKUP(I63,Teams!$C:$C,Teams!$E:$E,,0,1)</f>
        <v>#VALUE!</v>
      </c>
      <c r="K63" s="277">
        <f>Games!N58</f>
        <v>0.52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0.68</v>
      </c>
      <c r="AF63" s="249" t="e" vm="127">
        <f>_xlfn.XLOOKUP(AG63,Teams!$C:$C,Teams!$E:$E,,0,1)</f>
        <v>#VALUE!</v>
      </c>
      <c r="AG63" s="262" t="str">
        <f>Games!O53</f>
        <v>Iowa State</v>
      </c>
      <c r="AH63" s="55"/>
      <c r="AI63" s="51"/>
      <c r="AJ63" s="282">
        <f>IF($AU$5=TRUE,AJ55+1,"")</f>
        <v>48</v>
      </c>
      <c r="AK63" s="59">
        <f>Games!N35</f>
        <v>0.45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62" t="str">
        <f>Games!O20</f>
        <v>Houston</v>
      </c>
      <c r="G65" s="247" t="e" vm="95">
        <f>_xlfn.XLOOKUP(F65,Teams!$C:$C,Teams!$E:$E,,0,1)</f>
        <v>#VALUE!</v>
      </c>
      <c r="H65" s="277">
        <f>Games!N45</f>
        <v>0.4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0.75</v>
      </c>
      <c r="AI65" s="249" t="e" vm="127">
        <f>_xlfn.XLOOKUP(AJ65,Teams!$C:$C,Teams!$E:$E,,0,1)</f>
        <v>#VALUE!</v>
      </c>
      <c r="AJ65" s="262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2026-03-16T03:12:19Z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