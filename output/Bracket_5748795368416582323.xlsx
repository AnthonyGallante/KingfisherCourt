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D1E38851-BCC7-454F-A379-983E75BB83C6}" xr6:coauthVersionLast="47" xr6:coauthVersionMax="47" xr10:uidLastSave="{00000000-0000-0000-0000-000000000000}"/>
  <bookViews>
    <workbookView xWindow="1920" yWindow="1920" windowWidth="23040" windowHeight="12120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<sst xmlns="http://schemas.openxmlformats.org/spreadsheetml/2006/main" count="1526" uniqueCount="1194">
  <si>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</si>
  <si>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</si>
  <si>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</si>
  <si>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</si>
  <si>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</si>
  <si>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</si>
  <si>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</si>
  <si>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</si>
  <si>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</si>
  <si>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</si>
  <si>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</si>
  <si>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</si>
  <si>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</si>
  <si>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</si>
  <si>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</si>
  <si>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</si>
  <si>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</si>
  <si>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</si>
  <si>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</si>
  <si>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</si>
  <si>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</si>
  <si>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</si>
  <si>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</si>
  <si>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</si>
  <si>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</si>
  <si>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</si>
  <si>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</si>
  <si>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</si>
  <si>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</si>
  <si>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</si>
  <si>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</si>
  <si>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</si>
  <si>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</si>
  <si>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</si>
  <si>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</si>
  <si>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</si>
  <si>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</si>
  <si>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</si>
  <si>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</si>
  <si>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</si>
  <si>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</si>
  <si>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</si>
  <si>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</si>
  <si>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</si>
  <si>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</si>
  <si>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</si>
  <si>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</si>
  <si>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</si>
  <si>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</si>
  <si>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</si>
  <si>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</si>
  <si>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</si>
  <si>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</si>
  <si>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</si>
  <si>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</si>
  <si>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</si>
  <si>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</si>
  <si>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</si>
  <si>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</si>
  <si>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</si>
  <si>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</si>
  <si>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</si>
  <si>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</si>
  <si>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</si>
  <si>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</si>
  <si>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</si>
  <si>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</si>
  <si>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</si>
  <si>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</si>
  <si>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</si>
  <si>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</si>
  <si>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</si>
  <si>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</si>
  <si>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</si>
  <si>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</si>
  <si>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</si>
  <si>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</si>
  <si>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</si>
  <si>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</si>
  <si>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</si>
  <si>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</si>
  <si>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</si>
  <si>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</si>
  <si>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</si>
  <si>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</si>
  <si>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</si>
  <si>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</si>
  <si>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</si>
  <si>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</si>
  <si>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</si>
  <si>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</si>
  <si>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</si>
  <si>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</si>
  <si>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</si>
  <si>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</si>
  <si>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</si>
  <si>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</si>
  <si>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</si>
  <si>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</si>
  <si>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</si>
  <si>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</si>
  <si>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</si>
  <si>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</si>
  <si>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</si>
  <si>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</si>
  <si>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</si>
  <si>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</si>
  <si>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</si>
  <si>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</si>
  <si>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</si>
  <si>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</si>
  <si>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</si>
  <si>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</si>
  <si>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</si>
  <si>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</si>
  <si>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</si>
  <si>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</si>
  <si>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</si>
  <si>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</si>
  <si>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</si>
  <si>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</si>
  <si>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</si>
  <si>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</si>
  <si>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</si>
  <si>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</si>
  <si>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</si>
  <si>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</si>
  <si>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</si>
  <si>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</si>
  <si>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</si>
  <si>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</si>
  <si>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</si>
  <si>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</si>
  <si>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</si>
  <si>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</si>
  <si>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</si>
  <si>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</si>
  <si>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</si>
  <si>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</si>
  <si>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</si>
  <si>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</si>
  <si>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</si>
  <si>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</si>
  <si>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</si>
  <si>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</si>
  <si>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</si>
  <si>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</si>
  <si>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</si>
  <si>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</si>
  <si>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</si>
  <si>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</si>
  <si>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</si>
  <si>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</si>
  <si>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</si>
  <si>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</si>
  <si>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</si>
  <si>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</si>
  <si>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</si>
  <si>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</si>
  <si>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</si>
  <si>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</si>
  <si>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</si>
  <si>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</si>
  <si>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</si>
  <si>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</si>
  <si>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</si>
  <si>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</si>
  <si>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</si>
  <si>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</si>
  <si>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</si>
  <si>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</si>
  <si>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</si>
  <si>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</si>
  <si>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</si>
  <si>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</si>
  <si>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</si>
  <si>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</si>
  <si>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</si>
  <si>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</si>
  <si>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</si>
  <si>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</si>
  <si>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</si>
  <si>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</si>
  <si>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</si>
  <si>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</si>
  <si>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</si>
  <si>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</si>
  <si>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</si>
  <si>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</si>
  <si>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</si>
  <si>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</si>
  <si>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</si>
  <si>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</si>
  <si>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</si>
  <si>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</si>
  <si>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</si>
  <si>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</si>
  <si>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</si>
  <si>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</si>
  <si>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</si>
  <si>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</si>
  <si>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</si>
  <si>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</si>
  <si>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</si>
  <si>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</si>
  <si>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</si>
  <si>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</si>
  <si>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</si>
  <si>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</si>
  <si>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</si>
  <si>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</si>
  <si>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</si>
  <si>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</si>
  <si>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</si>
  <si>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</si>
  <si>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</si>
  <si>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</si>
  <si>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</si>
  <si>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</si>
  <si>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</si>
  <si>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</si>
  <si>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</si>
  <si>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</si>
  <si>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</si>
  <si>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</si>
  <si>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</si>
  <si>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</si>
  <si>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</si>
  <si>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</si>
  <si>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</si>
  <si>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</si>
  <si>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</si>
  <si>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</si>
  <si>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</si>
  <si>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</si>
  <si>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</si>
  <si>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</si>
  <si>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</si>
  <si>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</si>
  <si>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</si>
  <si>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</si>
  <si>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</si>
  <si>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</si>
  <si>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</si>
  <si>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</si>
  <si>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</si>
  <si>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</si>
  <si>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</si>
  <si>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</si>
  <si>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</si>
  <si>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</si>
  <si>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</si>
  <si>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</si>
  <si>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</si>
  <si>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</si>
  <si>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</si>
  <si>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</si>
  <si>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</si>
  <si>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</si>
  <si>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</si>
  <si>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</si>
  <si>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</si>
  <si>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</si>
  <si>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</si>
  <si>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</si>
  <si>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</si>
  <si>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</si>
  <si>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</si>
  <si>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</si>
  <si>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</si>
  <si>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</si>
  <si>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</si>
  <si>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</si>
  <si>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</si>
  <si>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</si>
  <si>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</si>
  <si>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</si>
  <si>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</si>
  <si>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</si>
  <si>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</si>
  <si>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</si>
  <si>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</si>
  <si>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</si>
  <si>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</si>
  <si>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</si>
  <si>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</si>
  <si>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</si>
  <si>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</si>
  <si>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</si>
  <si>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</si>
  <si>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</si>
  <si>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</si>
  <si>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</si>
  <si>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</si>
  <si>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</si>
  <si>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</si>
  <si>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</si>
  <si>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</si>
  <si>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</si>
  <si>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</si>
  <si>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</si>
  <si>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</si>
  <si>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</si>
  <si>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</si>
  <si>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</si>
  <si>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</si>
  <si>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</si>
  <si>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</si>
  <si>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</si>
  <si>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</si>
  <si>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</si>
  <si>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</si>
  <si>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</si>
  <si>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</si>
  <si>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</si>
  <si>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</si>
  <si>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</si>
  <si>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</si>
  <si>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</si>
  <si>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</si>
  <si>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</si>
  <si>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</si>
  <si>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</si>
  <si>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</si>
  <si>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</si>
  <si>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</si>
  <si>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</si>
  <si>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</si>
  <si>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</si>
  <si>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</si>
  <si>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</si>
  <si>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</si>
  <si>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</si>
  <si>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</si>
  <si>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</si>
  <si>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</si>
  <si>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</si>
  <si>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</si>
  <si>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</si>
  <si>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</si>
  <si>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</si>
  <si>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</si>
  <si>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</si>
  <si>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</si>
  <si>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</si>
  <si>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</si>
  <si>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</si>
  <si>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</si>
  <si>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</si>
  <si>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</si>
  <si>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</si>
  <si>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</si>
  <si>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</si>
  <si>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</si>
  <si>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</si>
  <si>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</si>
  <si>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</si>
  <si>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</si>
  <si>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</si>
  <si>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</si>
  <si>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</si>
  <si>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</si>
  <si>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</si>
  <si>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</si>
  <si>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</si>
  <si>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</si>
  <si>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</si>
  <si>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</si>
  <si>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</si>
  <si>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</si>
  <si>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</si>
  <si>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</si>
  <si>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</si>
  <si>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</si>
  <si>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</si>
  <si>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</si>
  <si>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</si>
  <si>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</si>
  <si>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</si>
  <si>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</si>
  <si>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</si>
  <si>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</si>
  <si>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</si>
  <si>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</si>
  <si>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</si>
  <si>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</si>
  <si>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</si>
  <si>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</si>
  <si>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</si>
  <si>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</si>
  <si>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</si>
  <si>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</si>
  <si>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</si>
  <si>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</si>
  <si>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</si>
  <si>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</si>
  <si>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</si>
  <si>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</si>
  <si>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</si>
  <si>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</si>
  <si>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</si>
  <si>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</si>
  <si>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</si>
  <si>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</si>
  <si>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</si>
  <si>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</si>
  <si>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</si>
  <si>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</si>
  <si>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</si>
  <si>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</si>
  <si>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</si>
  <si>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</si>
  <si>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</si>
  <si>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</si>
  <si>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</si>
  <si>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</si>
  <si>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</si>
  <si>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</si>
  <si>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</si>
  <si>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</si>
  <si>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</si>
  <si>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</si>
  <si>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</si>
  <si>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</si>
  <si>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</si>
  <si>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</si>
  <si>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</si>
  <si>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</si>
  <si>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</si>
  <si>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</si>
  <si>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</si>
  <si>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</si>
  <si>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</si>
  <si>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</si>
  <si>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</si>
  <si>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</si>
  <si>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</si>
  <si>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</si>
  <si>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</si>
  <si>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</si>
  <si>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</si>
  <si>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</si>
  <si>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</si>
  <si>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</si>
  <si>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</si>
  <si>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</si>
  <si>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</si>
  <si>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</si>
  <si>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</si>
  <si>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</si>
  <si>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</si>
  <si>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</si>
  <si>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</si>
  <si>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</si>
  <si>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</si>
  <si>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</si>
  <si>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</si>
  <si>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</si>
  <si>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</si>
  <si>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</si>
  <si>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</si>
  <si>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</si>
  <si>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</si>
  <si>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</si>
  <si>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</si>
  <si>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</si>
  <si>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</si>
  <si>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</si>
  <si>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</si>
  <si>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</si>
  <si>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</si>
  <si>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</si>
  <si>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</si>
  <si>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</si>
  <si>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</si>
  <si>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</si>
  <si>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</si>
  <si>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</si>
  <si>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</si>
  <si>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</si>
  <si>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</si>
  <si>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</si>
  <si>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</si>
  <si>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</si>
  <si>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</si>
  <si>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</si>
  <si>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</si>
  <si>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</si>
  <si>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</si>
  <si>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</si>
  <si>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</si>
  <si>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</si>
  <si>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</si>
  <si>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</si>
  <si>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</si>
  <si>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</si>
  <si>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</si>
  <si>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</si>
  <si>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</si>
  <si>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</si>
  <si>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</si>
  <si>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</si>
  <si>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</si>
  <si>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</si>
  <si>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</si>
  <si>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</si>
  <si>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</si>
  <si>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</si>
  <si>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</si>
  <si>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</si>
  <si>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</si>
  <si>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</si>
  <si>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</si>
  <si>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</si>
  <si>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</si>
  <si>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</si>
  <si>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</si>
  <si>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</si>
  <si>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</si>
  <si>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</si>
  <si>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</si>
  <si>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</si>
  <si>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</si>
  <si>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</si>
  <si>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</si>
  <si>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</si>
  <si>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</si>
  <si>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</si>
  <si>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</si>
  <si>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</si>
  <si>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</si>
  <si>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</si>
  <si>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</si>
  <si>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</si>
  <si>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</si>
  <si>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</si>
  <si>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</si>
  <si>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</si>
  <si>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</si>
  <si>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</si>
  <si>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</si>
  <si>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</si>
  <si>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</si>
  <si>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</si>
  <si>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</si>
  <si>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</si>
  <si>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</si>
  <si>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</si>
  <si>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</si>
  <si>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</si>
  <si>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</si>
  <si>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</si>
  <si>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</si>
  <si>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</si>
  <si>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</si>
  <si>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</si>
  <si>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</si>
  <si>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</si>
  <si>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</si>
  <si>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</si>
  <si>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</si>
  <si>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</si>
  <si>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</si>
  <si>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</si>
  <si>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</si>
  <si>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</si>
  <si>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</si>
  <si>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</si>
  <si>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</si>
  <si>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</si>
  <si>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</si>
  <si>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</si>
  <si>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</si>
  <si>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</si>
  <si>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</si>
  <si>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</si>
  <si>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</si>
  <si>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</si>
  <si>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</si>
  <si>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</si>
  <si>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</si>
  <si>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</si>
  <si>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</si>
  <si>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</si>
  <si>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</si>
  <si>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</si>
  <si>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</si>
  <si>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</si>
  <si>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</si>
  <si>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</si>
  <si>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</si>
  <si>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</si>
  <si>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</si>
  <si>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</si>
  <si>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</si>
  <si>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</si>
  <si>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</si>
  <si>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</si>
  <si>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</si>
  <si>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</si>
  <si>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</si>
  <si>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</si>
  <si>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</si>
  <si>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</si>
  <si>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</si>
  <si>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</si>
  <si>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</si>
  <si>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</si>
  <si>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</si>
  <si>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</si>
  <si>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</si>
  <si>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</si>
  <si>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</si>
  <si>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</si>
  <si>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</si>
  <si>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</si>
  <si>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</si>
  <si>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</si>
  <si>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</si>
  <si>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</si>
  <si>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</si>
  <si>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</si>
  <si>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</si>
  <si>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</si>
  <si>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</si>
  <si>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</si>
  <si>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</si>
  <si>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</si>
  <si>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</si>
  <si>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</si>
  <si>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</si>
  <si>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</si>
  <si>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</si>
  <si>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</si>
  <si>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</si>
  <si>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</si>
  <si>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</si>
  <si>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</si>
  <si>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</si>
  <si>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</si>
  <si>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</si>
  <si>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</si>
  <si>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</si>
  <si>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</si>
  <si>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</si>
  <si>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</si>
  <si>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</si>
  <si>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</si>
  <si>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</si>
  <si>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</si>
  <si>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</si>
  <si>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</si>
  <si>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</si>
  <si>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</si>
  <si>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</si>
  <si>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</si>
  <si>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</si>
  <si>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</si>
  <si>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</si>
  <si>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</si>
  <si>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</si>
  <si>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</si>
  <si>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</si>
  <si>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</si>
  <si>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</si>
  <si>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</si>
  <si>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</si>
  <si>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</si>
  <si>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</si>
  <si>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</si>
  <si>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</si>
  <si>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</si>
  <si>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</si>
  <si>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</si>
  <si>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</si>
  <si>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</si>
  <si>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</si>
  <si>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</si>
  <si>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</si>
  <si>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</si>
  <si>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</si>
  <si>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</si>
  <si>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</si>
  <si>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</si>
  <si>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</si>
  <si>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</si>
  <si>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</si>
  <si>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</si>
  <si>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</si>
  <si>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</si>
  <si>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</si>
  <si>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</si>
  <si>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</si>
  <si>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</si>
  <si>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</si>
  <si>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</si>
  <si>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</si>
  <si>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</si>
  <si>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</si>
  <si>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</si>
  <si>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</si>
  <si>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</si>
  <si>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</si>
  <si>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</si>
  <si>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</si>
  <si>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</si>
  <si>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</si>
  <si>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</si>
  <si>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</si>
  <si>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</si>
  <si>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</si>
  <si>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</si>
  <si>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</si>
  <si>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</si>
  <si>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</si>
  <si>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</si>
  <si>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</si>
  <si>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</si>
  <si>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</si>
  <si>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</si>
  <si>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</si>
  <si>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</si>
  <si>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</si>
  <si>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</si>
  <si>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</si>
  <si>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</si>
  <si>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</si>
  <si>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</si>
  <si>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</si>
  <si>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</si>
  <si>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</si>
  <si>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</si>
  <si>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</si>
  <si>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</si>
  <si>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</si>
  <si>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</si>
  <si>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</si>
  <si>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</si>
  <si>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</si>
  <si>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</si>
  <si>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</si>
  <si>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</si>
  <si>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</si>
  <si>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</si>
  <si>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</si>
  <si>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</si>
  <si>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</si>
  <si>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</si>
  <si>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</si>
  <si>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</si>
  <si>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</si>
  <si>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</si>
  <si>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</si>
  <si>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</si>
  <si>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</si>
  <si>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</si>
  <si>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</si>
  <si>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</si>
  <si>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</si>
  <si>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</si>
  <si>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</si>
  <si>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</si>
  <si>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</si>
  <si>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</si>
  <si>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</si>
  <si>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</si>
  <si>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</si>
  <si>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</si>
  <si>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</si>
  <si>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</si>
  <si>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</si>
  <si>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</si>
  <si>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</si>
  <si>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</si>
  <si>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</si>
  <si>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</si>
  <si>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</si>
  <si>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</si>
  <si>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</si>
  <si>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</si>
  <si>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</si>
  <si>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</si>
  <si>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</si>
  <si>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</si>
  <si>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</si>
  <si>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</si>
  <si>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</si>
  <si>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</si>
  <si>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</si>
  <si>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</si>
  <si>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</si>
  <si>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</si>
  <si>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</si>
  <si>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</si>
  <si>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</si>
  <si>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</si>
  <si>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</si>
  <si>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</si>
  <si>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</si>
  <si>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</si>
  <si>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</si>
  <si>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</si>
  <si>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</si>
  <si>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</si>
  <si>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</si>
  <si>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</si>
  <si>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</si>
  <si>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</si>
  <si>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</si>
  <si>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</si>
  <si>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</si>
  <si>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</si>
  <si>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</si>
  <si>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</si>
  <si>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</si>
  <si>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</si>
  <si>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</si>
  <si>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</si>
  <si>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</si>
  <si>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</si>
  <si>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</si>
  <si>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</si>
  <si>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</si>
  <si>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</si>
  <si>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</si>
  <si>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</si>
  <si>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</si>
  <si>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</si>
  <si>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</si>
  <si>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</si>
  <si>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</si>
  <si>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</si>
  <si>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</si>
  <si>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</si>
  <si>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</si>
  <si>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</si>
  <si>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</si>
  <si>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</si>
  <si>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</si>
  <si>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</si>
  <si>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</si>
  <si>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</si>
  <si>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</si>
  <si>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</si>
  <si>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</si>
  <si>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</si>
  <si>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</si>
  <si>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</si>
  <si>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</si>
  <si>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</si>
  <si>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</si>
  <si>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</si>
  <si>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</si>
  <si>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</si>
  <si>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</si>
  <si>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</si>
  <si>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</si>
  <si>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</si>
  <si>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</si>
  <si>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</si>
  <si>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</si>
  <si>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</si>
  <si>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</si>
  <si>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</si>
  <si>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</si>
  <si>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</si>
  <si>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</si>
  <si>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</si>
  <si>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</si>
  <si>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</si>
  <si>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</si>
  <si>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</si>
  <si>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</si>
  <si>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</si>
  <si>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</si>
  <si>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</si>
  <si>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</si>
  <si>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</si>
  <si>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</si>
  <si>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</si>
  <si>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</si>
  <si>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</si>
  <si>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</si>
  <si>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</si>
  <si>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</si>
  <si>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</si>
  <si>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</si>
  <si>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</si>
  <si>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</si>
  <si>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</si>
  <si>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</si>
  <si>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</si>
  <si>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</si>
  <si>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</si>
  <si>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</si>
  <si>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</si>
  <si>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</si>
  <si>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</si>
  <si>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</si>
  <si>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</si>
  <si>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</si>
  <si>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</si>
  <si>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</si>
  <si>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</si>
  <si>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</si>
  <si>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</si>
  <si>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</si>
  <si>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</si>
  <si>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</si>
  <si>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</si>
  <si>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</si>
  <si>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</si>
  <si>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</si>
  <si>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</si>
  <si>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</si>
  <si>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</si>
  <si>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</si>
  <si>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</si>
  <si>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</si>
  <si>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</si>
  <si>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</si>
  <si>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</si>
  <si>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</si>
  <si>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</si>
  <si>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</si>
  <si>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</si>
  <si>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</si>
  <si>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</si>
  <si>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</si>
  <si>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</si>
  <si>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</si>
  <si>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</si>
  <si>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</si>
  <si>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</si>
  <si>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</si>
  <si>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</si>
  <si>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</si>
  <si>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</si>
  <si>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</si>
  <si>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</si>
  <si>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</si>
  <si>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</si>
  <si>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</si>
  <si>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</si>
  <si>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</si>
  <si>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</si>
  <si>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</si>
  <si>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</si>
  <si>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</si>
  <si>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</si>
  <si>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</si>
  <si>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</si>
  <si>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</si>
  <si>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</si>
  <si>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</si>
  <si>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</si>
  <si>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</si>
  <si>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</si>
  <si>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</si>
  <si>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</si>
  <si>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</si>
  <si>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</si>
  <si>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</si>
  <si>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</si>
  <si>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</si>
  <si>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</si>
  <si>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</si>
  <si>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</si>
  <si>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</si>
  <si>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</si>
  <si>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</si>
  <si>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</si>
  <si>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</si>
  <si>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</si>
  <si>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</si>
  <si>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</si>
  <si>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</si>
  <si>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</si>
  <si>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</si>
  <si>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</si>
  <si>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</si>
  <si>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</si>
  <si>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</si>
  <si>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</si>
  <si>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</si>
  <si>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</si>
  <si>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</si>
  <si>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</si>
  <si>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</si>
  <si>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</si>
  <si>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</si>
  <si>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</si>
  <si>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</si>
  <si>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</si>
  <si>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</si>
  <si>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</si>
  <si>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</si>
  <si>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</si>
  <si>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</si>
  <si>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</si>
  <si>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</si>
  <si>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</si>
  <si>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</si>
  <si>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</si>
  <si>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</si>
  <si>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</si>
  <si>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</si>
  <si>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</si>
  <si>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</si>
  <si>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</si>
  <si>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</si>
  <si>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</si>
  <si>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</si>
  <si>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</si>
  <si>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</si>
  <si>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</si>
  <si>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</si>
  <si>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</si>
  <si>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</si>
  <si>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</si>
  <si>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</si>
  <si>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</si>
  <si>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</si>
  <si>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</si>
  <si>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</si>
  <si>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</si>
  <si>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</si>
  <si>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</si>
  <si>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</si>
  <si>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</si>
  <si>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</si>
  <si>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</si>
  <si>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</si>
  <si>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</si>
  <si>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</si>
  <si>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</si>
  <si>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</si>
  <si>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</si>
  <si>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</si>
  <si>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</si>
  <si>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</si>
  <si>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</si>
  <si>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</si>
  <si>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</si>
  <si>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</si>
  <si>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</si>
  <si>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</si>
  <si>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</si>
  <si>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</si>
  <si>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</si>
  <si>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</si>
  <si>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</si>
  <si>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</si>
  <si>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</si>
  <si>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</si>
  <si>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</si>
  <si>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</si>
  <si>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</si>
  <si>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</si>
  <si>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</si>
  <si>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</si>
  <si>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</si>
  <si>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</si>
  <si>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</si>
  <si>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</si>
  <si>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</si>
  <si>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</si>
  <si>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</si>
  <si>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</si>
  <si>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</si>
  <si>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</si>
  <si>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</si>
  <si>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</si>
  <si>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</si>
  <si>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</si>
  <si>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</si>
  <si>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</si>
  <si>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</si>
  <si>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</si>
  <si>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</si>
  <si>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</si>
  <si>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</si>
  <si>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</si>
  <si>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</si>
  <si>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</si>
  <si>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</si>
  <si>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</si>
  <si>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</si>
  <si>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</si>
  <si>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</si>
  <si>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</si>
  <si>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</si>
  <si>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</si>
  <si>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</si>
  <si>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</si>
  <si>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</si>
  <si>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</si>
  <si>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</si>
  <si>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</si>
  <si>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</si>
  <si>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</si>
  <si>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</si>
  <si>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</si>
  <si>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</si>
  <si>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</si>
  <si>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</si>
  <si>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</si>
  <si>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</si>
  <si>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</si>
  <si>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</si>
  <si>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</si>
  <si>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</si>
  <si>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</si>
  <si>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</si>
  <si>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</si>
  <si>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</si>
  <si>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</si>
  <si>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</si>
  <si>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</si>
  <si>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</si>
  <si>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</si>
  <si>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</si>
  <si>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</si>
  <si>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</si>
  <si>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</si>
  <si>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</si>
  <si>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</si>
  <si>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</si>
  <si>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</si>
  <si>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</si>
  <si>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</si>
  <si>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</si>
  <si>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</si>
  <si>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</si>
  <si>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</si>
  <si>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</si>
  <si>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</si>
  <si>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</si>
  <si>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</si>
  <si>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</si>
  <si>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UPSET! Normal winner is Connecticut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</si>
  <si>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</si>
  <si>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</si>
  <si>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</si>
  <si>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</si>
  <si>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</si>
  <si>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</si>
  <si>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</si>
  <si>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UPSET! Normal winner is Louisville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</si>
  <si>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</si>
  <si>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</si>
  <si>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</si>
  <si>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</si>
  <si>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</si>
  <si>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</si>
  <si>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</si>
  <si>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</si>
  <si>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</si>
  <si>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Purdue: 341 - 160 :High Point</t>
  </si>
  <si>
    <t>Illinois: 438 - 63 :Xavier</t>
  </si>
  <si>
    <t>UPSET! Normal winner is Kentucky</t>
  </si>
  <si>
    <t>UCLA: 317 - 184 :Utah State</t>
  </si>
  <si>
    <t>Tennessee: 363 - 138 :Wofford</t>
  </si>
  <si>
    <t>Duke: 426 - 75 :Baylor</t>
  </si>
  <si>
    <t>Liberty: 60 - 441 :Arizona</t>
  </si>
  <si>
    <t>Brigham Young: 291 - 210 :Wisconsin</t>
  </si>
  <si>
    <t>Saint Mary's (CA): 256 - 245 :Alabama</t>
  </si>
  <si>
    <t>Florida: 483 - 18 :Oklahoma</t>
  </si>
  <si>
    <t>Colorado State: 114 - 387 :Grand Canyon</t>
  </si>
  <si>
    <t>Missouri: 57 - 444 :Texas Tech</t>
  </si>
  <si>
    <t>Kansas: 290 - 211 :St. John's (NY)</t>
  </si>
  <si>
    <t>Auburn: 387 - 114 :Creighton</t>
  </si>
  <si>
    <t>Michigan: 384 - 117 :Yale</t>
  </si>
  <si>
    <t>North Carolina: 223 - 278 :Iowa State</t>
  </si>
  <si>
    <t>New Mexico: 218 - 283 :Michigan State</t>
  </si>
  <si>
    <t>Houston: 222 - 279 :Gonzaga</t>
  </si>
  <si>
    <t>McNeese State: 144 - 357 :Purdue</t>
  </si>
  <si>
    <t>Illinois: 444 - 57 :Troy</t>
  </si>
  <si>
    <t>UPSET! Normal winner is Tennessee</t>
  </si>
  <si>
    <t>Duke: 189 - 312 :Arizona</t>
  </si>
  <si>
    <t>Brigham Young: 219 - 282 :Saint Mary's (CA)</t>
  </si>
  <si>
    <t>Florida: 451 - 50 :Grand Canyon</t>
  </si>
  <si>
    <t>Texas Tech: 338 - 163 :Kansas</t>
  </si>
  <si>
    <t>Auburn: 104 - 397 :Michigan</t>
  </si>
  <si>
    <t>Iowa State: 333 - 168 :Michigan State</t>
  </si>
  <si>
    <t>UPSET! Normal winner is Gonzaga</t>
  </si>
  <si>
    <t>Illinois: 369 - 132 :UCLA</t>
  </si>
  <si>
    <t>UPSET! Normal winner is Arizona</t>
  </si>
  <si>
    <t>Florida: 270 - 231 :Texas Tech</t>
  </si>
  <si>
    <t>Michigan: 291 - 210 :Iowa State</t>
  </si>
  <si>
    <t>Purdue: 193 - 308 :Illinois</t>
  </si>
  <si>
    <t>Florida: 356 - 145 :Saint Mary's (CA)</t>
  </si>
  <si>
    <t>Michigan: 259 - 242 :Illinois</t>
  </si>
  <si>
    <t>Michigan: 141 - 360 :Florida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</si>
</sst>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Connecticut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0.17</v>
      </c>
      <c r="M14" s="83" t="e" vm="84">
        <f>_xlfn.XLOOKUP(I14,Teams!$C:$C,Teams!$E:$E,,0,1)</f>
        <v>#VALUE!</v>
      </c>
      <c r="N14" s="83">
        <v>0.83</v>
      </c>
      <c r="O14" s="192" t="str">
        <f t="shared" si="3"/>
        <v>Oklahoma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Louisville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</v>
      </c>
      <c r="M22" s="82" t="e" vm="100">
        <f>_xlfn.XLOOKUP(I22,Teams!$C:$C,Teams!$E:$E,,0,1)</f>
        <v>#VALUE!</v>
      </c>
      <c r="N22" s="82">
        <v>0.8</v>
      </c>
      <c r="O22" s="189" t="str">
        <f t="shared" si="3"/>
        <v>Creighton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Kentucky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0.35</v>
      </c>
      <c r="M34" s="83" t="e" vm="124">
        <f>_xlfn.XLOOKUP(I34,Teams!$C:$C,Teams!$E:$E,,0,1)</f>
        <v>#VALUE!</v>
      </c>
      <c r="N34" s="83">
        <v>0.65</v>
      </c>
      <c r="O34" s="192" t="str">
        <f t="shared" si="3"/>
        <v>Troy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Oklahoma</v>
      </c>
      <c r="C42" s="91" t="str">
        <f t="shared" si="7"/>
        <v>Oklahoma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111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0.96</v>
      </c>
      <c r="M42" s="145" t="e" vm="84">
        <f>_xlfn.XLOOKUP(I42,Teams!$C:$C,Teams!$E:$E,,0,1)</f>
        <v>#VALUE!</v>
      </c>
      <c r="N42" s="145">
        <v>0.04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Creighton</v>
      </c>
      <c r="C46" s="152" t="str">
        <f t="shared" si="7"/>
        <v>Creighton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91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0.77</v>
      </c>
      <c r="M46" s="84" t="e" vm="100">
        <f>_xlfn.XLOOKUP(I46,Teams!$C:$C,Teams!$E:$E,,0,1)</f>
        <v>#VALUE!</v>
      </c>
      <c r="N46" s="84">
        <v>0.23</v>
      </c>
      <c r="O46" s="194" t="str">
        <f t="shared" si="9"/>
        <v>Auburn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Purdue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0.28999999999999998</v>
      </c>
      <c r="M51" s="83" t="e" vm="119">
        <f>_xlfn.XLOOKUP(I51,Teams!$C:$C,Teams!$E:$E,,0,1)</f>
        <v>#VALUE!</v>
      </c>
      <c r="N51" s="83">
        <v>0.71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Troy</v>
      </c>
      <c r="C52" s="91" t="str">
        <f t="shared" si="7"/>
        <v>Troy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141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0.89</v>
      </c>
      <c r="M52" s="83" t="e" vm="124">
        <f>_xlfn.XLOOKUP(I52,Teams!$C:$C,Teams!$E:$E,,0,1)</f>
        <v>#VALUE!</v>
      </c>
      <c r="N52" s="83">
        <v>0.11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Tennessee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0.56999999999999995</v>
      </c>
      <c r="M53" s="151" t="e" vm="127">
        <f>_xlfn.XLOOKUP(I53,Teams!$C:$C,Teams!$E:$E,,0,1)</f>
        <v>#VALUE!</v>
      </c>
      <c r="N53" s="151">
        <v>0.43</v>
      </c>
      <c r="O53" s="197" t="str">
        <f t="shared" si="9"/>
        <v>UCLA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Gonzaga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0.46</v>
      </c>
      <c r="M61" s="145" t="e" vm="119">
        <f>_xlfn.XLOOKUP(I61,Teams!$C:$C,Teams!$E:$E,,0,1)</f>
        <v>#VALUE!</v>
      </c>
      <c r="N61" s="145">
        <v>0.54</v>
      </c>
      <c r="O61" s="196" t="str">
        <f t="shared" si="14"/>
        <v>Purdue</v>
      </c>
      <c r="P61" s="211" t="e" vm="119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UCLA</v>
      </c>
      <c r="C62" s="91" t="str">
        <f t="shared" si="12"/>
        <v>UCLA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134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0.74</v>
      </c>
      <c r="M62" s="151" t="e" vm="125">
        <f>_xlfn.XLOOKUP(I62,Teams!$C:$C,Teams!$E:$E,,0,1)</f>
        <v>#VALUE!</v>
      </c>
      <c r="N62" s="151">
        <v>0.26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Saint Mary's (CA)</v>
      </c>
      <c r="C64" s="91" t="str">
        <f>IF(O64="","",IF(A64=O64,B64,A64))</f>
        <v>Arizona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71">
        <f>_xlfn.XLOOKUP(G64,Teams!$C:$C,Teams!$E:$E,,0,1)</f>
        <v>#VALUE!</v>
      </c>
      <c r="L64" s="158">
        <v>0.24</v>
      </c>
      <c r="M64" s="158" t="e" vm="77">
        <f>_xlfn.XLOOKUP(I64,Teams!$C:$C,Teams!$E:$E,,0,1)</f>
        <v>#VALUE!</v>
      </c>
      <c r="N64" s="158">
        <v>0.76</v>
      </c>
      <c r="O64" s="198" t="str">
        <f>IF(L64&gt;N64,G64,I64)</f>
        <v>Saint Mary's (CA)</v>
      </c>
      <c r="P64" s="204" t="e" vm="77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Texas Tech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0.54</v>
      </c>
      <c r="M65" s="164" t="e" vm="91">
        <f>_xlfn.XLOOKUP(I65,Teams!$C:$C,Teams!$E:$E,,0,1)</f>
        <v>#VALUE!</v>
      </c>
      <c r="N65" s="164">
        <v>0.46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Purdue</v>
      </c>
      <c r="B67" s="91" t="str">
        <f>I67</f>
        <v>Illinois</v>
      </c>
      <c r="C67" s="91" t="str">
        <f>IF(O67="","",IF(A67=O67,B67,A67))</f>
        <v>Purdue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4</v>
      </c>
      <c r="G67" s="161" t="s">
        <v>132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9">
        <f>_xlfn.XLOOKUP(G67,Teams!$C:$C,Teams!$E:$E,,0,1)</f>
        <v>#VALUE!</v>
      </c>
      <c r="L67" s="164">
        <v>0.39</v>
      </c>
      <c r="M67" s="164" t="e" vm="121">
        <f>_xlfn.XLOOKUP(I67,Teams!$C:$C,Teams!$E:$E,,0,1)</f>
        <v>#VALUE!</v>
      </c>
      <c r="N67" s="164">
        <v>0.61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Saint Mary's (CA)</v>
      </c>
      <c r="B69" s="91" t="str">
        <f>I69</f>
        <v>Florida</v>
      </c>
      <c r="C69" s="91" t="str">
        <f>IF(O69="","",IF(A69=O69,B69,A69))</f>
        <v>Saint Mary's (CA)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7</v>
      </c>
      <c r="G69" s="167" t="s">
        <v>832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7">
        <f>_xlfn.XLOOKUP(G69,Teams!$C:$C,Teams!$E:$E,,0,1)</f>
        <v>#VALUE!</v>
      </c>
      <c r="L69" s="170">
        <v>0.28999999999999998</v>
      </c>
      <c r="M69" s="170" t="e" vm="81">
        <f>_xlfn.XLOOKUP(I69,Teams!$C:$C,Teams!$E:$E,,0,1)</f>
        <v>#VALUE!</v>
      </c>
      <c r="N69" s="170">
        <v>0.71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81">
        <f>_xlfn.XLOOKUP(G72,Teams!$C:$C,Teams!$E:$E,,0,1)</f>
        <v>#VALUE!</v>
      </c>
      <c r="L72" s="158">
        <v>0.72</v>
      </c>
      <c r="M72" s="158" t="e" vm="101">
        <f>_xlfn.XLOOKUP(I72,Teams!$C:$C,Teams!$E:$E,,0,1)</f>
        <v>#VALUE!</v>
      </c>
      <c r="N72" s="158">
        <v>0.28000000000000003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0.77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7">
        <f>_xlfn.XLOOKUP(AG7,Teams!$C:$C,Teams!$E:$E,,0,1)</f>
        <v>#VALUE!</v>
      </c>
      <c r="AG7" s="256" t="str">
        <f>Games!O46</f>
        <v>Auburn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0.23</v>
      </c>
      <c r="AI9" s="247" t="e" vm="100">
        <f>_xlfn.XLOOKUP(AJ9,Teams!$C:$C,Teams!$E:$E,,0,1)</f>
        <v>#VALUE!</v>
      </c>
      <c r="AJ9" s="256" t="str">
        <f>Games!O22</f>
        <v>Creighton</v>
      </c>
      <c r="AK9" s="58">
        <f>Games!L22</f>
        <v>0.2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0.24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0.8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Saint Mary's (CA)</v>
      </c>
      <c r="P19" s="259" t="e" vm="77">
        <f>_xlfn.XLOOKUP(O19,Teams!$C:$C,Teams!$E:$E,,0,1)</f>
        <v>#VALUE!</v>
      </c>
      <c r="Q19" s="251">
        <f>Games!L69</f>
        <v>0.28999999999999998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0.76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0.72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0.96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0.28000000000000003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0.46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0.17</v>
      </c>
      <c r="F41" s="256" t="str">
        <f>Games!O14</f>
        <v>Oklahoma</v>
      </c>
      <c r="G41" s="259" t="e" vm="84">
        <f>_xlfn.XLOOKUP(F41,Teams!$C:$C,Teams!$E:$E,,0,1)</f>
        <v>#VALUE!</v>
      </c>
      <c r="H41" s="261">
        <f>Games!N42</f>
        <v>0.04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0.83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0.54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0.39</v>
      </c>
      <c r="AC43" s="249" t="e" vm="119">
        <f>_xlfn.XLOOKUP(AD43,Teams!$C:$C,Teams!$E:$E,,0,1)</f>
        <v>#VALUE!</v>
      </c>
      <c r="AD43" s="263" t="str">
        <f>Games!O61</f>
        <v>Purdue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0.28999999999999998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0.54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0.71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0.71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0.89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0.74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0.11</v>
      </c>
      <c r="AI57" s="249" t="e" vm="124">
        <f>_xlfn.XLOOKUP(AJ57,Teams!$C:$C,Teams!$E:$E,,0,1)</f>
        <v>#VALUE!</v>
      </c>
      <c r="AJ57" s="256" t="str">
        <f>Games!O34</f>
        <v>Troy</v>
      </c>
      <c r="AK57" s="58">
        <f>Games!L34</f>
        <v>0.35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0.46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0.61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0.65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0.56999999999999995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0.26</v>
      </c>
      <c r="AF63" s="249" t="e" vm="125">
        <f>_xlfn.XLOOKUP(AG63,Teams!$C:$C,Teams!$E:$E,,0,1)</f>
        <v>#VALUE!</v>
      </c>
      <c r="AG63" s="256" t="str">
        <f>Games!O53</f>
        <v>UCLA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0.43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2026-03-14T00:57:56Z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