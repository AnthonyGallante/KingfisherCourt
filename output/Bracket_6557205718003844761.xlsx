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70EBE6C5-EA84-4797-BBB8-AF295CE5B4D0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<sst xmlns="http://schemas.openxmlformats.org/spreadsheetml/2006/main" count="1526" uniqueCount="1194">
  <si>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</si>
  <si>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</si>
  <si>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</si>
  <si>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</si>
  <si>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</si>
  <si>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</si>
  <si>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</si>
  <si>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</si>
  <si>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</si>
  <si>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</si>
  <si>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</si>
  <si>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</si>
  <si>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</si>
  <si>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</si>
  <si>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</si>
  <si>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</si>
  <si>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</si>
  <si>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</si>
  <si>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</si>
  <si>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</si>
  <si>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</si>
  <si>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</si>
  <si>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</si>
  <si>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</si>
  <si>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</si>
  <si>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</si>
  <si>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</si>
  <si>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</si>
  <si>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</si>
  <si>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</si>
  <si>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</si>
  <si>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</si>
  <si>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</si>
  <si>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</si>
  <si>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</si>
  <si>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</si>
  <si>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</si>
  <si>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</si>
  <si>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</si>
  <si>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</si>
  <si>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</si>
  <si>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</si>
  <si>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</si>
  <si>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</si>
  <si>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</si>
  <si>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</si>
  <si>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</si>
  <si>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</si>
  <si>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</si>
  <si>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</si>
  <si>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</si>
  <si>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</si>
  <si>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</si>
  <si>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</si>
  <si>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</si>
  <si>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</si>
  <si>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</si>
  <si>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</si>
  <si>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</si>
  <si>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</si>
  <si>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</si>
  <si>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</si>
  <si>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</si>
  <si>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</si>
  <si>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</si>
  <si>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</si>
  <si>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</si>
  <si>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</si>
  <si>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</si>
  <si>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</si>
  <si>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</si>
  <si>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</si>
  <si>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</si>
  <si>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</si>
  <si>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</si>
  <si>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</si>
  <si>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</si>
  <si>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</si>
  <si>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</si>
  <si>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</si>
  <si>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</si>
  <si>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</si>
  <si>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</si>
  <si>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</si>
  <si>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</si>
  <si>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</si>
  <si>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</si>
  <si>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</si>
  <si>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</si>
  <si>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</si>
  <si>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</si>
  <si>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</si>
  <si>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</si>
  <si>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</si>
  <si>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</si>
  <si>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</si>
  <si>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</si>
  <si>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</si>
  <si>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</si>
  <si>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</si>
  <si>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</si>
  <si>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</si>
  <si>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</si>
  <si>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</si>
  <si>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</si>
  <si>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</si>
  <si>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</si>
  <si>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</si>
  <si>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</si>
  <si>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</si>
  <si>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</si>
  <si>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</si>
  <si>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</si>
  <si>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</si>
  <si>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</si>
  <si>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</si>
  <si>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</si>
  <si>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</si>
  <si>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</si>
  <si>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</si>
  <si>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</si>
  <si>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</si>
  <si>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</si>
  <si>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</si>
  <si>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</si>
  <si>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</si>
  <si>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</si>
  <si>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</si>
  <si>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</si>
  <si>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</si>
  <si>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</si>
  <si>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</si>
  <si>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</si>
  <si>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</si>
  <si>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</si>
  <si>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</si>
  <si>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</si>
  <si>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</si>
  <si>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</si>
  <si>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</si>
  <si>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</si>
  <si>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</si>
  <si>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</si>
  <si>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</si>
  <si>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</si>
  <si>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</si>
  <si>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</si>
  <si>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</si>
  <si>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</si>
  <si>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</si>
  <si>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</si>
  <si>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</si>
  <si>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</si>
  <si>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</si>
  <si>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</si>
  <si>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</si>
  <si>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</si>
  <si>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</si>
  <si>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</si>
  <si>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</si>
  <si>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</si>
  <si>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</si>
  <si>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</si>
  <si>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</si>
  <si>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</si>
  <si>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</si>
  <si>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</si>
  <si>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</si>
  <si>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</si>
  <si>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</si>
  <si>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</si>
  <si>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</si>
  <si>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</si>
  <si>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</si>
  <si>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</si>
  <si>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</si>
  <si>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</si>
  <si>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</si>
  <si>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</si>
  <si>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</si>
  <si>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</si>
  <si>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</si>
  <si>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</si>
  <si>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</si>
  <si>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</si>
  <si>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</si>
  <si>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</si>
  <si>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</si>
  <si>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</si>
  <si>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</si>
  <si>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</si>
  <si>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</si>
  <si>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</si>
  <si>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</si>
  <si>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</si>
  <si>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</si>
  <si>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</si>
  <si>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</si>
  <si>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</si>
  <si>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</si>
  <si>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</si>
  <si>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</si>
  <si>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</si>
  <si>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</si>
  <si>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</si>
  <si>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</si>
  <si>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</si>
  <si>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</si>
  <si>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</si>
  <si>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</si>
  <si>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</si>
  <si>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</si>
  <si>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</si>
  <si>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</si>
  <si>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</si>
  <si>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</si>
  <si>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</si>
  <si>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</si>
  <si>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</si>
  <si>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</si>
  <si>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</si>
  <si>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</si>
  <si>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</si>
  <si>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</si>
  <si>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</si>
  <si>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</si>
  <si>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</si>
  <si>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</si>
  <si>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</si>
  <si>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</si>
  <si>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</si>
  <si>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</si>
  <si>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</si>
  <si>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</si>
  <si>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</si>
  <si>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</si>
  <si>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</si>
  <si>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</si>
  <si>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</si>
  <si>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</si>
  <si>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</si>
  <si>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</si>
  <si>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</si>
  <si>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</si>
  <si>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</si>
  <si>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</si>
  <si>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</si>
  <si>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</si>
  <si>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</si>
  <si>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</si>
  <si>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</si>
  <si>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</si>
  <si>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</si>
  <si>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</si>
  <si>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</si>
  <si>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</si>
  <si>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</si>
  <si>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</si>
  <si>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</si>
  <si>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</si>
  <si>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</si>
  <si>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</si>
  <si>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</si>
  <si>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</si>
  <si>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</si>
  <si>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</si>
  <si>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</si>
  <si>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</si>
  <si>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</si>
  <si>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</si>
  <si>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</si>
  <si>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</si>
  <si>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</si>
  <si>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</si>
  <si>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</si>
  <si>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</si>
  <si>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</si>
  <si>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</si>
  <si>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</si>
  <si>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</si>
  <si>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</si>
  <si>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</si>
  <si>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</si>
  <si>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</si>
  <si>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</si>
  <si>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</si>
  <si>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</si>
  <si>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</si>
  <si>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</si>
  <si>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</si>
  <si>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</si>
  <si>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</si>
  <si>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</si>
  <si>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</si>
  <si>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</si>
  <si>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</si>
  <si>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</si>
  <si>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</si>
  <si>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</si>
  <si>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</si>
  <si>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</si>
  <si>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</si>
  <si>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</si>
  <si>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</si>
  <si>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</si>
  <si>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</si>
  <si>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</si>
  <si>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</si>
  <si>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</si>
  <si>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</si>
  <si>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</si>
  <si>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</si>
  <si>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</si>
  <si>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</si>
  <si>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</si>
  <si>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</si>
  <si>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</si>
  <si>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</si>
  <si>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</si>
  <si>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</si>
  <si>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</si>
  <si>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</si>
  <si>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</si>
  <si>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</si>
  <si>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</si>
  <si>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</si>
  <si>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</si>
  <si>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</si>
  <si>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</si>
  <si>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</si>
  <si>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</si>
  <si>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</si>
  <si>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</si>
  <si>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</si>
  <si>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</si>
  <si>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</si>
  <si>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</si>
  <si>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</si>
  <si>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</si>
  <si>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</si>
  <si>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</si>
  <si>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</si>
  <si>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</si>
  <si>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</si>
  <si>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</si>
  <si>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</si>
  <si>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</si>
  <si>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</si>
  <si>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</si>
  <si>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</si>
  <si>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</si>
  <si>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</si>
  <si>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</si>
  <si>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</si>
  <si>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</si>
  <si>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</si>
  <si>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</si>
  <si>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</si>
  <si>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</si>
  <si>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</si>
  <si>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</si>
  <si>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</si>
  <si>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</si>
  <si>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</si>
  <si>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</si>
  <si>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</si>
  <si>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</si>
  <si>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</si>
  <si>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</si>
  <si>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</si>
  <si>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</si>
  <si>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</si>
  <si>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</si>
  <si>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</si>
  <si>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</si>
  <si>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</si>
  <si>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</si>
  <si>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</si>
  <si>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</si>
  <si>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</si>
  <si>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</si>
  <si>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</si>
  <si>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</si>
  <si>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</si>
  <si>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</si>
  <si>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</si>
  <si>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</si>
  <si>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</si>
  <si>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</si>
  <si>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</si>
  <si>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</si>
  <si>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</si>
  <si>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</si>
  <si>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</si>
  <si>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</si>
  <si>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</si>
  <si>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</si>
  <si>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</si>
  <si>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</si>
  <si>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</si>
  <si>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</si>
  <si>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</si>
  <si>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</si>
  <si>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</si>
  <si>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</si>
  <si>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</si>
  <si>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</si>
  <si>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</si>
  <si>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</si>
  <si>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</si>
  <si>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</si>
  <si>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</si>
  <si>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</si>
  <si>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</si>
  <si>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</si>
  <si>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</si>
  <si>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</si>
  <si>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</si>
  <si>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</si>
  <si>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</si>
  <si>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</si>
  <si>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</si>
  <si>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</si>
  <si>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</si>
  <si>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</si>
  <si>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</si>
  <si>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</si>
  <si>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</si>
  <si>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</si>
  <si>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</si>
  <si>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</si>
  <si>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</si>
  <si>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</si>
  <si>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</si>
  <si>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</si>
  <si>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</si>
  <si>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</si>
  <si>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</si>
  <si>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</si>
  <si>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</si>
  <si>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</si>
  <si>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</si>
  <si>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</si>
  <si>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</si>
  <si>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</si>
  <si>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</si>
  <si>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</si>
  <si>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</si>
  <si>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</si>
  <si>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</si>
  <si>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</si>
  <si>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</si>
  <si>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</si>
  <si>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</si>
  <si>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</si>
  <si>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</si>
  <si>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</si>
  <si>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</si>
  <si>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</si>
  <si>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</si>
  <si>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</si>
  <si>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</si>
  <si>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</si>
  <si>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</si>
  <si>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</si>
  <si>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</si>
  <si>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</si>
  <si>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</si>
  <si>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</si>
  <si>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</si>
  <si>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</si>
  <si>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</si>
  <si>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</si>
  <si>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</si>
  <si>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</si>
  <si>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</si>
  <si>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</si>
  <si>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</si>
  <si>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</si>
  <si>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</si>
  <si>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</si>
  <si>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</si>
  <si>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</si>
  <si>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</si>
  <si>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</si>
  <si>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</si>
  <si>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</si>
  <si>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</si>
  <si>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</si>
  <si>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</si>
  <si>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</si>
  <si>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</si>
  <si>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</si>
  <si>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</si>
  <si>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</si>
  <si>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</si>
  <si>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</si>
  <si>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</si>
  <si>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</si>
  <si>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</si>
  <si>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</si>
  <si>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</si>
  <si>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</si>
  <si>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</si>
  <si>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</si>
  <si>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</si>
  <si>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</si>
  <si>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</si>
  <si>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</si>
  <si>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</si>
  <si>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</si>
  <si>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</si>
  <si>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</si>
  <si>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</si>
  <si>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</si>
  <si>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</si>
  <si>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</si>
  <si>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</si>
  <si>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</si>
  <si>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</si>
  <si>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</si>
  <si>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</si>
  <si>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</si>
  <si>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</si>
  <si>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</si>
  <si>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</si>
  <si>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</si>
  <si>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</si>
  <si>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</si>
  <si>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</si>
  <si>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</si>
  <si>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</si>
  <si>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</si>
  <si>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</si>
  <si>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</si>
  <si>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</si>
  <si>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</si>
  <si>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</si>
  <si>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</si>
  <si>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</si>
  <si>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</si>
  <si>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</si>
  <si>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</si>
  <si>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</si>
  <si>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</si>
  <si>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</si>
  <si>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</si>
  <si>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</si>
  <si>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</si>
  <si>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</si>
  <si>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</si>
  <si>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</si>
  <si>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</si>
  <si>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</si>
  <si>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</si>
  <si>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</si>
  <si>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</si>
  <si>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</si>
  <si>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</si>
  <si>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</si>
  <si>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</si>
  <si>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</si>
  <si>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</si>
  <si>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</si>
  <si>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</si>
  <si>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</si>
  <si>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</si>
  <si>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</si>
  <si>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</si>
  <si>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</si>
  <si>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</si>
  <si>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</si>
  <si>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</si>
  <si>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</si>
  <si>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</si>
  <si>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</si>
  <si>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</si>
  <si>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</si>
  <si>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</si>
  <si>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</si>
  <si>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</si>
  <si>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</si>
  <si>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</si>
  <si>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</si>
  <si>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</si>
  <si>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</si>
  <si>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</si>
  <si>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</si>
  <si>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</si>
  <si>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</si>
  <si>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</si>
  <si>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</si>
  <si>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</si>
  <si>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</si>
  <si>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</si>
  <si>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</si>
  <si>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</si>
  <si>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</si>
  <si>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</si>
  <si>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</si>
  <si>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</si>
  <si>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</si>
  <si>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</si>
  <si>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</si>
  <si>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</si>
  <si>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</si>
  <si>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</si>
  <si>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</si>
  <si>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</si>
  <si>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</si>
  <si>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</si>
  <si>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</si>
  <si>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</si>
  <si>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</si>
  <si>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</si>
  <si>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</si>
  <si>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</si>
  <si>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</si>
  <si>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</si>
  <si>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</si>
  <si>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</si>
  <si>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</si>
  <si>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</si>
  <si>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</si>
  <si>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</si>
  <si>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</si>
  <si>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</si>
  <si>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</si>
  <si>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</si>
  <si>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</si>
  <si>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</si>
  <si>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</si>
  <si>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</si>
  <si>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</si>
  <si>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</si>
  <si>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</si>
  <si>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</si>
  <si>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</si>
  <si>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</si>
  <si>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</si>
  <si>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</si>
  <si>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</si>
  <si>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</si>
  <si>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</si>
  <si>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</si>
  <si>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</si>
  <si>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</si>
  <si>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</si>
  <si>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</si>
  <si>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</si>
  <si>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</si>
  <si>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</si>
  <si>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</si>
  <si>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</si>
  <si>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</si>
  <si>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</si>
  <si>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</si>
  <si>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</si>
  <si>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</si>
  <si>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</si>
  <si>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</si>
  <si>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</si>
  <si>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</si>
  <si>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</si>
  <si>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</si>
  <si>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</si>
  <si>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</si>
  <si>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</si>
  <si>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</si>
  <si>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</si>
  <si>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</si>
  <si>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</si>
  <si>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</si>
  <si>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</si>
  <si>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</si>
  <si>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</si>
  <si>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</si>
  <si>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</si>
  <si>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</si>
  <si>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</si>
  <si>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</si>
  <si>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</si>
  <si>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</si>
  <si>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</si>
  <si>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</si>
  <si>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</si>
  <si>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</si>
  <si>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</si>
  <si>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</si>
  <si>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</si>
  <si>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</si>
  <si>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</si>
  <si>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</si>
  <si>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</si>
  <si>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</si>
  <si>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</si>
  <si>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</si>
  <si>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</si>
  <si>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</si>
  <si>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</si>
  <si>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</si>
  <si>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</si>
  <si>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</si>
  <si>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</si>
  <si>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</si>
  <si>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</si>
  <si>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</si>
  <si>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</si>
  <si>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</si>
  <si>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</si>
  <si>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</si>
  <si>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</si>
  <si>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</si>
  <si>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</si>
  <si>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</si>
  <si>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</si>
  <si>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</si>
  <si>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</si>
  <si>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</si>
  <si>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</si>
  <si>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</si>
  <si>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</si>
  <si>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</si>
  <si>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</si>
  <si>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</si>
  <si>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</si>
  <si>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</si>
  <si>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</si>
  <si>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</si>
  <si>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</si>
  <si>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</si>
  <si>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</si>
  <si>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</si>
  <si>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</si>
  <si>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</si>
  <si>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</si>
  <si>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</si>
  <si>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</si>
  <si>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</si>
  <si>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</si>
  <si>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</si>
  <si>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</si>
  <si>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</si>
  <si>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</si>
  <si>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</si>
  <si>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</si>
  <si>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</si>
  <si>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</si>
  <si>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</si>
  <si>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</si>
  <si>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</si>
  <si>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</si>
  <si>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</si>
  <si>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</si>
  <si>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</si>
  <si>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</si>
  <si>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</si>
  <si>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</si>
  <si>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</si>
  <si>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</si>
  <si>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</si>
  <si>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</si>
  <si>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</si>
  <si>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</si>
  <si>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</si>
  <si>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</si>
  <si>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</si>
  <si>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</si>
  <si>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</si>
  <si>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</si>
  <si>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</si>
  <si>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</si>
  <si>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</si>
  <si>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</si>
  <si>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</si>
  <si>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</si>
  <si>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</si>
  <si>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</si>
  <si>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</si>
  <si>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</si>
  <si>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</si>
  <si>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</si>
  <si>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</si>
  <si>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</si>
  <si>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</si>
  <si>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</si>
  <si>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</si>
  <si>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</si>
  <si>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</si>
  <si>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</si>
  <si>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</si>
  <si>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</si>
  <si>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</si>
  <si>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</si>
  <si>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</si>
  <si>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</si>
  <si>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</si>
  <si>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</si>
  <si>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</si>
  <si>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</si>
  <si>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</si>
  <si>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</si>
  <si>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</si>
  <si>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</si>
  <si>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</si>
  <si>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</si>
  <si>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</si>
  <si>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</si>
  <si>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</si>
  <si>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</si>
  <si>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</si>
  <si>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</si>
  <si>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</si>
  <si>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</si>
  <si>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</si>
  <si>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</si>
  <si>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</si>
  <si>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</si>
  <si>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</si>
  <si>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</si>
  <si>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</si>
  <si>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</si>
  <si>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</si>
  <si>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</si>
  <si>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</si>
  <si>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</si>
  <si>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</si>
  <si>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</si>
  <si>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</si>
  <si>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</si>
  <si>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</si>
  <si>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</si>
  <si>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</si>
  <si>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</si>
  <si>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</si>
  <si>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</si>
  <si>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</si>
  <si>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</si>
  <si>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</si>
  <si>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</si>
  <si>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</si>
  <si>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</si>
  <si>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</si>
  <si>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</si>
  <si>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</si>
  <si>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</si>
  <si>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</si>
  <si>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</si>
  <si>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</si>
  <si>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</si>
  <si>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</si>
  <si>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</si>
  <si>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</si>
  <si>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</si>
  <si>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</si>
  <si>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</si>
  <si>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</si>
  <si>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</si>
  <si>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</si>
  <si>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</si>
  <si>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</si>
  <si>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</si>
  <si>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</si>
  <si>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</si>
  <si>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</si>
  <si>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</si>
  <si>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</si>
  <si>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</si>
  <si>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</si>
  <si>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</si>
  <si>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</si>
  <si>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</si>
  <si>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</si>
  <si>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</si>
  <si>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</si>
  <si>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</si>
  <si>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</si>
  <si>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</si>
  <si>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</si>
  <si>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</si>
  <si>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</si>
  <si>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</si>
  <si>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</si>
  <si>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</si>
  <si>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</si>
  <si>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</si>
  <si>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</si>
  <si>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</si>
  <si>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</si>
  <si>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</si>
  <si>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</si>
  <si>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</si>
  <si>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</si>
  <si>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</si>
  <si>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</si>
  <si>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</si>
  <si>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</si>
  <si>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</si>
  <si>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</si>
  <si>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</si>
  <si>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</si>
  <si>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</si>
  <si>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</si>
  <si>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</si>
  <si>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</si>
  <si>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</si>
  <si>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</si>
  <si>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</si>
  <si>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</si>
  <si>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</si>
  <si>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</si>
  <si>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</si>
  <si>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</si>
  <si>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</si>
  <si>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</si>
  <si>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</si>
  <si>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</si>
  <si>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</si>
  <si>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</si>
  <si>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</si>
  <si>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</si>
  <si>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</si>
  <si>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</si>
  <si>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</si>
  <si>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</si>
  <si>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</si>
  <si>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</si>
  <si>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</si>
  <si>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</si>
  <si>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</si>
  <si>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</si>
  <si>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</si>
  <si>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</si>
  <si>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</si>
  <si>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</si>
  <si>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</si>
  <si>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</si>
  <si>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</si>
  <si>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</si>
  <si>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</si>
  <si>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</si>
  <si>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</si>
  <si>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</si>
  <si>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</si>
  <si>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</si>
  <si>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</si>
  <si>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</si>
  <si>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</si>
  <si>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</si>
  <si>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</si>
  <si>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</si>
  <si>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</si>
  <si>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</si>
  <si>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</si>
  <si>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</si>
  <si>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</si>
  <si>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</si>
  <si>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</si>
  <si>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</si>
  <si>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</si>
  <si>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</si>
  <si>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</si>
  <si>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</si>
  <si>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</si>
  <si>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</si>
  <si>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</si>
  <si>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</si>
  <si>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</si>
  <si>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</si>
  <si>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</si>
  <si>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</si>
  <si>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</si>
  <si>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</si>
  <si>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</si>
  <si>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</si>
  <si>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</si>
  <si>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</si>
  <si>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</si>
  <si>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</si>
  <si>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</si>
  <si>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</si>
  <si>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</si>
  <si>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</si>
  <si>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</si>
  <si>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</si>
  <si>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</si>
  <si>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</si>
  <si>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</si>
  <si>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</si>
  <si>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</si>
  <si>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</si>
  <si>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</si>
  <si>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</si>
  <si>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</si>
  <si>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</si>
  <si>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</si>
  <si>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</si>
  <si>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</si>
  <si>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</si>
  <si>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</si>
  <si>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</si>
  <si>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</si>
  <si>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</si>
  <si>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</si>
  <si>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</si>
  <si>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</si>
  <si>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</si>
  <si>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</si>
  <si>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</si>
  <si>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</si>
  <si>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</si>
  <si>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</si>
  <si>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</si>
  <si>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</si>
  <si>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</si>
  <si>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</si>
  <si>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</si>
  <si>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</si>
  <si>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</si>
  <si>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</si>
  <si>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</si>
  <si>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</si>
  <si>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</si>
  <si>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</si>
  <si>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</si>
  <si>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</si>
  <si>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</si>
  <si>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</si>
  <si>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</si>
  <si>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</si>
  <si>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</si>
  <si>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</si>
  <si>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</si>
  <si>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</si>
  <si>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</si>
  <si>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</si>
  <si>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</si>
  <si>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</si>
  <si>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</si>
  <si>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</si>
  <si>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</si>
  <si>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</si>
  <si>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</si>
  <si>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</si>
  <si>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</si>
  <si>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</si>
  <si>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</si>
  <si>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</si>
  <si>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</si>
  <si>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</si>
  <si>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</si>
  <si>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</si>
  <si>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</si>
  <si>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</si>
  <si>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</si>
  <si>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</si>
  <si>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</si>
  <si>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</si>
  <si>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</si>
  <si>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</si>
  <si>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</si>
  <si>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</si>
  <si>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</si>
  <si>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</si>
  <si>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</si>
  <si>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</si>
  <si>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</si>
  <si>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</si>
  <si>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</si>
  <si>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</si>
  <si>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</si>
  <si>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</si>
  <si>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</si>
  <si>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</si>
  <si>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</si>
  <si>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</si>
  <si>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</si>
  <si>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</si>
  <si>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</si>
  <si>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</si>
  <si>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</si>
  <si>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</si>
  <si>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</si>
  <si>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</si>
  <si>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</si>
  <si>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</si>
  <si>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</si>
  <si>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</si>
  <si>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</si>
  <si>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</si>
  <si>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</si>
  <si>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</si>
  <si>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</si>
  <si>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</si>
  <si>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</si>
  <si>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</si>
  <si>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</si>
  <si>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</si>
  <si>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</si>
  <si>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</si>
  <si>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</si>
  <si>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</si>
  <si>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</si>
  <si>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</si>
  <si>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</si>
  <si>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</si>
  <si>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</si>
  <si>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</si>
  <si>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</si>
  <si>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</si>
  <si>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</si>
  <si>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</si>
  <si>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</si>
  <si>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</si>
  <si>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</si>
  <si>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</si>
  <si>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</si>
  <si>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</si>
  <si>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</si>
  <si>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</si>
  <si>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</si>
  <si>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</si>
  <si>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</si>
  <si>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</si>
  <si>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</si>
  <si>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</si>
  <si>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</si>
  <si>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</si>
  <si>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</si>
  <si>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</si>
  <si>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</si>
  <si>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</si>
  <si>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</si>
  <si>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</si>
  <si>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</si>
  <si>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</si>
  <si>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</si>
  <si>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</si>
  <si>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</si>
  <si>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</si>
  <si>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UPSET! Normal winner is 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</si>
  <si>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</si>
  <si>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</si>
  <si>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</si>
  <si>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</si>
  <si>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</si>
  <si>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</si>
  <si>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</si>
  <si>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UPSET! Normal winner is Villanova</t>
  </si>
  <si>
    <t>Wisconsin: 257 - 244 :High Point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</si>
  <si>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</si>
  <si>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</si>
  <si>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</si>
  <si>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</si>
  <si>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</si>
  <si>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</si>
  <si>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</si>
  <si>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</si>
  <si>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</si>
  <si>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</si>
  <si>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</si>
  <si>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</si>
  <si>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</si>
  <si>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419 - 82 :TCU</t>
  </si>
  <si>
    <t>UPSET! Normal winner is Kansas</t>
  </si>
  <si>
    <t>South Florida: 215 - 286 :Michigan State</t>
  </si>
  <si>
    <t>UCF: 197 - 304 :Connecticut</t>
  </si>
  <si>
    <t>Florida: 487 - 14 :Clemson</t>
  </si>
  <si>
    <t>Vanderbilt: 197 - 304 :Nebraska</t>
  </si>
  <si>
    <t>North Carolina: 218 - 283 :Illinois</t>
  </si>
  <si>
    <t>Saint Mary's (CA): 301 - 200 :Houston</t>
  </si>
  <si>
    <t>Arizona: 485 - 16 :Utah State</t>
  </si>
  <si>
    <t>Wisconsin: 184 - 317 :Arkansas</t>
  </si>
  <si>
    <t>Brigham Young: 191 - 310 :Gonzaga</t>
  </si>
  <si>
    <t>Miami (FL): 235 - 266 :Purdue</t>
  </si>
  <si>
    <t>Michigan: 381 - 120 :Saint Louis</t>
  </si>
  <si>
    <t>Texas Tech: 345 - 156 :Alabama</t>
  </si>
  <si>
    <t>Miami (OH): 325 - 176 :Virginia</t>
  </si>
  <si>
    <t>UPSET! Normal winner is Iowa State</t>
  </si>
  <si>
    <t>UPSET! Normal winner is Duke</t>
  </si>
  <si>
    <t>Michigan State: 213 - 288 :Connecticut</t>
  </si>
  <si>
    <t>UPSET! Normal winner is Florida</t>
  </si>
  <si>
    <t>Illinois: 238 - 263 :Saint Mary's (CA)</t>
  </si>
  <si>
    <t>Arizona: 405 - 96 :Arkansas</t>
  </si>
  <si>
    <t>Gonzaga: 272 - 229 :Purdue</t>
  </si>
  <si>
    <t>Michigan: 177 - 324 :Texas Tech</t>
  </si>
  <si>
    <t>Miami (OH): 361 - 140 :Kentucky</t>
  </si>
  <si>
    <t>UPSET! Normal winner is St. John's (NY)</t>
  </si>
  <si>
    <t>Nebraska: 194 - 307 :Saint Mary's (CA)</t>
  </si>
  <si>
    <t>Arizona: 378 - 123 :Gonzaga</t>
  </si>
  <si>
    <t>Texas Tech: 372 - 129 :Miami (OH)</t>
  </si>
  <si>
    <t>Connecticut: 167 - 334 :Saint Mary's (CA)</t>
  </si>
  <si>
    <t>UPSET! Normal winner is Arizona</t>
  </si>
  <si>
    <t>UPSET! Normal winner is Texas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</si>
</sst>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Iowa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0.55000000000000004</v>
      </c>
      <c r="M14" s="83" t="e" vm="84">
        <f>_xlfn.XLOOKUP(I14,Teams!$C:$C,Teams!$E:$E,,0,1)</f>
        <v>#VALUE!</v>
      </c>
      <c r="N14" s="83">
        <v>0.45</v>
      </c>
      <c r="O14" s="192" t="str">
        <f t="shared" si="3"/>
        <v>Clemson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Villanova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0.27</v>
      </c>
      <c r="M22" s="82" t="e" vm="100">
        <f>_xlfn.XLOOKUP(I22,Teams!$C:$C,Teams!$E:$E,,0,1)</f>
        <v>#VALUE!</v>
      </c>
      <c r="N22" s="82">
        <v>0.73</v>
      </c>
      <c r="O22" s="189" t="str">
        <f t="shared" si="3"/>
        <v>Utah State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Kansas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0.59</v>
      </c>
      <c r="M39" s="82" t="e" vm="71">
        <f>_xlfn.XLOOKUP(I39,Teams!$C:$C,Teams!$E:$E,,0,1)</f>
        <v>#VALUE!</v>
      </c>
      <c r="N39" s="82">
        <v>0.41</v>
      </c>
      <c r="O39" s="189" t="str">
        <f t="shared" si="9"/>
        <v>St. John's (NY)</v>
      </c>
      <c r="P39" s="204" t="e" vm="69">
        <f>_xlfn.XLOOKUP(O39,Teams!$C:$C,Teams!$E:$E,,0,1)</f>
        <v>#VALUE!</v>
      </c>
      <c r="Q39" s="223" t="s">
        <v>1164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Clemson</v>
      </c>
      <c r="C42" s="91" t="str">
        <f t="shared" si="7"/>
        <v>Clemson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80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0.97</v>
      </c>
      <c r="M42" s="145" t="e" vm="83">
        <f>_xlfn.XLOOKUP(I42,Teams!$C:$C,Teams!$E:$E,,0,1)</f>
        <v>#VALUE!</v>
      </c>
      <c r="N42" s="145">
        <v>0.03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Utah State</v>
      </c>
      <c r="C46" s="152" t="str">
        <f t="shared" si="7"/>
        <v>Utah State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137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0.97</v>
      </c>
      <c r="M46" s="84" t="e" vm="100">
        <f>_xlfn.XLOOKUP(I46,Teams!$C:$C,Teams!$E:$E,,0,1)</f>
        <v>#VALUE!</v>
      </c>
      <c r="N46" s="84">
        <v>0.03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Virginia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0.65</v>
      </c>
      <c r="M52" s="83" t="e" vm="123">
        <f>_xlfn.XLOOKUP(I52,Teams!$C:$C,Teams!$E:$E,,0,1)</f>
        <v>#VALUE!</v>
      </c>
      <c r="N52" s="83">
        <v>0.35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Iowa State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0.75</v>
      </c>
      <c r="M53" s="151" t="e" vm="127">
        <f>_xlfn.XLOOKUP(I53,Teams!$C:$C,Teams!$E:$E,,0,1)</f>
        <v>#VALUE!</v>
      </c>
      <c r="N53" s="151">
        <v>0.25</v>
      </c>
      <c r="O53" s="197" t="str">
        <f t="shared" si="9"/>
        <v>Kentucky</v>
      </c>
      <c r="P53" s="212" t="e" vm="125">
        <f>_xlfn.XLOOKUP(O53,Teams!$C:$C,Teams!$E:$E,,0,1)</f>
        <v>#VALUE!</v>
      </c>
      <c r="Q53" s="227" t="s">
        <v>1178</v>
      </c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St. John's (NY)</v>
      </c>
      <c r="C55" s="91" t="str">
        <f t="shared" ref="C55:C62" si="12">IF(O55="","",IF(A55=O55,B55,A55))</f>
        <v>Duke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919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0.37</v>
      </c>
      <c r="M55" s="97" t="e" vm="69">
        <f>_xlfn.XLOOKUP(I55,Teams!$C:$C,Teams!$E:$E,,0,1)</f>
        <v>#VALUE!</v>
      </c>
      <c r="N55" s="97">
        <v>0.63</v>
      </c>
      <c r="O55" s="188" t="str">
        <f t="shared" ref="O55:O62" si="14">IF(L55&gt;N55,G55,I55)</f>
        <v>St. John's (NY)</v>
      </c>
      <c r="P55" s="204" t="e" vm="69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Michigan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0.43</v>
      </c>
      <c r="M56" s="139" t="e" vm="79">
        <f>_xlfn.XLOOKUP(I56,Teams!$C:$C,Teams!$E:$E,,0,1)</f>
        <v>#VALUE!</v>
      </c>
      <c r="N56" s="139">
        <v>0.56999999999999995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Florida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0.21</v>
      </c>
      <c r="M57" s="145" t="e" vm="87">
        <f>_xlfn.XLOOKUP(I57,Teams!$C:$C,Teams!$E:$E,,0,1)</f>
        <v>#VALUE!</v>
      </c>
      <c r="N57" s="145">
        <v>0.79</v>
      </c>
      <c r="O57" s="196" t="str">
        <f t="shared" si="14"/>
        <v>Nebraska</v>
      </c>
      <c r="P57" s="211" t="e" vm="87">
        <f>_xlfn.XLOOKUP(O57,Teams!$C:$C,Teams!$E:$E,,0,1)</f>
        <v>#VALUE!</v>
      </c>
      <c r="Q57" s="225" t="s">
        <v>1181</v>
      </c>
      <c r="R57" s="6" t="b">
        <f t="shared" si="5"/>
        <v>1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Kentucky</v>
      </c>
      <c r="C62" s="91" t="str">
        <f t="shared" si="12"/>
        <v>Kentucky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131</v>
      </c>
      <c r="J62" s="150" cm="1">
        <f t="array" ref="J62">_xlfn.XLOOKUP(I62,Teams[[#All],[Team]],Teams[[#All],[Seed]],0,0,1)</f>
        <v>7</v>
      </c>
      <c r="K62" s="151" t="e" vm="122">
        <f>_xlfn.XLOOKUP(G62,Teams!$C:$C,Teams!$E:$E,,0,1)</f>
        <v>#VALUE!</v>
      </c>
      <c r="L62" s="151">
        <v>0.72</v>
      </c>
      <c r="M62" s="151" t="e" vm="125">
        <f>_xlfn.XLOOKUP(I62,Teams!$C:$C,Teams!$E:$E,,0,1)</f>
        <v>#VALUE!</v>
      </c>
      <c r="N62" s="151">
        <v>0.28000000000000003</v>
      </c>
      <c r="O62" s="197" t="str">
        <f t="shared" si="14"/>
        <v>Miami (OH)</v>
      </c>
      <c r="P62" s="212" t="e" vm="122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St. John's (NY)</v>
      </c>
      <c r="B64" s="91" t="str">
        <f>I64</f>
        <v>Connecticut</v>
      </c>
      <c r="C64" s="91" t="str">
        <f>IF(O64="","",IF(A64=O64,B64,A64))</f>
        <v>St. John's (NY)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5</v>
      </c>
      <c r="G64" s="155" t="s">
        <v>919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9">
        <f>_xlfn.XLOOKUP(G64,Teams!$C:$C,Teams!$E:$E,,0,1)</f>
        <v>#VALUE!</v>
      </c>
      <c r="L64" s="158">
        <v>0.36</v>
      </c>
      <c r="M64" s="158" t="e" vm="79">
        <f>_xlfn.XLOOKUP(I64,Teams!$C:$C,Teams!$E:$E,,0,1)</f>
        <v>#VALUE!</v>
      </c>
      <c r="N64" s="158">
        <v>0.64</v>
      </c>
      <c r="O64" s="198" t="str">
        <f>IF(L64&gt;N64,G64,I64)</f>
        <v>Connecticut</v>
      </c>
      <c r="P64" s="204" t="e" vm="79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Nebraska</v>
      </c>
      <c r="B65" s="91" t="str">
        <f>I65</f>
        <v>Saint Mary's (CA)</v>
      </c>
      <c r="C65" s="91" t="str">
        <f>IF(O65="","",IF(A65=O65,B65,A65))</f>
        <v>Nebraska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4</v>
      </c>
      <c r="G65" s="161" t="s">
        <v>642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7">
        <f>_xlfn.XLOOKUP(G65,Teams!$C:$C,Teams!$E:$E,,0,1)</f>
        <v>#VALUE!</v>
      </c>
      <c r="L65" s="164">
        <v>0.39</v>
      </c>
      <c r="M65" s="164" t="e" vm="93">
        <f>_xlfn.XLOOKUP(I65,Teams!$C:$C,Teams!$E:$E,,0,1)</f>
        <v>#VALUE!</v>
      </c>
      <c r="N65" s="164">
        <v>0.61</v>
      </c>
      <c r="O65" s="199" t="str">
        <f>IF(L65&gt;N65,G65,I65)</f>
        <v>Saint Mary's (CA)</v>
      </c>
      <c r="P65" s="207" t="e" vm="93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0.75</v>
      </c>
      <c r="M66" s="158" t="e" vm="107">
        <f>_xlfn.XLOOKUP(I66,Teams!$C:$C,Teams!$E:$E,,0,1)</f>
        <v>#VALUE!</v>
      </c>
      <c r="N66" s="158">
        <v>0.25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Miami (OH)</v>
      </c>
      <c r="C67" s="91" t="str">
        <f>IF(O67="","",IF(A67=O67,B67,A67))</f>
        <v>Miami (OH)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588</v>
      </c>
      <c r="J67" s="163" cm="1">
        <f t="array" ref="J67">_xlfn.XLOOKUP(I67,Teams[[#All],[Team]],Teams[[#All],[Seed]],0,0,1)</f>
        <v>11</v>
      </c>
      <c r="K67" s="164" t="e" vm="117">
        <f>_xlfn.XLOOKUP(G67,Teams!$C:$C,Teams!$E:$E,,0,1)</f>
        <v>#VALUE!</v>
      </c>
      <c r="L67" s="164">
        <v>0.74</v>
      </c>
      <c r="M67" s="164" t="e" vm="122">
        <f>_xlfn.XLOOKUP(I67,Teams!$C:$C,Teams!$E:$E,,0,1)</f>
        <v>#VALUE!</v>
      </c>
      <c r="N67" s="164">
        <v>0.26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Connecticut</v>
      </c>
      <c r="B69" s="91" t="str">
        <f>I69</f>
        <v>Saint Mary's (CA)</v>
      </c>
      <c r="C69" s="91" t="str">
        <f>IF(O69="","",IF(A69=O69,B69,A69))</f>
        <v>Connecticut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2</v>
      </c>
      <c r="G69" s="167" t="s">
        <v>88</v>
      </c>
      <c r="H69" s="187" t="s">
        <v>9</v>
      </c>
      <c r="I69" s="168" t="s">
        <v>832</v>
      </c>
      <c r="J69" s="169" cm="1">
        <f t="array" ref="J69">_xlfn.XLOOKUP(I69,Teams[[#All],[Team]],Teams[[#All],[Seed]],0,0,1)</f>
        <v>7</v>
      </c>
      <c r="K69" s="170" t="e" vm="79">
        <f>_xlfn.XLOOKUP(G69,Teams!$C:$C,Teams!$E:$E,,0,1)</f>
        <v>#VALUE!</v>
      </c>
      <c r="L69" s="170">
        <v>0.33</v>
      </c>
      <c r="M69" s="170" t="e" vm="93">
        <f>_xlfn.XLOOKUP(I69,Teams!$C:$C,Teams!$E:$E,,0,1)</f>
        <v>#VALUE!</v>
      </c>
      <c r="N69" s="170">
        <v>0.67</v>
      </c>
      <c r="O69" s="200" t="str">
        <f>IF(L69&gt;N69,G69,I69)</f>
        <v>Saint Mary's (CA)</v>
      </c>
      <c r="P69" s="210" t="e" vm="93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Texas Tech</v>
      </c>
      <c r="C70" s="91" t="str">
        <f>IF(O70="","",IF(A70=O70,B70,A70))</f>
        <v>Arizona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97">
        <f>_xlfn.XLOOKUP(G70,Teams!$C:$C,Teams!$E:$E,,0,1)</f>
        <v>#VALUE!</v>
      </c>
      <c r="L70" s="164">
        <v>0.37</v>
      </c>
      <c r="M70" s="164" t="e" vm="117">
        <f>_xlfn.XLOOKUP(I70,Teams!$C:$C,Teams!$E:$E,,0,1)</f>
        <v>#VALUE!</v>
      </c>
      <c r="N70" s="164">
        <v>0.63</v>
      </c>
      <c r="O70" s="199" t="str">
        <f>IF(L70&gt;N70,G70,I70)</f>
        <v>Texas Tech</v>
      </c>
      <c r="P70" s="213" t="e" vm="11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Saint Mary's (CA)</v>
      </c>
      <c r="B72" s="91" t="str">
        <f>I72</f>
        <v>Texas Tech</v>
      </c>
      <c r="C72" s="91" t="str">
        <f>IF(O72="","",IF(A72=O72,B72,A72))</f>
        <v>Texas Tech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7</v>
      </c>
      <c r="G72" s="155" t="s">
        <v>832</v>
      </c>
      <c r="H72" s="185" t="s">
        <v>9</v>
      </c>
      <c r="I72" s="156" t="s">
        <v>106</v>
      </c>
      <c r="J72" s="157" cm="1">
        <f t="array" ref="J72">_xlfn.XLOOKUP(I72,Teams[[#All],[Team]],Teams[[#All],[Seed]],0,0,1)</f>
        <v>5</v>
      </c>
      <c r="K72" s="158" t="e" vm="93">
        <f>_xlfn.XLOOKUP(G72,Teams!$C:$C,Teams!$E:$E,,0,1)</f>
        <v>#VALUE!</v>
      </c>
      <c r="L72" s="158">
        <v>0.65</v>
      </c>
      <c r="M72" s="158" t="e" vm="117">
        <f>_xlfn.XLOOKUP(I72,Teams!$C:$C,Teams!$E:$E,,0,1)</f>
        <v>#VALUE!</v>
      </c>
      <c r="N72" s="158">
        <v>0.35</v>
      </c>
      <c r="O72" s="198" t="str">
        <f>IF(L72&gt;N72,G72,I72)</f>
        <v>Saint Mary's (CA)</v>
      </c>
      <c r="P72" s="205" t="e" vm="93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0.97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0.37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0.81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0.03</v>
      </c>
      <c r="AI9" s="297" t="e" vm="100">
        <f>_xlfn.XLOOKUP(AJ9,Teams!$C:$C,Teams!$E:$E,,0,1)</f>
        <v>#VALUE!</v>
      </c>
      <c r="AJ9" s="262" t="str">
        <f>Games!O22</f>
        <v>Utah State</v>
      </c>
      <c r="AK9" s="58">
        <f>Games!L22</f>
        <v>0.27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St. John's (NY)</v>
      </c>
      <c r="M11" s="247" t="e" vm="69">
        <f>_xlfn.XLOOKUP(L11,Teams!$C:$C,Teams!$E:$E,,0,1)</f>
        <v>#VALUE!</v>
      </c>
      <c r="N11" s="264">
        <f>Games!L64</f>
        <v>0.36</v>
      </c>
      <c r="O11" s="25"/>
      <c r="P11" s="25"/>
      <c r="R11" s="25"/>
      <c r="S11" s="25"/>
      <c r="T11" s="251" t="e" vm="93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0.75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0.73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0.59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0.37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St. John's (NY)</v>
      </c>
      <c r="J15" s="247" t="e" vm="69">
        <f>_xlfn.XLOOKUP(I15,Teams!$C:$C,Teams!$E:$E,,0,1)</f>
        <v>#VALUE!</v>
      </c>
      <c r="K15" s="277">
        <f>Games!N55</f>
        <v>0.63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0.19</v>
      </c>
      <c r="AF15" s="249" t="e" vm="103">
        <f>_xlfn.XLOOKUP(AG15,Teams!$C:$C,Teams!$E:$E,,0,1)</f>
        <v>#VALUE!</v>
      </c>
      <c r="AG15" s="262" t="str">
        <f>Games!O47</f>
        <v>Arkansas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0.41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0.63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Connecticut</v>
      </c>
      <c r="P19" s="247" t="e" vm="79">
        <f>_xlfn.XLOOKUP(O19,Teams!$C:$C,Teams!$E:$E,,0,1)</f>
        <v>#VALUE!</v>
      </c>
      <c r="Q19" s="264">
        <f>Games!L69</f>
        <v>0.33</v>
      </c>
      <c r="R19" s="25"/>
      <c r="S19" s="25"/>
      <c r="T19" s="257"/>
      <c r="U19" s="258"/>
      <c r="V19" s="259"/>
      <c r="W19" s="25"/>
      <c r="X19" s="25"/>
      <c r="Y19" s="264">
        <f>Games!L70</f>
        <v>0.37</v>
      </c>
      <c r="Z19" s="249" t="e" vm="97">
        <f>_xlfn.XLOOKUP(AA19,Teams!$C:$C,Teams!$E:$E,,0,1)</f>
        <v>#VALUE!</v>
      </c>
      <c r="AA19" s="262" t="str">
        <f>Games!O66</f>
        <v>Arizona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0.43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0.54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0.64</v>
      </c>
      <c r="O27" s="25"/>
      <c r="P27" s="25"/>
      <c r="Q27" s="50"/>
      <c r="R27" s="279" t="str">
        <f>Games!O69</f>
        <v>Saint Mary's (CA)</v>
      </c>
      <c r="S27" s="262"/>
      <c r="T27" s="262"/>
      <c r="U27" s="289" t="e" vm="93">
        <f>_xlfn.XLOOKUP(R27,Teams!$C:$C,Teams!$E:$E,,0,1)</f>
        <v>#VALUE!</v>
      </c>
      <c r="V27" s="267">
        <f>Games!L72</f>
        <v>0.65</v>
      </c>
      <c r="W27" s="24"/>
      <c r="X27" s="25"/>
      <c r="Y27" s="56"/>
      <c r="AA27" s="25"/>
      <c r="AB27" s="269">
        <f>Games!N66</f>
        <v>0.25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0.56999999999999995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0.46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Saint Mary's (CA)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0.97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0.76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0.21</v>
      </c>
      <c r="L39" s="25"/>
      <c r="M39" s="25"/>
      <c r="O39" s="25"/>
      <c r="P39" s="25"/>
      <c r="Q39" s="50"/>
      <c r="R39" s="25"/>
      <c r="S39" s="25"/>
      <c r="T39" s="267">
        <f>Games!N72</f>
        <v>0.35</v>
      </c>
      <c r="U39" s="293" t="e" vm="117">
        <f>_xlfn.XLOOKUP(V39,Teams!$C:$C,Teams!$E:$E,,0,1)</f>
        <v>#VALUE!</v>
      </c>
      <c r="V39" s="262" t="str">
        <f>Games!O70</f>
        <v>Texas Tech</v>
      </c>
      <c r="W39" s="262"/>
      <c r="X39" s="295"/>
      <c r="Y39" s="56"/>
      <c r="AA39" s="25"/>
      <c r="AD39" s="25"/>
      <c r="AE39" s="269">
        <f>Games!L61</f>
        <v>0.35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0.55000000000000004</v>
      </c>
      <c r="F41" s="262" t="str">
        <f>Games!O14</f>
        <v>Clemson</v>
      </c>
      <c r="G41" s="247" t="e" vm="83">
        <f>_xlfn.XLOOKUP(F41,Teams!$C:$C,Teams!$E:$E,,0,1)</f>
        <v>#VALUE!</v>
      </c>
      <c r="H41" s="277">
        <f>Games!N42</f>
        <v>0.03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0.24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0.45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Nebraska</v>
      </c>
      <c r="M43" s="247" t="e" vm="87">
        <f>_xlfn.XLOOKUP(L43,Teams!$C:$C,Teams!$E:$E,,0,1)</f>
        <v>#VALUE!</v>
      </c>
      <c r="N43" s="264">
        <f>Games!L65</f>
        <v>0.39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0.74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0.79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Saint Mary's (CA)</v>
      </c>
      <c r="P51" s="247" t="e" vm="93">
        <f>_xlfn.XLOOKUP(O51,Teams!$C:$C,Teams!$E:$E,,0,1)</f>
        <v>#VALUE!</v>
      </c>
      <c r="Q51" s="277">
        <f>Games!N69</f>
        <v>0.67</v>
      </c>
      <c r="R51" s="25"/>
      <c r="S51" s="25"/>
      <c r="T51" s="25"/>
      <c r="U51" s="75"/>
      <c r="V51" s="25"/>
      <c r="W51" s="25"/>
      <c r="X51" s="25"/>
      <c r="Y51" s="269">
        <f>Games!N70</f>
        <v>0.63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0.65</v>
      </c>
      <c r="AI53" s="249" t="e" vm="122">
        <f>_xlfn.XLOOKUP(AJ53,Teams!$C:$C,Teams!$E:$E,,0,1)</f>
        <v>#VALUE!</v>
      </c>
      <c r="AJ53" s="262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0.72</v>
      </c>
      <c r="AF55" s="249" t="e" vm="122">
        <f>_xlfn.XLOOKUP(AG55,Teams!$C:$C,Teams!$E:$E,,0,1)</f>
        <v>#VALUE!</v>
      </c>
      <c r="AG55" s="262" t="str">
        <f>Games!O52</f>
        <v>Miami (OH)</v>
      </c>
      <c r="AH55" s="55"/>
      <c r="AI55" s="51"/>
      <c r="AJ55" s="282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0.35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Saint Mary's (CA)</v>
      </c>
      <c r="M59" s="247" t="e" vm="93">
        <f>_xlfn.XLOOKUP(L59,Teams!$C:$C,Teams!$E:$E,,0,1)</f>
        <v>#VALUE!</v>
      </c>
      <c r="N59" s="277">
        <f>Games!N65</f>
        <v>0.61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0.26</v>
      </c>
      <c r="AC59" s="249" t="e" vm="122">
        <f>_xlfn.XLOOKUP(AD59,Teams!$C:$C,Teams!$E:$E,,0,1)</f>
        <v>#VALUE!</v>
      </c>
      <c r="AD59" s="262" t="str">
        <f>Games!O62</f>
        <v>Miami (OH)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0.75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0.28000000000000003</v>
      </c>
      <c r="AF63" s="249" t="e" vm="125">
        <f>_xlfn.XLOOKUP(AG63,Teams!$C:$C,Teams!$E:$E,,0,1)</f>
        <v>#VALUE!</v>
      </c>
      <c r="AG63" s="262" t="str">
        <f>Games!O53</f>
        <v>Kentucky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0.25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