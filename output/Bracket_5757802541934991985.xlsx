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100143BA-A7A9-43B2-BBF6-A7908BC3732B}" xr6:coauthVersionLast="47" xr6:coauthVersionMax="47" xr10:uidLastSave="{00000000-0000-0000-0000-000000000000}"/>
  <bookViews>
    <workbookView xWindow="1536" yWindow="1536" windowWidth="23040" windowHeight="12120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/>
  <c r="E325" i="6" a="1"/>
  <c r="E325" i="6"/>
  <c r="E326" i="6" a="1"/>
  <c r="E326" i="6"/>
  <c r="E327" i="6" a="1"/>
  <c r="E327" i="6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/>
  <c r="E341" i="6" a="1"/>
  <c r="E341" i="6"/>
  <c r="E342" i="6" a="1"/>
  <c r="E342" i="6"/>
  <c r="E343" i="6" a="1"/>
  <c r="E343" i="6"/>
  <c r="E344" i="6" a="1"/>
  <c r="E344" i="6"/>
  <c r="E345" i="6" a="1"/>
  <c r="E345" i="6"/>
  <c r="E346" i="6" a="1"/>
  <c r="E346" i="6"/>
  <c r="E347" i="6" a="1"/>
  <c r="E347" i="6"/>
  <c r="E348" i="6" a="1"/>
  <c r="E348" i="6"/>
  <c r="E349" i="6" a="1"/>
  <c r="E349" i="6"/>
  <c r="E350" i="6" a="1"/>
  <c r="E350" i="6" s="1"/>
  <c r="E351" i="6" a="1"/>
  <c r="E351" i="6" s="1"/>
  <c r="E352" i="6" a="1"/>
  <c r="E352" i="6" s="1"/>
  <c r="E353" i="6" a="1"/>
  <c r="E353" i="6"/>
  <c r="E354" i="6" a="1"/>
  <c r="E354" i="6" s="1"/>
  <c r="E355" i="6" a="1"/>
  <c r="E355" i="6" s="1"/>
  <c r="E356" i="6" a="1"/>
  <c r="E356" i="6" s="1"/>
  <c r="E357" i="6" a="1"/>
  <c r="E357" i="6"/>
  <c r="E358" i="6" a="1"/>
  <c r="E358" i="6"/>
  <c r="E359" i="6" a="1"/>
  <c r="E359" i="6"/>
  <c r="E360" i="6" a="1"/>
  <c r="E360" i="6"/>
  <c r="E361" i="6" a="1"/>
  <c r="E361" i="6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8" i="2" l="1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F53" i="2" l="1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<sst xmlns="http://schemas.openxmlformats.org/spreadsheetml/2006/main" count="1526" uniqueCount="1194">
  <si>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</si>
  <si>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</si>
  <si>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</si>
  <si>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</si>
  <si>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</si>
  <si>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</si>
  <si>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</si>
  <si>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</si>
  <si>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</si>
  <si>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</si>
  <si>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</si>
  <si>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</si>
  <si>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</si>
  <si>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</si>
  <si>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</si>
  <si>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</si>
  <si>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</si>
  <si>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</si>
  <si>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</si>
  <si>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</si>
  <si>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</si>
  <si>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</si>
  <si>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</si>
  <si>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</si>
  <si>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</si>
  <si>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</si>
  <si>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</si>
  <si>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</si>
  <si>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</si>
  <si>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</si>
  <si>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</si>
  <si>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</si>
  <si>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</si>
  <si>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</si>
  <si>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</si>
  <si>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</si>
  <si>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</si>
  <si>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</si>
  <si>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</si>
  <si>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</si>
  <si>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</si>
  <si>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</si>
  <si>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</si>
  <si>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</si>
  <si>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</si>
  <si>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</si>
  <si>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</si>
  <si>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</si>
  <si>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</si>
  <si>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</si>
  <si>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</si>
  <si>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</si>
  <si>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</si>
  <si>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</si>
  <si>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</si>
  <si>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</si>
  <si>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</si>
  <si>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</si>
  <si>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</si>
  <si>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</si>
  <si>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</si>
  <si>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</si>
  <si>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</si>
  <si>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</si>
  <si>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</si>
  <si>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</si>
  <si>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</si>
  <si>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</si>
  <si>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</si>
  <si>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</si>
  <si>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</si>
  <si>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</si>
  <si>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</si>
  <si>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</si>
  <si>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</si>
  <si>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</si>
  <si>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</si>
  <si>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</si>
  <si>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</si>
  <si>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</si>
  <si>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</si>
  <si>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</si>
  <si>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</si>
  <si>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</si>
  <si>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</si>
  <si>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</si>
  <si>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</si>
  <si>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</si>
  <si>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</si>
  <si>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</si>
  <si>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</si>
  <si>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</si>
  <si>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</si>
  <si>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</si>
  <si>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</si>
  <si>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</si>
  <si>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</si>
  <si>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</si>
  <si>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</si>
  <si>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</si>
  <si>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</si>
  <si>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</si>
  <si>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</si>
  <si>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</si>
  <si>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</si>
  <si>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</si>
  <si>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</si>
  <si>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</si>
  <si>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</si>
  <si>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</si>
  <si>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</si>
  <si>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</si>
  <si>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</si>
  <si>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</si>
  <si>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</si>
  <si>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</si>
  <si>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</si>
  <si>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</si>
  <si>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</si>
  <si>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</si>
  <si>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</si>
  <si>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</si>
  <si>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</si>
  <si>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</si>
  <si>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</si>
  <si>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</si>
  <si>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</si>
  <si>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</si>
  <si>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</si>
  <si>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</si>
  <si>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</si>
  <si>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</si>
  <si>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</si>
  <si>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</si>
  <si>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</si>
  <si>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</si>
  <si>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</si>
  <si>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</si>
  <si>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</si>
  <si>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</si>
  <si>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</si>
  <si>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</si>
  <si>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</si>
  <si>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</si>
  <si>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</si>
  <si>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</si>
  <si>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</si>
  <si>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</si>
  <si>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</si>
  <si>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</si>
  <si>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</si>
  <si>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</si>
  <si>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</si>
  <si>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</si>
  <si>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</si>
  <si>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</si>
  <si>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</si>
  <si>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</si>
  <si>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</si>
  <si>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</si>
  <si>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</si>
  <si>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</si>
  <si>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</si>
  <si>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</si>
  <si>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</si>
  <si>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</si>
  <si>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</si>
  <si>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</si>
  <si>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</si>
  <si>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</si>
  <si>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</si>
  <si>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</si>
  <si>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</si>
  <si>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</si>
  <si>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</si>
  <si>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</si>
  <si>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</si>
  <si>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</si>
  <si>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</si>
  <si>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</si>
  <si>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</si>
  <si>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</si>
  <si>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</si>
  <si>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</si>
  <si>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</si>
  <si>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</si>
  <si>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</si>
  <si>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</si>
  <si>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</si>
  <si>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</si>
  <si>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</si>
  <si>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</si>
  <si>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</si>
  <si>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</si>
  <si>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</si>
  <si>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</si>
  <si>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</si>
  <si>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</si>
  <si>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</si>
  <si>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</si>
  <si>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</si>
  <si>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</si>
  <si>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</si>
  <si>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</si>
  <si>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</si>
  <si>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</si>
  <si>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</si>
  <si>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</si>
  <si>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</si>
  <si>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</si>
  <si>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</si>
  <si>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</si>
  <si>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</si>
  <si>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</si>
  <si>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</si>
  <si>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</si>
  <si>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</si>
  <si>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</si>
  <si>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</si>
  <si>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</si>
  <si>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</si>
  <si>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</si>
  <si>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</si>
  <si>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</si>
  <si>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</si>
  <si>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</si>
  <si>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</si>
  <si>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</si>
  <si>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</si>
  <si>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</si>
  <si>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</si>
  <si>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</si>
  <si>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</si>
  <si>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</si>
  <si>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</si>
  <si>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</si>
  <si>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</si>
  <si>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</si>
  <si>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</si>
  <si>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</si>
  <si>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</si>
  <si>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</si>
  <si>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</si>
  <si>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</si>
  <si>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</si>
  <si>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</si>
  <si>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</si>
  <si>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</si>
  <si>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</si>
  <si>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</si>
  <si>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</si>
  <si>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</si>
  <si>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</si>
  <si>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</si>
  <si>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</si>
  <si>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</si>
  <si>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</si>
  <si>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</si>
  <si>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</si>
  <si>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</si>
  <si>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</si>
  <si>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</si>
  <si>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</si>
  <si>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</si>
  <si>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</si>
  <si>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</si>
  <si>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</si>
  <si>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</si>
  <si>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</si>
  <si>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</si>
  <si>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</si>
  <si>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</si>
  <si>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</si>
  <si>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</si>
  <si>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</si>
  <si>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</si>
  <si>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</si>
  <si>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</si>
  <si>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</si>
  <si>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</si>
  <si>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</si>
  <si>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</si>
  <si>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</si>
  <si>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</si>
  <si>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</si>
  <si>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</si>
  <si>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</si>
  <si>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</si>
  <si>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</si>
  <si>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</si>
  <si>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</si>
  <si>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</si>
  <si>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</si>
  <si>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</si>
  <si>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</si>
  <si>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</si>
  <si>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</si>
  <si>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</si>
  <si>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</si>
  <si>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</si>
  <si>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</si>
  <si>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</si>
  <si>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</si>
  <si>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</si>
  <si>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</si>
  <si>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</si>
  <si>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</si>
  <si>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</si>
  <si>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</si>
  <si>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</si>
  <si>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</si>
  <si>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</si>
  <si>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</si>
  <si>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</si>
  <si>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</si>
  <si>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</si>
  <si>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</si>
  <si>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</si>
  <si>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</si>
  <si>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</si>
  <si>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</si>
  <si>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</si>
  <si>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</si>
  <si>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</si>
  <si>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</si>
  <si>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</si>
  <si>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</si>
  <si>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</si>
  <si>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</si>
  <si>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</si>
  <si>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</si>
  <si>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</si>
  <si>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</si>
  <si>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</si>
  <si>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</si>
  <si>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</si>
  <si>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</si>
  <si>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</si>
  <si>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</si>
  <si>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</si>
  <si>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</si>
  <si>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</si>
  <si>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</si>
  <si>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</si>
  <si>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</si>
  <si>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</si>
  <si>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</si>
  <si>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</si>
  <si>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</si>
  <si>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</si>
  <si>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</si>
  <si>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</si>
  <si>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</si>
  <si>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</si>
  <si>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</si>
  <si>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</si>
  <si>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</si>
  <si>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</si>
  <si>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</si>
  <si>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</si>
  <si>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</si>
  <si>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</si>
  <si>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</si>
  <si>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</si>
  <si>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</si>
  <si>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</si>
  <si>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</si>
  <si>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</si>
  <si>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</si>
  <si>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</si>
  <si>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</si>
  <si>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</si>
  <si>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</si>
  <si>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</si>
  <si>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</si>
  <si>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</si>
  <si>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</si>
  <si>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</si>
  <si>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</si>
  <si>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</si>
  <si>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</si>
  <si>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</si>
  <si>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</si>
  <si>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</si>
  <si>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</si>
  <si>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</si>
  <si>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</si>
  <si>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</si>
  <si>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</si>
  <si>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</si>
  <si>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</si>
  <si>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</si>
  <si>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</si>
  <si>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</si>
  <si>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</si>
  <si>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</si>
  <si>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</si>
  <si>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</si>
  <si>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</si>
  <si>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</si>
  <si>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</si>
  <si>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</si>
  <si>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</si>
  <si>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</si>
  <si>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</si>
  <si>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</si>
  <si>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</si>
  <si>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</si>
  <si>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</si>
  <si>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</si>
  <si>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</si>
  <si>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</si>
  <si>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</si>
  <si>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</si>
  <si>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</si>
  <si>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</si>
  <si>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</si>
  <si>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</si>
  <si>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</si>
  <si>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</si>
  <si>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</si>
  <si>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</si>
  <si>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</si>
  <si>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</si>
  <si>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</si>
  <si>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</si>
  <si>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</si>
  <si>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</si>
  <si>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</si>
  <si>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</si>
  <si>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</si>
  <si>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</si>
  <si>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</si>
  <si>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</si>
  <si>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</si>
  <si>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</si>
  <si>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</si>
  <si>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</si>
  <si>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</si>
  <si>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</si>
  <si>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</si>
  <si>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</si>
  <si>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</si>
  <si>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</si>
  <si>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</si>
  <si>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</si>
  <si>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</si>
  <si>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</si>
  <si>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</si>
  <si>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</si>
  <si>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</si>
  <si>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</si>
  <si>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</si>
  <si>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</si>
  <si>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</si>
  <si>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</si>
  <si>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</si>
  <si>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</si>
  <si>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</si>
  <si>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</si>
  <si>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</si>
  <si>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</si>
  <si>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</si>
  <si>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</si>
  <si>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</si>
  <si>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</si>
  <si>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</si>
  <si>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</si>
  <si>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</si>
  <si>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</si>
  <si>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</si>
  <si>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</si>
  <si>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</si>
  <si>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</si>
  <si>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</si>
  <si>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</si>
  <si>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</si>
  <si>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</si>
  <si>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</si>
  <si>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</si>
  <si>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</si>
  <si>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</si>
  <si>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</si>
  <si>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</si>
  <si>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</si>
  <si>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</si>
  <si>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</si>
  <si>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</si>
  <si>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</si>
  <si>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</si>
  <si>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</si>
  <si>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</si>
  <si>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</si>
  <si>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</si>
  <si>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</si>
  <si>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</si>
  <si>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</si>
  <si>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</si>
  <si>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</si>
  <si>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</si>
  <si>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</si>
  <si>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</si>
  <si>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</si>
  <si>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</si>
  <si>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</si>
  <si>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</si>
  <si>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</si>
  <si>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</si>
  <si>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</si>
  <si>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</si>
  <si>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</si>
  <si>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</si>
  <si>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</si>
  <si>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</si>
  <si>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</si>
  <si>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</si>
  <si>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</si>
  <si>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</si>
  <si>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</si>
  <si>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</si>
  <si>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</si>
  <si>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</si>
  <si>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</si>
  <si>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</si>
  <si>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</si>
  <si>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</si>
  <si>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</si>
  <si>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</si>
  <si>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</si>
  <si>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</si>
  <si>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</si>
  <si>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</si>
  <si>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</si>
  <si>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</si>
  <si>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</si>
  <si>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</si>
  <si>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</si>
  <si>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</si>
  <si>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</si>
  <si>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</si>
  <si>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</si>
  <si>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</si>
  <si>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</si>
  <si>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</si>
  <si>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</si>
  <si>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</si>
  <si>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</si>
  <si>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</si>
  <si>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</si>
  <si>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</si>
  <si>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</si>
  <si>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</si>
  <si>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</si>
  <si>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</si>
  <si>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</si>
  <si>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</si>
  <si>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</si>
  <si>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</si>
  <si>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</si>
  <si>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</si>
  <si>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</si>
  <si>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</si>
  <si>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</si>
  <si>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</si>
  <si>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</si>
  <si>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</si>
  <si>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</si>
  <si>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</si>
  <si>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</si>
  <si>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</si>
  <si>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</si>
  <si>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</si>
  <si>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</si>
  <si>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</si>
  <si>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</si>
  <si>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</si>
  <si>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</si>
  <si>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</si>
  <si>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</si>
  <si>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</si>
  <si>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</si>
  <si>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</si>
  <si>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</si>
  <si>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</si>
  <si>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</si>
  <si>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</si>
  <si>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</si>
  <si>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</si>
  <si>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</si>
  <si>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</si>
  <si>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</si>
  <si>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</si>
  <si>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</si>
  <si>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</si>
  <si>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</si>
  <si>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</si>
  <si>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</si>
  <si>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</si>
  <si>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</si>
  <si>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</si>
  <si>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</si>
  <si>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</si>
  <si>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</si>
  <si>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</si>
  <si>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</si>
  <si>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</si>
  <si>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</si>
  <si>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</si>
  <si>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</si>
  <si>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</si>
  <si>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</si>
  <si>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</si>
  <si>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</si>
  <si>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</si>
  <si>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</si>
  <si>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</si>
  <si>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</si>
  <si>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</si>
  <si>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</si>
  <si>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</si>
  <si>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</si>
  <si>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</si>
  <si>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</si>
  <si>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</si>
  <si>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</si>
  <si>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</si>
  <si>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</si>
  <si>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</si>
  <si>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</si>
  <si>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</si>
  <si>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</si>
  <si>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</si>
  <si>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</si>
  <si>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</si>
  <si>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</si>
  <si>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</si>
  <si>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</si>
  <si>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</si>
  <si>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</si>
  <si>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</si>
  <si>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</si>
  <si>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</si>
  <si>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</si>
  <si>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</si>
  <si>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</si>
  <si>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</si>
  <si>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</si>
  <si>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</si>
  <si>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</si>
  <si>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</si>
  <si>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</si>
  <si>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</si>
  <si>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</si>
  <si>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</si>
  <si>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</si>
  <si>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</si>
  <si>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</si>
  <si>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</si>
  <si>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</si>
  <si>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</si>
  <si>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</si>
  <si>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</si>
  <si>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</si>
  <si>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</si>
  <si>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</si>
  <si>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</si>
  <si>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</si>
  <si>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</si>
  <si>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</si>
  <si>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</si>
  <si>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</si>
  <si>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</si>
  <si>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</si>
  <si>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</si>
  <si>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</si>
  <si>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</si>
  <si>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</si>
  <si>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</si>
  <si>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</si>
  <si>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</si>
  <si>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</si>
  <si>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</si>
  <si>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</si>
  <si>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</si>
  <si>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</si>
  <si>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</si>
  <si>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</si>
  <si>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</si>
  <si>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</si>
  <si>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</si>
  <si>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</si>
  <si>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</si>
  <si>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</si>
  <si>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</si>
  <si>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</si>
  <si>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</si>
  <si>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</si>
  <si>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</si>
  <si>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</si>
  <si>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</si>
  <si>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</si>
  <si>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</si>
  <si>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</si>
  <si>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</si>
  <si>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</si>
  <si>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</si>
  <si>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</si>
  <si>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</si>
  <si>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</si>
  <si>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</si>
  <si>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</si>
  <si>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</si>
  <si>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</si>
  <si>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</si>
  <si>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</si>
  <si>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</si>
  <si>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</si>
  <si>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</si>
  <si>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</si>
  <si>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</si>
  <si>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</si>
  <si>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</si>
  <si>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</si>
  <si>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</si>
  <si>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</si>
  <si>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</si>
  <si>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</si>
  <si>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</si>
  <si>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</si>
  <si>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</si>
  <si>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</si>
  <si>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</si>
  <si>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</si>
  <si>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</si>
  <si>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</si>
  <si>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</si>
  <si>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</si>
  <si>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</si>
  <si>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</si>
  <si>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</si>
  <si>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</si>
  <si>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</si>
  <si>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</si>
  <si>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</si>
  <si>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</si>
  <si>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</si>
  <si>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</si>
  <si>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</si>
  <si>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</si>
  <si>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</si>
  <si>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</si>
  <si>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</si>
  <si>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</si>
  <si>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</si>
  <si>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</si>
  <si>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</si>
  <si>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</si>
  <si>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</si>
  <si>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</si>
  <si>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</si>
  <si>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</si>
  <si>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</si>
  <si>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</si>
  <si>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</si>
  <si>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</si>
  <si>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</si>
  <si>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</si>
  <si>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</si>
  <si>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</si>
  <si>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</si>
  <si>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</si>
  <si>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</si>
  <si>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</si>
  <si>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</si>
  <si>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</si>
  <si>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</si>
  <si>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</si>
  <si>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</si>
  <si>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</si>
  <si>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</si>
  <si>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</si>
  <si>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</si>
  <si>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</si>
  <si>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</si>
  <si>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</si>
  <si>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</si>
  <si>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</si>
  <si>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</si>
  <si>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</si>
  <si>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</si>
  <si>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</si>
  <si>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</si>
  <si>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</si>
  <si>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</si>
  <si>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</si>
  <si>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</si>
  <si>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</si>
  <si>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</si>
  <si>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</si>
  <si>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</si>
  <si>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</si>
  <si>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</si>
  <si>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</si>
  <si>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</si>
  <si>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</si>
  <si>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</si>
  <si>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</si>
  <si>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</si>
  <si>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</si>
  <si>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</si>
  <si>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</si>
  <si>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</si>
  <si>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</si>
  <si>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</si>
  <si>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</si>
  <si>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</si>
  <si>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</si>
  <si>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</si>
  <si>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</si>
  <si>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</si>
  <si>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</si>
  <si>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</si>
  <si>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</si>
  <si>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</si>
  <si>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</si>
  <si>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</si>
  <si>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</si>
  <si>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</si>
  <si>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</si>
  <si>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</si>
  <si>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</si>
  <si>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</si>
  <si>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</si>
  <si>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</si>
  <si>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</si>
  <si>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</si>
  <si>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</si>
  <si>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</si>
  <si>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</si>
  <si>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</si>
  <si>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</si>
  <si>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</si>
  <si>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</si>
  <si>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</si>
  <si>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</si>
  <si>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</si>
  <si>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</si>
  <si>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</si>
  <si>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</si>
  <si>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</si>
  <si>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</si>
  <si>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</si>
  <si>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</si>
  <si>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</si>
  <si>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</si>
  <si>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</si>
  <si>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</si>
  <si>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</si>
  <si>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</si>
  <si>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</si>
  <si>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</si>
  <si>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</si>
  <si>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</si>
  <si>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</si>
  <si>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</si>
  <si>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</si>
  <si>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</si>
  <si>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</si>
  <si>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</si>
  <si>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</si>
  <si>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</si>
  <si>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</si>
  <si>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</si>
  <si>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</si>
  <si>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</si>
  <si>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</si>
  <si>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</si>
  <si>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</si>
  <si>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</si>
  <si>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</si>
  <si>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</si>
  <si>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</si>
  <si>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</si>
  <si>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</si>
  <si>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</si>
  <si>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</si>
  <si>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</si>
  <si>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</si>
  <si>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</si>
  <si>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</si>
  <si>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</si>
  <si>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</si>
  <si>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</si>
  <si>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</si>
  <si>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</si>
  <si>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</si>
  <si>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</si>
  <si>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</si>
  <si>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</si>
  <si>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</si>
  <si>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</si>
  <si>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</si>
  <si>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</si>
  <si>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</si>
  <si>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</si>
  <si>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</si>
  <si>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</si>
  <si>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</si>
  <si>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</si>
  <si>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</si>
  <si>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</si>
  <si>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</si>
  <si>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</si>
  <si>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</si>
  <si>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</si>
  <si>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</si>
  <si>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</si>
  <si>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</si>
  <si>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</si>
  <si>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</si>
  <si>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</si>
  <si>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</si>
  <si>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</si>
  <si>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</si>
  <si>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</si>
  <si>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</si>
  <si>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</si>
  <si>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</si>
  <si>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</si>
  <si>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</si>
  <si>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</si>
  <si>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</si>
  <si>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</si>
  <si>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</si>
  <si>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</si>
  <si>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</si>
  <si>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</si>
  <si>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</si>
  <si>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</si>
  <si>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</si>
  <si>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</si>
  <si>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</si>
  <si>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</si>
  <si>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</si>
  <si>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</si>
  <si>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</si>
  <si>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</si>
  <si>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</si>
  <si>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</si>
  <si>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</si>
  <si>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</si>
  <si>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</si>
  <si>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</si>
  <si>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</si>
  <si>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</si>
  <si>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</si>
  <si>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</si>
  <si>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</si>
  <si>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</si>
  <si>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</si>
  <si>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</si>
  <si>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</si>
  <si>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</si>
  <si>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</si>
  <si>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</si>
  <si>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</si>
  <si>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</si>
  <si>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</si>
  <si>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</si>
  <si>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</si>
  <si>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</si>
  <si>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</si>
  <si>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</si>
  <si>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</si>
  <si>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</si>
  <si>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</si>
  <si>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</si>
  <si>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</si>
  <si>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</si>
  <si>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</si>
  <si>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</si>
  <si>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</si>
  <si>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</si>
  <si>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</si>
  <si>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</si>
  <si>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</si>
  <si>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</si>
  <si>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</si>
  <si>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</si>
  <si>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</si>
  <si>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</si>
  <si>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</si>
  <si>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</si>
  <si>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</si>
  <si>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</si>
  <si>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</si>
  <si>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</si>
  <si>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</si>
  <si>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</si>
  <si>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</si>
  <si>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</si>
  <si>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</si>
  <si>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</si>
  <si>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</si>
  <si>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</si>
  <si>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</si>
  <si>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</si>
  <si>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</si>
  <si>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</si>
  <si>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</si>
  <si>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</si>
  <si>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</si>
  <si>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</si>
  <si>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</si>
  <si>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</si>
  <si>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</si>
  <si>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</si>
  <si>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</si>
  <si>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</si>
  <si>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</si>
  <si>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</si>
  <si>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</si>
  <si>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</si>
  <si>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</si>
  <si>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</si>
  <si>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</si>
  <si>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</si>
  <si>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</si>
  <si>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</si>
  <si>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</si>
  <si>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</si>
  <si>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</si>
  <si>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</si>
  <si>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</si>
  <si>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</si>
  <si>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</si>
  <si>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</si>
  <si>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</si>
  <si>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</si>
  <si>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</si>
  <si>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</si>
  <si>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</si>
  <si>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</si>
  <si>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</si>
  <si>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</si>
  <si>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</si>
  <si>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</si>
  <si>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</si>
  <si>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</si>
  <si>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</si>
  <si>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</si>
  <si>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</si>
  <si>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</si>
  <si>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</si>
  <si>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</si>
  <si>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</si>
  <si>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</si>
  <si>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</si>
  <si>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</si>
  <si>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</si>
  <si>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</si>
  <si>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</si>
  <si>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</si>
  <si>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</si>
  <si>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</si>
  <si>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</si>
  <si>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</si>
  <si>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</si>
  <si>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</si>
  <si>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</si>
  <si>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</si>
  <si>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</si>
  <si>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</si>
  <si>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</si>
  <si>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</si>
  <si>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</si>
  <si>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</si>
  <si>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</si>
  <si>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</si>
  <si>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</si>
  <si>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</si>
  <si>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</si>
  <si>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</si>
  <si>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</si>
  <si>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</si>
  <si>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</si>
  <si>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</si>
  <si>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</si>
  <si>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</si>
  <si>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</si>
  <si>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</si>
  <si>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</si>
  <si>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</si>
  <si>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</si>
  <si>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</si>
  <si>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</si>
  <si>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</si>
  <si>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</si>
  <si>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</si>
  <si>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</si>
  <si>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</si>
  <si>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</si>
  <si>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</si>
  <si>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</si>
  <si>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</si>
  <si>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</si>
  <si>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</si>
  <si>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</si>
  <si>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</si>
  <si>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</si>
  <si>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</si>
  <si>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</si>
  <si>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</si>
  <si>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</si>
  <si>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</si>
  <si>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</si>
  <si>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</si>
  <si>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</si>
  <si>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</si>
  <si>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</si>
  <si>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</si>
  <si>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</si>
  <si>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</si>
  <si>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</si>
  <si>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</si>
  <si>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</si>
  <si>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</si>
  <si>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</si>
  <si>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</si>
  <si>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</si>
  <si>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</si>
  <si>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491 - 10 :Mount St. Mary's</t>
  </si>
  <si>
    <t>Mississippi State: 168 - 333 :Baylor</t>
  </si>
  <si>
    <t>Oregon: 59 - 442 :Liberty</t>
  </si>
  <si>
    <t>Arizona: 441 - 60 :Akron</t>
  </si>
  <si>
    <t>Brigham Young: 360 - 141 :Virginia Commonwealth</t>
  </si>
  <si>
    <t>Wisconsin: 471 - 30 :Montana</t>
  </si>
  <si>
    <t>Saint Mary's (CA): 355 - 146 :Vanderbilt</t>
  </si>
  <si>
    <t>Alabama: 472 - 29 :Robert Morris</t>
  </si>
  <si>
    <t>Florida: 501 - 0 :Norfolk State</t>
  </si>
  <si>
    <t>Connecticut: 418 - 83 :Oklahoma</t>
  </si>
  <si>
    <t>Memphis: 153 - 348 :Colorado State</t>
  </si>
  <si>
    <t>Maryland: 110 - 391 :Grand Canyon</t>
  </si>
  <si>
    <t>Missouri: 464 - 37 :Drake</t>
  </si>
  <si>
    <t>Texas Tech: 430 - 71 :UNC Wilmington</t>
  </si>
  <si>
    <t>Kansas: 305 - 196 :Arkansas</t>
  </si>
  <si>
    <t>St. John's (NY): 466 - 35 :Omaha</t>
  </si>
  <si>
    <t>Auburn: 479 - 22 :Alabama State</t>
  </si>
  <si>
    <t>UPSET! Normal winner is Louisville</t>
  </si>
  <si>
    <t>Michigan: 455 - 46 :UC San Diego</t>
  </si>
  <si>
    <t>Texas A&amp;M: 152 - 349 :Yale</t>
  </si>
  <si>
    <t>Mississippi: 39 - 462 :North Carolina</t>
  </si>
  <si>
    <t>Iowa State: 478 - 23 :Lipscomb</t>
  </si>
  <si>
    <t>Marquette: 95 - 406 :New Mexico</t>
  </si>
  <si>
    <t>Michigan State: 485 - 16 :Bryant</t>
  </si>
  <si>
    <t>Houston: 483 - 18 :SIU Edwardsville</t>
  </si>
  <si>
    <t>Gonzaga: 374 - 127 :Georgia</t>
  </si>
  <si>
    <t>Clemson: 180 - 321 :McNeese State</t>
  </si>
  <si>
    <t>UPSET! Normal winner is Purdue</t>
  </si>
  <si>
    <t>Illinois: 438 - 63 :Xavier</t>
  </si>
  <si>
    <t>Kentucky: 325 - 176 :Troy</t>
  </si>
  <si>
    <t>UCLA: 317 - 184 :Utah State</t>
  </si>
  <si>
    <t>Tennessee: 363 - 138 :Wofford</t>
  </si>
  <si>
    <t>Duke: 426 - 75 :Baylor</t>
  </si>
  <si>
    <t>Liberty: 60 - 441 :Arizona</t>
  </si>
  <si>
    <t>Brigham Young: 291 - 210 :Wisconsin</t>
  </si>
  <si>
    <t>Saint Mary's (CA): 256 - 245 :Alabama</t>
  </si>
  <si>
    <t>Florida: 399 - 102 :Connecticut</t>
  </si>
  <si>
    <t>UPSET! Normal winner is Grand Canyon</t>
  </si>
  <si>
    <t>Missouri: 57 - 444 :Texas Tech</t>
  </si>
  <si>
    <t>Kansas: 290 - 211 :St. John's (NY)</t>
  </si>
  <si>
    <t>Auburn: 387 - 114 :Creighton</t>
  </si>
  <si>
    <t>Michigan: 384 - 117 :Yale</t>
  </si>
  <si>
    <t>North Carolina: 223 - 278 :Iowa State</t>
  </si>
  <si>
    <t>New Mexico: 218 - 283 :Michigan State</t>
  </si>
  <si>
    <t>Houston: 222 - 279 :Gonzaga</t>
  </si>
  <si>
    <t>McNeese State: 190 - 311 :High Point</t>
  </si>
  <si>
    <t>UPSET! Normal winner is Illinois</t>
  </si>
  <si>
    <t>UCLA: 214 - 287 :Tennessee</t>
  </si>
  <si>
    <t>UPSET! Normal winner is Arizona</t>
  </si>
  <si>
    <t>Brigham Young: 219 - 282 :Saint Mary's (CA)</t>
  </si>
  <si>
    <t>Florida: 492 - 9 :Colorado State</t>
  </si>
  <si>
    <t>Texas Tech: 338 - 163 :Kansas</t>
  </si>
  <si>
    <t>Auburn: 104 - 397 :Michigan</t>
  </si>
  <si>
    <t>Iowa State: 333 - 168 :Michigan State</t>
  </si>
  <si>
    <t>UPSET! Normal winner is Gonzaga</t>
  </si>
  <si>
    <t>Kentucky: 181 - 320 :Tennessee</t>
  </si>
  <si>
    <t>Duke: 301 - 200 :Saint Mary's (CA)</t>
  </si>
  <si>
    <t>Florida: 270 - 231 :Texas Tech</t>
  </si>
  <si>
    <t>Michigan: 291 - 210 :Iowa State</t>
  </si>
  <si>
    <t>High Point: 235 - 266 :Tennessee</t>
  </si>
  <si>
    <t>Florida: 293 - 208 :Duke</t>
  </si>
  <si>
    <t>UPSET! Normal winner is Michigan</t>
  </si>
  <si>
    <t>Florida: 439 - 62 :Tennessee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</si>
</sst>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kentucky-2025.png" TargetMode="External"/><Relationship Id="rId21" Type="http://schemas.openxmlformats.org/officeDocument/2006/relationships/hyperlink" Target="https://cdn.ssref.net/req/202510241/tlogo/ncaa/iowa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grand-canyon-2025.png" TargetMode="External"/><Relationship Id="rId63" Type="http://schemas.openxmlformats.org/officeDocument/2006/relationships/hyperlink" Target="https://cdn.ssref.net/req/202510241/tlogo/ncaa/nebraska-omaha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saint-marys-ca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mcneese-state-2025.png" TargetMode="External"/><Relationship Id="rId11" Type="http://schemas.openxmlformats.org/officeDocument/2006/relationships/hyperlink" Target="https://cdn.ssref.net/req/202510241/tlogo/ncaa/california-san-diego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onnecticut-2025.png" TargetMode="External"/><Relationship Id="rId53" Type="http://schemas.openxmlformats.org/officeDocument/2006/relationships/hyperlink" Target="https://cdn.ssref.net/req/202510241/tlogo/ncaa/texas-tech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akron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utah-state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louisvill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robert-morris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new-mexico-2025.png" TargetMode="External"/><Relationship Id="rId43" Type="http://schemas.openxmlformats.org/officeDocument/2006/relationships/hyperlink" Target="https://cdn.ssref.net/req/202510241/tlogo/ncaa/colorado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mississippi-state-2025.png" TargetMode="External"/><Relationship Id="rId113" Type="http://schemas.openxmlformats.org/officeDocument/2006/relationships/hyperlink" Target="https://cdn.ssref.net/req/202510241/tlogo/ncaa/illinois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wisconsin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mississippi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arkansas-2025.png" TargetMode="External"/><Relationship Id="rId103" Type="http://schemas.openxmlformats.org/officeDocument/2006/relationships/hyperlink" Target="https://cdn.ssref.net/req/202510241/tlogo/ncaa/georgia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liberty-2025.png" TargetMode="External"/><Relationship Id="rId91" Type="http://schemas.openxmlformats.org/officeDocument/2006/relationships/hyperlink" Target="https://cdn.ssref.net/req/202510241/tlogo/ncaa/vanderbilt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ubur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lipscomb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missouri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troy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duke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texas-am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oklahoma-2025.png" TargetMode="External"/><Relationship Id="rId109" Type="http://schemas.openxmlformats.org/officeDocument/2006/relationships/hyperlink" Target="https://cdn.ssref.net/req/202510241/tlogo/ncaa/purdu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north-carolina-wilmington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housto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tennessee-2025.png" TargetMode="External"/><Relationship Id="rId7" Type="http://schemas.openxmlformats.org/officeDocument/2006/relationships/hyperlink" Target="https://cdn.ssref.net/req/202510241/tlogo/ncaa/creighton-2025.png" TargetMode="External"/><Relationship Id="rId71" Type="http://schemas.openxmlformats.org/officeDocument/2006/relationships/hyperlink" Target="https://cdn.ssref.net/req/202510241/tlogo/ncaa/baylor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michigan-state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maryland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montana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xavier-2025.png" TargetMode="External"/><Relationship Id="rId61" Type="http://schemas.openxmlformats.org/officeDocument/2006/relationships/hyperlink" Target="https://cdn.ssref.net/req/202510241/tlogo/ncaa/st-johns-ny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north-carolin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norfolk-state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izona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mson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drak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alabama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ucla-2025.png" TargetMode="External"/><Relationship Id="rId3" Type="http://schemas.openxmlformats.org/officeDocument/2006/relationships/hyperlink" Target="https://cdn.ssref.net/req/202510241/tlogo/ncaa/alabama-state-2025.png" TargetMode="External"/><Relationship Id="rId25" Type="http://schemas.openxmlformats.org/officeDocument/2006/relationships/hyperlink" Target="https://cdn.ssref.net/req/202510241/tlogo/ncaa/marquette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mount-st-marys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memphis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virginia-commonwealth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igh-point-2025.png" TargetMode="External"/><Relationship Id="rId15" Type="http://schemas.openxmlformats.org/officeDocument/2006/relationships/hyperlink" Target="https://cdn.ssref.net/req/202510241/tlogo/ncaa/yal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kansas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wofford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bryant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orego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southern-illinois-edwardsville-2025.png" TargetMode="External"/><Relationship Id="rId101" Type="http://schemas.openxmlformats.org/officeDocument/2006/relationships/hyperlink" Target="https://cdn.ssref.net/req/202510241/tlogo/ncaa/gonzag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michigan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68" zoomScale="85" zoomScaleNormal="85" workbookViewId="0">
      <selection activeCell="B262" sqref="B262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8" activePane="bottomLeft" state="frozen"/>
      <selection pane="bottomLeft" activeCell="I26" sqref="I26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45</v>
      </c>
      <c r="D2" t="str">
        <f>_xlfn.XLOOKUP(Teams[[#This Row],[Team]],Team_Links[School],Team_Links[PartialLink],,0,1)</f>
        <v>auburn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34</v>
      </c>
      <c r="D3" t="str">
        <f>_xlfn.XLOOKUP(Teams[[#This Row],[Team]],Team_Links[School],Team_Links[PartialLink],,0,1)</f>
        <v>alabama-state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122</v>
      </c>
      <c r="D4" t="str">
        <f>_xlfn.XLOOKUP(Teams[[#This Row],[Team]],Team_Links[School],Team_Links[PartialLink],,0,1)</f>
        <v>louisville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91</v>
      </c>
      <c r="D5" t="str">
        <f>_xlfn.XLOOKUP(Teams[[#This Row],[Team]],Team_Links[School],Team_Links[PartialLink],,0,1)</f>
        <v>creighton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120</v>
      </c>
      <c r="D6" t="str">
        <f>_xlfn.XLOOKUP(Teams[[#This Row],[Team]],Team_Links[School],Team_Links[PartialLink],,0,1)</f>
        <v>michigan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126</v>
      </c>
      <c r="D7" t="str">
        <f>_xlfn.XLOOKUP(Teams[[#This Row],[Team]],Team_Links[School],Team_Links[PartialLink],,0,1)</f>
        <v>california-san-diego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119</v>
      </c>
      <c r="D8" t="str">
        <f>_xlfn.XLOOKUP(Teams[[#This Row],[Team]],Team_Links[School],Team_Links[PartialLink],,0,1)</f>
        <v>texas-am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127</v>
      </c>
      <c r="D9" t="str">
        <f>_xlfn.XLOOKUP(Teams[[#This Row],[Team]],Team_Links[School],Team_Links[PartialLink],,0,1)</f>
        <v>yale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604</v>
      </c>
      <c r="D10" t="str">
        <f>_xlfn.XLOOKUP(Teams[[#This Row],[Team]],Team_Links[School],Team_Links[PartialLink],,0,1)</f>
        <v>mississippi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125</v>
      </c>
      <c r="D11" t="str">
        <f>_xlfn.XLOOKUP(Teams[[#This Row],[Team]],Team_Links[School],Team_Links[PartialLink],,0,1)</f>
        <v>north-carolina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118</v>
      </c>
      <c r="D12" t="str">
        <f>_xlfn.XLOOKUP(Teams[[#This Row],[Team]],Team_Links[School],Team_Links[PartialLink],,0,1)</f>
        <v>iowa-state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128</v>
      </c>
      <c r="D13" t="str">
        <f>_xlfn.XLOOKUP(Teams[[#This Row],[Team]],Team_Links[School],Team_Links[PartialLink],,0,1)</f>
        <v>lipscomb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121</v>
      </c>
      <c r="D14" t="str">
        <f>_xlfn.XLOOKUP(Teams[[#This Row],[Team]],Team_Links[School],Team_Links[PartialLink],,0,1)</f>
        <v>marquette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123</v>
      </c>
      <c r="D15" t="str">
        <f>_xlfn.XLOOKUP(Teams[[#This Row],[Team]],Team_Links[School],Team_Links[PartialLink],,0,1)</f>
        <v>new-mexico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117</v>
      </c>
      <c r="D16" t="str">
        <f>_xlfn.XLOOKUP(Teams[[#This Row],[Team]],Team_Links[School],Team_Links[PartialLink],,0,1)</f>
        <v>michigan-state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60</v>
      </c>
      <c r="D17" t="str">
        <f>_xlfn.XLOOKUP(Teams[[#This Row],[Team]],Team_Links[School],Team_Links[PartialLink],,0,1)</f>
        <v>bryant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116</v>
      </c>
      <c r="D19" t="str">
        <f>_xlfn.XLOOKUP(Teams[[#This Row],[Team]],Team_Links[School],Team_Links[PartialLink],,0,1)</f>
        <v>norfolk-state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88</v>
      </c>
      <c r="D20" t="str">
        <f>_xlfn.XLOOKUP(Teams[[#This Row],[Team]],Team_Links[School],Team_Links[PartialLink],,0,1)</f>
        <v>connecticut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111</v>
      </c>
      <c r="D21" t="str">
        <f>_xlfn.XLOOKUP(Teams[[#This Row],[Team]],Team_Links[School],Team_Links[PartialLink],,0,1)</f>
        <v>oklahoma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108</v>
      </c>
      <c r="D22" t="str">
        <f>_xlfn.XLOOKUP(Teams[[#This Row],[Team]],Team_Links[School],Team_Links[PartialLink],,0,1)</f>
        <v>memphis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86</v>
      </c>
      <c r="D23" t="str">
        <f>_xlfn.XLOOKUP(Teams[[#This Row],[Team]],Team_Links[School],Team_Links[PartialLink],,0,1)</f>
        <v>colorado-state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107</v>
      </c>
      <c r="D24" t="str">
        <f>_xlfn.XLOOKUP(Teams[[#This Row],[Team]],Team_Links[School],Team_Links[PartialLink],,0,1)</f>
        <v>maryland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113</v>
      </c>
      <c r="D25" t="str">
        <f>_xlfn.XLOOKUP(Teams[[#This Row],[Team]],Team_Links[School],Team_Links[PartialLink],,0,1)</f>
        <v>grand-canyon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109</v>
      </c>
      <c r="D26" t="str">
        <f>_xlfn.XLOOKUP(Teams[[#This Row],[Team]],Team_Links[School],Team_Links[PartialLink],,0,1)</f>
        <v>missouri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112</v>
      </c>
      <c r="D27" t="str">
        <f>_xlfn.XLOOKUP(Teams[[#This Row],[Team]],Team_Links[School],Team_Links[PartialLink],,0,1)</f>
        <v>drake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106</v>
      </c>
      <c r="D28" t="str">
        <f>_xlfn.XLOOKUP(Teams[[#This Row],[Team]],Team_Links[School],Team_Links[PartialLink],,0,1)</f>
        <v>texas-tech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114</v>
      </c>
      <c r="D29" t="str">
        <f>_xlfn.XLOOKUP(Teams[[#This Row],[Team]],Team_Links[School],Team_Links[PartialLink],,0,1)</f>
        <v>north-carolina-wilmington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110</v>
      </c>
      <c r="D30" t="str">
        <f>_xlfn.XLOOKUP(Teams[[#This Row],[Team]],Team_Links[School],Team_Links[PartialLink],,0,1)</f>
        <v>kansas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41</v>
      </c>
      <c r="D31" t="str">
        <f>_xlfn.XLOOKUP(Teams[[#This Row],[Team]],Team_Links[School],Team_Links[PartialLink],,0,1)</f>
        <v>arkansas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919</v>
      </c>
      <c r="D32" t="str">
        <f>_xlfn.XLOOKUP(Teams[[#This Row],[Team]],Team_Links[School],Team_Links[PartialLink],,0,1)</f>
        <v>st-johns-ny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115</v>
      </c>
      <c r="D33" t="str">
        <f>_xlfn.XLOOKUP(Teams[[#This Row],[Team]],Team_Links[School],Team_Links[PartialLink],,0,1)</f>
        <v>nebraska-omaha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95</v>
      </c>
      <c r="D34" t="str">
        <f>_xlfn.XLOOKUP(Teams[[#This Row],[Team]],Team_Links[School],Team_Links[PartialLink],,0,1)</f>
        <v>duke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104</v>
      </c>
      <c r="D35" t="str">
        <f>_xlfn.XLOOKUP(Teams[[#This Row],[Team]],Team_Links[School],Team_Links[PartialLink],,0,1)</f>
        <v>mount-st-marys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98</v>
      </c>
      <c r="D36" t="str">
        <f>_xlfn.XLOOKUP(Teams[[#This Row],[Team]],Team_Links[School],Team_Links[PartialLink],,0,1)</f>
        <v>mississippi-state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48</v>
      </c>
      <c r="D37" t="str">
        <f>_xlfn.XLOOKUP(Teams[[#This Row],[Team]],Team_Links[School],Team_Links[PartialLink],,0,1)</f>
        <v>baylor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97</v>
      </c>
      <c r="D38" t="str">
        <f>_xlfn.XLOOKUP(Teams[[#This Row],[Team]],Team_Links[School],Team_Links[PartialLink],,0,1)</f>
        <v>oregon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100</v>
      </c>
      <c r="D39" t="str">
        <f>_xlfn.XLOOKUP(Teams[[#This Row],[Team]],Team_Links[School],Team_Links[PartialLink],,0,1)</f>
        <v>liberty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39</v>
      </c>
      <c r="D40" t="str">
        <f>_xlfn.XLOOKUP(Teams[[#This Row],[Team]],Team_Links[School],Team_Links[PartialLink],,0,1)</f>
        <v>arizona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31</v>
      </c>
      <c r="D41" t="str">
        <f>_xlfn.XLOOKUP(Teams[[#This Row],[Team]],Team_Links[School],Team_Links[PartialLink],,0,1)</f>
        <v>akron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1062</v>
      </c>
      <c r="D43" t="str">
        <f>_xlfn.XLOOKUP(Teams[[#This Row],[Team]],Team_Links[School],Team_Links[PartialLink],,0,1)</f>
        <v>virginia-commonwealth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96</v>
      </c>
      <c r="D44" t="str">
        <f>_xlfn.XLOOKUP(Teams[[#This Row],[Team]],Team_Links[School],Team_Links[PartialLink],,0,1)</f>
        <v>wisconsin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101</v>
      </c>
      <c r="D45" t="str">
        <f>_xlfn.XLOOKUP(Teams[[#This Row],[Team]],Team_Links[School],Team_Links[PartialLink],,0,1)</f>
        <v>montana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832</v>
      </c>
      <c r="D46" t="str">
        <f>_xlfn.XLOOKUP(Teams[[#This Row],[Team]],Team_Links[School],Team_Links[PartialLink],,0,1)</f>
        <v>saint-marys-ca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99</v>
      </c>
      <c r="D47" t="str">
        <f>_xlfn.XLOOKUP(Teams[[#This Row],[Team]],Team_Links[School],Team_Links[PartialLink],,0,1)</f>
        <v>vanderbilt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32</v>
      </c>
      <c r="D48" t="str">
        <f>_xlfn.XLOOKUP(Teams[[#This Row],[Team]],Team_Links[School],Team_Links[PartialLink],,0,1)</f>
        <v>alabama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102</v>
      </c>
      <c r="D49" t="str">
        <f>_xlfn.XLOOKUP(Teams[[#This Row],[Team]],Team_Links[School],Team_Links[PartialLink],,0,1)</f>
        <v>robert-morris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129</v>
      </c>
      <c r="D50" t="str">
        <f>_xlfn.XLOOKUP(Teams[[#This Row],[Team]],Team_Links[School],Team_Links[PartialLink],,0,1)</f>
        <v>houston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144</v>
      </c>
      <c r="D51" t="str">
        <f>_xlfn.XLOOKUP(Teams[[#This Row],[Team]],Team_Links[School],Team_Links[PartialLink],,0,1)</f>
        <v>southern-illinois-edwardsville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135</v>
      </c>
      <c r="D52" t="str">
        <f>_xlfn.XLOOKUP(Teams[[#This Row],[Team]],Team_Links[School],Team_Links[PartialLink],,0,1)</f>
        <v>gonzaga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136</v>
      </c>
      <c r="D53" t="str">
        <f>_xlfn.XLOOKUP(Teams[[#This Row],[Team]],Team_Links[School],Team_Links[PartialLink],,0,1)</f>
        <v>georgia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80</v>
      </c>
      <c r="D54" t="str">
        <f>_xlfn.XLOOKUP(Teams[[#This Row],[Team]],Team_Links[School],Team_Links[PartialLink],,0,1)</f>
        <v>clemson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571</v>
      </c>
      <c r="D55" t="str">
        <f>_xlfn.XLOOKUP(Teams[[#This Row],[Team]],Team_Links[School],Team_Links[PartialLink],,0,1)</f>
        <v>mcneese-state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132</v>
      </c>
      <c r="D56" t="str">
        <f>_xlfn.XLOOKUP(Teams[[#This Row],[Team]],Team_Links[School],Team_Links[PartialLink],,0,1)</f>
        <v>purdue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140</v>
      </c>
      <c r="D57" t="str">
        <f>_xlfn.XLOOKUP(Teams[[#This Row],[Team]],Team_Links[School],Team_Links[PartialLink],,0,1)</f>
        <v>high-point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133</v>
      </c>
      <c r="D58" t="str">
        <f>_xlfn.XLOOKUP(Teams[[#This Row],[Team]],Team_Links[School],Team_Links[PartialLink],,0,1)</f>
        <v>illinois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139</v>
      </c>
      <c r="D59" t="str">
        <f>_xlfn.XLOOKUP(Teams[[#This Row],[Team]],Team_Links[School],Team_Links[PartialLink],,0,1)</f>
        <v>xavier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131</v>
      </c>
      <c r="D60" t="str">
        <f>_xlfn.XLOOKUP(Teams[[#This Row],[Team]],Team_Links[School],Team_Links[PartialLink],,0,1)</f>
        <v>kentucky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141</v>
      </c>
      <c r="D61" t="str">
        <f>_xlfn.XLOOKUP(Teams[[#This Row],[Team]],Team_Links[School],Team_Links[PartialLink],,0,1)</f>
        <v>troy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134</v>
      </c>
      <c r="D62" t="str">
        <f>_xlfn.XLOOKUP(Teams[[#This Row],[Team]],Team_Links[School],Team_Links[PartialLink],,0,1)</f>
        <v>ucla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137</v>
      </c>
      <c r="D63" t="str">
        <f>_xlfn.XLOOKUP(Teams[[#This Row],[Team]],Team_Links[School],Team_Links[PartialLink],,0,1)</f>
        <v>utah-state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130</v>
      </c>
      <c r="D64" t="str">
        <f>_xlfn.XLOOKUP(Teams[[#This Row],[Team]],Team_Links[School],Team_Links[PartialLink],,0,1)</f>
        <v>tennessee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142</v>
      </c>
      <c r="D65" t="str">
        <f>_xlfn.XLOOKUP(Teams[[#This Row],[Team]],Team_Links[School],Team_Links[PartialLink],,0,1)</f>
        <v>wofford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Mount St. Mary's</v>
      </c>
      <c r="C5" s="91" t="str">
        <f t="shared" ref="C5:C36" si="1">IF(O5="","",IF(A5=O5,B5,A5))</f>
        <v>Mount St. Mary's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104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0.98</v>
      </c>
      <c r="M5" s="84" t="e" vm="66">
        <f>_xlfn.XLOOKUP(I5,Teams!$C:$C,Teams!$E:$E,,0,1)</f>
        <v>#VALUE!</v>
      </c>
      <c r="N5" s="84">
        <v>0.02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Mississippi State</v>
      </c>
      <c r="B6" s="91" t="str">
        <f t="shared" si="0"/>
        <v>Baylor</v>
      </c>
      <c r="C6" s="91" t="str">
        <f t="shared" si="1"/>
        <v>Mississippi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98</v>
      </c>
      <c r="H6" s="176" t="s">
        <v>9</v>
      </c>
      <c r="I6" s="102" t="s">
        <v>48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0.34</v>
      </c>
      <c r="M6" s="82" t="e" vm="68">
        <f>_xlfn.XLOOKUP(I6,Teams!$C:$C,Teams!$E:$E,,0,1)</f>
        <v>#VALUE!</v>
      </c>
      <c r="N6" s="82">
        <v>0.66</v>
      </c>
      <c r="O6" s="189" t="str">
        <f t="shared" si="3"/>
        <v>Baylor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Oregon</v>
      </c>
      <c r="B7" s="91" t="str">
        <f t="shared" si="0"/>
        <v>Liberty</v>
      </c>
      <c r="C7" s="91" t="str">
        <f t="shared" si="1"/>
        <v>Oregon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97</v>
      </c>
      <c r="H7" s="176" t="s">
        <v>9</v>
      </c>
      <c r="I7" s="102" t="s">
        <v>100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0.12</v>
      </c>
      <c r="M7" s="82" t="e" vm="70">
        <f>_xlfn.XLOOKUP(I7,Teams!$C:$C,Teams!$E:$E,,0,1)</f>
        <v>#VALUE!</v>
      </c>
      <c r="N7" s="82">
        <v>0.88</v>
      </c>
      <c r="O7" s="189" t="str">
        <f t="shared" si="3"/>
        <v>Liberty</v>
      </c>
      <c r="P7" s="204" t="e" vm="70">
        <f>_xlfn.XLOOKUP(O7,Teams!$C:$C,Teams!$E:$E,,0,1)</f>
        <v>#VALUE!</v>
      </c>
      <c r="Q7" s="223" t="s">
        <v>1133</v>
      </c>
      <c r="R7" s="6" t="b">
        <f t="shared" si="5"/>
        <v>1</v>
      </c>
      <c r="S7" s="98"/>
    </row>
    <row r="8" spans="1:19" ht="24" customHeight="1" x14ac:dyDescent="0.25">
      <c r="A8" s="91" t="str">
        <f t="shared" si="4"/>
        <v>Arizona</v>
      </c>
      <c r="B8" s="91" t="str">
        <f t="shared" si="0"/>
        <v>Akron</v>
      </c>
      <c r="C8" s="91" t="str">
        <f t="shared" si="1"/>
        <v>Akron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39</v>
      </c>
      <c r="H8" s="176" t="s">
        <v>9</v>
      </c>
      <c r="I8" s="102" t="s">
        <v>31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0.88</v>
      </c>
      <c r="M8" s="82" t="e" vm="72">
        <f>_xlfn.XLOOKUP(I8,Teams!$C:$C,Teams!$E:$E,,0,1)</f>
        <v>#VALUE!</v>
      </c>
      <c r="N8" s="82">
        <v>0.12</v>
      </c>
      <c r="O8" s="189" t="str">
        <f t="shared" si="3"/>
        <v>Arizona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Brigham Young</v>
      </c>
      <c r="B9" s="91" t="str">
        <f t="shared" si="0"/>
        <v>Virginia Commonwealth</v>
      </c>
      <c r="C9" s="91" t="str">
        <f t="shared" si="1"/>
        <v>Virginia Commonwealth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58</v>
      </c>
      <c r="H9" s="176" t="s">
        <v>9</v>
      </c>
      <c r="I9" s="102" t="s">
        <v>1062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0.72</v>
      </c>
      <c r="M9" s="82" t="e" vm="74">
        <f>_xlfn.XLOOKUP(I9,Teams!$C:$C,Teams!$E:$E,,0,1)</f>
        <v>#VALUE!</v>
      </c>
      <c r="N9" s="82">
        <v>0.28000000000000003</v>
      </c>
      <c r="O9" s="189" t="str">
        <f t="shared" si="3"/>
        <v>Brigham Young</v>
      </c>
      <c r="P9" s="204" t="e" vm="73">
        <f>_xlfn.XLOOKUP(O9,Teams!$C:$C,Teams!$E:$E,,0,1)</f>
        <v>#VALUE!</v>
      </c>
      <c r="Q9" s="223" t="s">
        <v>1135</v>
      </c>
      <c r="R9" s="6" t="b">
        <f t="shared" si="5"/>
        <v>0</v>
      </c>
      <c r="S9" s="98"/>
    </row>
    <row r="10" spans="1:19" ht="24" customHeight="1" x14ac:dyDescent="0.25">
      <c r="A10" s="91" t="str">
        <f t="shared" si="4"/>
        <v>Wisconsin</v>
      </c>
      <c r="B10" s="91" t="str">
        <f t="shared" si="0"/>
        <v>Montana</v>
      </c>
      <c r="C10" s="91" t="str">
        <f t="shared" si="1"/>
        <v>Montana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96</v>
      </c>
      <c r="H10" s="176" t="s">
        <v>9</v>
      </c>
      <c r="I10" s="102" t="s">
        <v>101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0.94</v>
      </c>
      <c r="M10" s="82" t="e" vm="76">
        <f>_xlfn.XLOOKUP(I10,Teams!$C:$C,Teams!$E:$E,,0,1)</f>
        <v>#VALUE!</v>
      </c>
      <c r="N10" s="82">
        <v>0.06</v>
      </c>
      <c r="O10" s="189" t="str">
        <f t="shared" si="3"/>
        <v>Wisconsin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Saint Mary's (CA)</v>
      </c>
      <c r="B11" s="91" t="str">
        <f t="shared" si="0"/>
        <v>Vanderbilt</v>
      </c>
      <c r="C11" s="91" t="str">
        <f t="shared" si="1"/>
        <v>Vanderbilt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832</v>
      </c>
      <c r="H11" s="176" t="s">
        <v>9</v>
      </c>
      <c r="I11" s="102" t="s">
        <v>99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0.71</v>
      </c>
      <c r="M11" s="82" t="e" vm="78">
        <f>_xlfn.XLOOKUP(I11,Teams!$C:$C,Teams!$E:$E,,0,1)</f>
        <v>#VALUE!</v>
      </c>
      <c r="N11" s="82">
        <v>0.28999999999999998</v>
      </c>
      <c r="O11" s="189" t="str">
        <f t="shared" si="3"/>
        <v>Saint Mary's (CA)</v>
      </c>
      <c r="P11" s="204" t="e" vm="77">
        <f>_xlfn.XLOOKUP(O11,Teams!$C:$C,Teams!$E:$E,,0,1)</f>
        <v>#VALUE!</v>
      </c>
      <c r="Q11" s="223" t="s">
        <v>1137</v>
      </c>
      <c r="R11" s="6" t="b">
        <f t="shared" si="5"/>
        <v>0</v>
      </c>
      <c r="S11" s="98"/>
    </row>
    <row r="12" spans="1:19" ht="24" customHeight="1" thickBot="1" x14ac:dyDescent="0.3">
      <c r="A12" s="91" t="str">
        <f t="shared" si="4"/>
        <v>Alabama</v>
      </c>
      <c r="B12" s="91" t="str">
        <f t="shared" si="0"/>
        <v>Robert Morris</v>
      </c>
      <c r="C12" s="91" t="str">
        <f t="shared" si="1"/>
        <v>Robert Morris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32</v>
      </c>
      <c r="H12" s="177" t="s">
        <v>9</v>
      </c>
      <c r="I12" s="107" t="s">
        <v>102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0.94</v>
      </c>
      <c r="M12" s="109" t="e" vm="80">
        <f>_xlfn.XLOOKUP(I12,Teams!$C:$C,Teams!$E:$E,,0,1)</f>
        <v>#VALUE!</v>
      </c>
      <c r="N12" s="109">
        <v>0.06</v>
      </c>
      <c r="O12" s="190" t="str">
        <f t="shared" si="3"/>
        <v>Alabama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Norfolk State</v>
      </c>
      <c r="C13" s="91" t="str">
        <f t="shared" si="1"/>
        <v>Norfolk State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116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1</v>
      </c>
      <c r="M13" s="115" t="e" vm="82">
        <f>_xlfn.XLOOKUP(I13,Teams!$C:$C,Teams!$E:$E,,0,1)</f>
        <v>#VALUE!</v>
      </c>
      <c r="N13" s="115">
        <v>0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Connecticut</v>
      </c>
      <c r="B14" s="91" t="str">
        <f t="shared" si="0"/>
        <v>Oklahoma</v>
      </c>
      <c r="C14" s="91" t="str">
        <f t="shared" si="1"/>
        <v>Oklahoma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88</v>
      </c>
      <c r="H14" s="178" t="s">
        <v>9</v>
      </c>
      <c r="I14" s="119" t="s">
        <v>111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0.83</v>
      </c>
      <c r="M14" s="83" t="e" vm="84">
        <f>_xlfn.XLOOKUP(I14,Teams!$C:$C,Teams!$E:$E,,0,1)</f>
        <v>#VALUE!</v>
      </c>
      <c r="N14" s="83">
        <v>0.17</v>
      </c>
      <c r="O14" s="192" t="str">
        <f t="shared" si="3"/>
        <v>Connecticut</v>
      </c>
      <c r="P14" s="207" t="e" vm="83">
        <f>_xlfn.XLOOKUP(O14,Teams!$C:$C,Teams!$E:$E,,0,1)</f>
        <v>#VALUE!</v>
      </c>
      <c r="Q14" s="226" t="s">
        <v>1140</v>
      </c>
      <c r="R14" s="6" t="b">
        <f t="shared" si="5"/>
        <v>0</v>
      </c>
      <c r="S14" s="98"/>
    </row>
    <row r="15" spans="1:19" ht="24" customHeight="1" x14ac:dyDescent="0.25">
      <c r="A15" s="91" t="str">
        <f t="shared" si="4"/>
        <v>Memphis</v>
      </c>
      <c r="B15" s="91" t="str">
        <f t="shared" si="0"/>
        <v>Colorado State</v>
      </c>
      <c r="C15" s="91" t="str">
        <f t="shared" si="1"/>
        <v>Memphis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108</v>
      </c>
      <c r="H15" s="178" t="s">
        <v>9</v>
      </c>
      <c r="I15" s="119" t="s">
        <v>86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0.31</v>
      </c>
      <c r="M15" s="83" t="e" vm="86">
        <f>_xlfn.XLOOKUP(I15,Teams!$C:$C,Teams!$E:$E,,0,1)</f>
        <v>#VALUE!</v>
      </c>
      <c r="N15" s="83">
        <v>0.69</v>
      </c>
      <c r="O15" s="192" t="str">
        <f t="shared" si="3"/>
        <v>Colorado State</v>
      </c>
      <c r="P15" s="207" t="e" vm="86">
        <f>_xlfn.XLOOKUP(O15,Teams!$C:$C,Teams!$E:$E,,0,1)</f>
        <v>#VALUE!</v>
      </c>
      <c r="Q15" s="226" t="s">
        <v>1141</v>
      </c>
      <c r="R15" s="6" t="b">
        <f t="shared" si="5"/>
        <v>1</v>
      </c>
      <c r="S15" s="98"/>
    </row>
    <row r="16" spans="1:19" ht="24" customHeight="1" x14ac:dyDescent="0.25">
      <c r="A16" s="91" t="str">
        <f t="shared" si="4"/>
        <v>Maryland</v>
      </c>
      <c r="B16" s="91" t="str">
        <f t="shared" si="0"/>
        <v>Grand Canyon</v>
      </c>
      <c r="C16" s="91" t="str">
        <f t="shared" si="1"/>
        <v>Maryland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107</v>
      </c>
      <c r="H16" s="178" t="s">
        <v>9</v>
      </c>
      <c r="I16" s="119" t="s">
        <v>113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0.22</v>
      </c>
      <c r="M16" s="83" t="e" vm="88">
        <f>_xlfn.XLOOKUP(I16,Teams!$C:$C,Teams!$E:$E,,0,1)</f>
        <v>#VALUE!</v>
      </c>
      <c r="N16" s="83">
        <v>0.78</v>
      </c>
      <c r="O16" s="192" t="str">
        <f t="shared" si="3"/>
        <v>Grand Canyon</v>
      </c>
      <c r="P16" s="207" t="e" vm="88">
        <f>_xlfn.XLOOKUP(O16,Teams!$C:$C,Teams!$E:$E,,0,1)</f>
        <v>#VALUE!</v>
      </c>
      <c r="Q16" s="226" t="s">
        <v>1142</v>
      </c>
      <c r="R16" s="6" t="b">
        <f t="shared" si="5"/>
        <v>1</v>
      </c>
      <c r="S16" s="98"/>
    </row>
    <row r="17" spans="1:19" ht="24" customHeight="1" x14ac:dyDescent="0.25">
      <c r="A17" s="91" t="str">
        <f t="shared" si="4"/>
        <v>Missouri</v>
      </c>
      <c r="B17" s="91" t="str">
        <f t="shared" si="0"/>
        <v>Drake</v>
      </c>
      <c r="C17" s="91" t="str">
        <f t="shared" si="1"/>
        <v>Drake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109</v>
      </c>
      <c r="H17" s="178" t="s">
        <v>9</v>
      </c>
      <c r="I17" s="119" t="s">
        <v>112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0.93</v>
      </c>
      <c r="M17" s="83" t="e" vm="90">
        <f>_xlfn.XLOOKUP(I17,Teams!$C:$C,Teams!$E:$E,,0,1)</f>
        <v>#VALUE!</v>
      </c>
      <c r="N17" s="83">
        <v>7.0000000000000007E-2</v>
      </c>
      <c r="O17" s="192" t="str">
        <f t="shared" si="3"/>
        <v>Missouri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Texas Tech</v>
      </c>
      <c r="B18" s="91" t="str">
        <f t="shared" si="0"/>
        <v>UNC Wilmington</v>
      </c>
      <c r="C18" s="91" t="str">
        <f t="shared" si="1"/>
        <v>UNC Wilmington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106</v>
      </c>
      <c r="H18" s="178" t="s">
        <v>9</v>
      </c>
      <c r="I18" s="119" t="s">
        <v>114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0.86</v>
      </c>
      <c r="M18" s="83" t="e" vm="92">
        <f>_xlfn.XLOOKUP(I18,Teams!$C:$C,Teams!$E:$E,,0,1)</f>
        <v>#VALUE!</v>
      </c>
      <c r="N18" s="83">
        <v>0.14000000000000001</v>
      </c>
      <c r="O18" s="192" t="str">
        <f t="shared" si="3"/>
        <v>Texas Tech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Kansas</v>
      </c>
      <c r="B19" s="91" t="str">
        <f t="shared" si="0"/>
        <v>Arkansas</v>
      </c>
      <c r="C19" s="91" t="str">
        <f t="shared" si="1"/>
        <v>Arkansas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110</v>
      </c>
      <c r="H19" s="178" t="s">
        <v>9</v>
      </c>
      <c r="I19" s="119" t="s">
        <v>41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0.61</v>
      </c>
      <c r="M19" s="83" t="e" vm="94">
        <f>_xlfn.XLOOKUP(I19,Teams!$C:$C,Teams!$E:$E,,0,1)</f>
        <v>#VALUE!</v>
      </c>
      <c r="N19" s="83">
        <v>0.39</v>
      </c>
      <c r="O19" s="192" t="str">
        <f t="shared" si="3"/>
        <v>Kansas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St. John's (NY)</v>
      </c>
      <c r="B20" s="91" t="str">
        <f t="shared" si="0"/>
        <v>Omaha</v>
      </c>
      <c r="C20" s="91" t="str">
        <f t="shared" si="1"/>
        <v>Omaha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919</v>
      </c>
      <c r="H20" s="179" t="s">
        <v>9</v>
      </c>
      <c r="I20" s="124" t="s">
        <v>115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0.93</v>
      </c>
      <c r="M20" s="126" t="e" vm="96">
        <f>_xlfn.XLOOKUP(I20,Teams!$C:$C,Teams!$E:$E,,0,1)</f>
        <v>#VALUE!</v>
      </c>
      <c r="N20" s="126">
        <v>7.0000000000000007E-2</v>
      </c>
      <c r="O20" s="193" t="str">
        <f t="shared" si="3"/>
        <v>St. John's (NY)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Auburn</v>
      </c>
      <c r="B21" s="91" t="str">
        <f t="shared" si="0"/>
        <v>Alabama State</v>
      </c>
      <c r="C21" s="91" t="str">
        <f t="shared" si="1"/>
        <v>Alabama State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45</v>
      </c>
      <c r="H21" s="175" t="s">
        <v>9</v>
      </c>
      <c r="I21" s="95" t="s">
        <v>34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0.96</v>
      </c>
      <c r="M21" s="97" t="e" vm="98">
        <f>_xlfn.XLOOKUP(I21,Teams!$C:$C,Teams!$E:$E,,0,1)</f>
        <v>#VALUE!</v>
      </c>
      <c r="N21" s="97">
        <v>0.04</v>
      </c>
      <c r="O21" s="188" t="str">
        <f t="shared" si="3"/>
        <v>Auburn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Louisville</v>
      </c>
      <c r="B22" s="91" t="str">
        <f t="shared" si="0"/>
        <v>Creighton</v>
      </c>
      <c r="C22" s="91" t="str">
        <f t="shared" si="1"/>
        <v>Louisville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122</v>
      </c>
      <c r="H22" s="176" t="s">
        <v>9</v>
      </c>
      <c r="I22" s="102" t="s">
        <v>91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0.2</v>
      </c>
      <c r="M22" s="82" t="e" vm="100">
        <f>_xlfn.XLOOKUP(I22,Teams!$C:$C,Teams!$E:$E,,0,1)</f>
        <v>#VALUE!</v>
      </c>
      <c r="N22" s="82">
        <v>0.8</v>
      </c>
      <c r="O22" s="189" t="str">
        <f t="shared" si="3"/>
        <v>Creighton</v>
      </c>
      <c r="P22" s="204" t="e" vm="100">
        <f>_xlfn.XLOOKUP(O22,Teams!$C:$C,Teams!$E:$E,,0,1)</f>
        <v>#VALUE!</v>
      </c>
      <c r="Q22" s="223" t="s">
        <v>1148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Michigan</v>
      </c>
      <c r="B23" s="91" t="str">
        <f t="shared" si="0"/>
        <v>UC San Diego</v>
      </c>
      <c r="C23" s="91" t="str">
        <f t="shared" si="1"/>
        <v>UC San Diego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120</v>
      </c>
      <c r="H23" s="176" t="s">
        <v>9</v>
      </c>
      <c r="I23" s="102" t="s">
        <v>126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0.91</v>
      </c>
      <c r="M23" s="82" t="e" vm="102">
        <f>_xlfn.XLOOKUP(I23,Teams!$C:$C,Teams!$E:$E,,0,1)</f>
        <v>#VALUE!</v>
      </c>
      <c r="N23" s="82">
        <v>0.09</v>
      </c>
      <c r="O23" s="189" t="str">
        <f t="shared" si="3"/>
        <v>Michigan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Texas A&amp;M</v>
      </c>
      <c r="B24" s="91" t="str">
        <f t="shared" si="0"/>
        <v>Yale</v>
      </c>
      <c r="C24" s="91" t="str">
        <f t="shared" si="1"/>
        <v>Texas A&amp;M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119</v>
      </c>
      <c r="H24" s="176" t="s">
        <v>9</v>
      </c>
      <c r="I24" s="102" t="s">
        <v>127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0.3</v>
      </c>
      <c r="M24" s="82" t="e" vm="104">
        <f>_xlfn.XLOOKUP(I24,Teams!$C:$C,Teams!$E:$E,,0,1)</f>
        <v>#VALUE!</v>
      </c>
      <c r="N24" s="82">
        <v>0.7</v>
      </c>
      <c r="O24" s="189" t="str">
        <f t="shared" si="3"/>
        <v>Yale</v>
      </c>
      <c r="P24" s="204" t="e" vm="104">
        <f>_xlfn.XLOOKUP(O24,Teams!$C:$C,Teams!$E:$E,,0,1)</f>
        <v>#VALUE!</v>
      </c>
      <c r="Q24" s="223" t="s">
        <v>1150</v>
      </c>
      <c r="R24" s="6" t="b">
        <f t="shared" si="5"/>
        <v>1</v>
      </c>
      <c r="S24" s="98"/>
    </row>
    <row r="25" spans="1:19" ht="24" customHeight="1" x14ac:dyDescent="0.25">
      <c r="A25" s="91" t="str">
        <f t="shared" si="6"/>
        <v>Mississippi</v>
      </c>
      <c r="B25" s="91" t="str">
        <f t="shared" si="0"/>
        <v>North Carolina</v>
      </c>
      <c r="C25" s="91" t="str">
        <f t="shared" si="1"/>
        <v>Mississippi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604</v>
      </c>
      <c r="H25" s="176" t="s">
        <v>9</v>
      </c>
      <c r="I25" s="102" t="s">
        <v>125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North Carolina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Iowa State</v>
      </c>
      <c r="B26" s="91" t="str">
        <f t="shared" si="0"/>
        <v>Lipscomb</v>
      </c>
      <c r="C26" s="91" t="str">
        <f t="shared" si="1"/>
        <v>Lipscomb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118</v>
      </c>
      <c r="H26" s="176" t="s">
        <v>9</v>
      </c>
      <c r="I26" s="102" t="s">
        <v>128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0.95</v>
      </c>
      <c r="M26" s="82" t="e" vm="108">
        <f>_xlfn.XLOOKUP(I26,Teams!$C:$C,Teams!$E:$E,,0,1)</f>
        <v>#VALUE!</v>
      </c>
      <c r="N26" s="82">
        <v>0.05</v>
      </c>
      <c r="O26" s="189" t="str">
        <f t="shared" si="3"/>
        <v>Iowa State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Marquette</v>
      </c>
      <c r="B27" s="91" t="str">
        <f t="shared" si="0"/>
        <v>New Mexico</v>
      </c>
      <c r="C27" s="91" t="str">
        <f t="shared" si="1"/>
        <v>Marquette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121</v>
      </c>
      <c r="H27" s="176" t="s">
        <v>9</v>
      </c>
      <c r="I27" s="102" t="s">
        <v>123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0.19</v>
      </c>
      <c r="M27" s="82" t="e" vm="110">
        <f>_xlfn.XLOOKUP(I27,Teams!$C:$C,Teams!$E:$E,,0,1)</f>
        <v>#VALUE!</v>
      </c>
      <c r="N27" s="82">
        <v>0.81</v>
      </c>
      <c r="O27" s="189" t="str">
        <f t="shared" si="3"/>
        <v>New Mexico</v>
      </c>
      <c r="P27" s="204" t="e" vm="110">
        <f>_xlfn.XLOOKUP(O27,Teams!$C:$C,Teams!$E:$E,,0,1)</f>
        <v>#VALUE!</v>
      </c>
      <c r="Q27" s="223" t="s">
        <v>1153</v>
      </c>
      <c r="R27" s="6" t="b">
        <f t="shared" si="5"/>
        <v>1</v>
      </c>
      <c r="S27" s="98"/>
    </row>
    <row r="28" spans="1:19" ht="24" customHeight="1" thickBot="1" x14ac:dyDescent="0.3">
      <c r="A28" s="91" t="str">
        <f t="shared" si="6"/>
        <v>Michigan State</v>
      </c>
      <c r="B28" s="91" t="str">
        <f t="shared" si="0"/>
        <v>Bryant</v>
      </c>
      <c r="C28" s="91" t="str">
        <f t="shared" si="1"/>
        <v>Bryant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117</v>
      </c>
      <c r="H28" s="177" t="s">
        <v>9</v>
      </c>
      <c r="I28" s="107" t="s">
        <v>60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0.97</v>
      </c>
      <c r="M28" s="109" t="e" vm="112">
        <f>_xlfn.XLOOKUP(I28,Teams!$C:$C,Teams!$E:$E,,0,1)</f>
        <v>#VALUE!</v>
      </c>
      <c r="N28" s="109">
        <v>0.03</v>
      </c>
      <c r="O28" s="190" t="str">
        <f t="shared" si="3"/>
        <v>Michigan State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Houston</v>
      </c>
      <c r="B29" s="91" t="str">
        <f t="shared" si="0"/>
        <v>SIU Edwardsville</v>
      </c>
      <c r="C29" s="91" t="str">
        <f t="shared" si="1"/>
        <v>SIU Edwardsville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129</v>
      </c>
      <c r="H29" s="180" t="s">
        <v>9</v>
      </c>
      <c r="I29" s="128" t="s">
        <v>144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0.96</v>
      </c>
      <c r="M29" s="115" t="e" vm="114">
        <f>_xlfn.XLOOKUP(I29,Teams!$C:$C,Teams!$E:$E,,0,1)</f>
        <v>#VALUE!</v>
      </c>
      <c r="N29" s="115">
        <v>0.04</v>
      </c>
      <c r="O29" s="191" t="str">
        <f t="shared" si="3"/>
        <v>Houston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Gonzaga</v>
      </c>
      <c r="B30" s="91" t="str">
        <f t="shared" si="0"/>
        <v>Georgia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135</v>
      </c>
      <c r="H30" s="178" t="s">
        <v>9</v>
      </c>
      <c r="I30" s="119" t="s">
        <v>136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0.75</v>
      </c>
      <c r="M30" s="83" t="e" vm="116">
        <f>_xlfn.XLOOKUP(I30,Teams!$C:$C,Teams!$E:$E,,0,1)</f>
        <v>#VALUE!</v>
      </c>
      <c r="N30" s="83">
        <v>0.25</v>
      </c>
      <c r="O30" s="192" t="str">
        <f t="shared" si="3"/>
        <v>Gonzaga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Clemson</v>
      </c>
      <c r="B31" s="91" t="str">
        <f t="shared" si="0"/>
        <v>McNeese State</v>
      </c>
      <c r="C31" s="91" t="str">
        <f t="shared" si="1"/>
        <v>Clemson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80</v>
      </c>
      <c r="H31" s="178" t="s">
        <v>9</v>
      </c>
      <c r="I31" s="119" t="s">
        <v>571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0.36</v>
      </c>
      <c r="M31" s="83" t="e" vm="118">
        <f>_xlfn.XLOOKUP(I31,Teams!$C:$C,Teams!$E:$E,,0,1)</f>
        <v>#VALUE!</v>
      </c>
      <c r="N31" s="83">
        <v>0.64</v>
      </c>
      <c r="O31" s="192" t="str">
        <f t="shared" si="3"/>
        <v>McNeese State</v>
      </c>
      <c r="P31" s="207" t="e" vm="118">
        <f>_xlfn.XLOOKUP(O31,Teams!$C:$C,Teams!$E:$E,,0,1)</f>
        <v>#VALUE!</v>
      </c>
      <c r="Q31" s="226" t="s">
        <v>1157</v>
      </c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Purdue</v>
      </c>
      <c r="B32" s="91" t="str">
        <f t="shared" si="0"/>
        <v>High Point</v>
      </c>
      <c r="C32" s="91" t="str">
        <f t="shared" si="1"/>
        <v>Purdue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132</v>
      </c>
      <c r="H32" s="178" t="s">
        <v>9</v>
      </c>
      <c r="I32" s="119" t="s">
        <v>140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0.32</v>
      </c>
      <c r="M32" s="83" t="e" vm="120">
        <f>_xlfn.XLOOKUP(I32,Teams!$C:$C,Teams!$E:$E,,0,1)</f>
        <v>#VALUE!</v>
      </c>
      <c r="N32" s="83">
        <v>0.68</v>
      </c>
      <c r="O32" s="192" t="str">
        <f t="shared" si="3"/>
        <v>High Point</v>
      </c>
      <c r="P32" s="207" t="e" vm="120">
        <f>_xlfn.XLOOKUP(O32,Teams!$C:$C,Teams!$E:$E,,0,1)</f>
        <v>#VALUE!</v>
      </c>
      <c r="Q32" s="226" t="s">
        <v>1158</v>
      </c>
      <c r="R32" s="6" t="b">
        <f t="shared" si="5"/>
        <v>1</v>
      </c>
      <c r="S32" s="98"/>
    </row>
    <row r="33" spans="1:19" ht="24" customHeight="1" x14ac:dyDescent="0.25">
      <c r="A33" s="91" t="str">
        <f t="shared" si="6"/>
        <v>Illinois</v>
      </c>
      <c r="B33" s="91" t="str">
        <f t="shared" si="0"/>
        <v>Xavier</v>
      </c>
      <c r="C33" s="91" t="str">
        <f t="shared" si="1"/>
        <v>Xavier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133</v>
      </c>
      <c r="H33" s="178" t="s">
        <v>9</v>
      </c>
      <c r="I33" s="119" t="s">
        <v>139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0.87</v>
      </c>
      <c r="M33" s="83" t="e" vm="122">
        <f>_xlfn.XLOOKUP(I33,Teams!$C:$C,Teams!$E:$E,,0,1)</f>
        <v>#VALUE!</v>
      </c>
      <c r="N33" s="83">
        <v>0.13</v>
      </c>
      <c r="O33" s="192" t="str">
        <f t="shared" si="3"/>
        <v>Illinois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Kentucky</v>
      </c>
      <c r="B34" s="91" t="str">
        <f t="shared" si="0"/>
        <v>Troy</v>
      </c>
      <c r="C34" s="91" t="str">
        <f t="shared" si="1"/>
        <v>Troy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131</v>
      </c>
      <c r="H34" s="178" t="s">
        <v>9</v>
      </c>
      <c r="I34" s="119" t="s">
        <v>141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0.65</v>
      </c>
      <c r="M34" s="83" t="e" vm="124">
        <f>_xlfn.XLOOKUP(I34,Teams!$C:$C,Teams!$E:$E,,0,1)</f>
        <v>#VALUE!</v>
      </c>
      <c r="N34" s="83">
        <v>0.35</v>
      </c>
      <c r="O34" s="192" t="str">
        <f t="shared" si="3"/>
        <v>Kentucky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UCLA</v>
      </c>
      <c r="B35" s="91" t="str">
        <f t="shared" si="0"/>
        <v>Utah State</v>
      </c>
      <c r="C35" s="91" t="str">
        <f t="shared" si="1"/>
        <v>Utah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134</v>
      </c>
      <c r="H35" s="178" t="s">
        <v>9</v>
      </c>
      <c r="I35" s="119" t="s">
        <v>137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0.63</v>
      </c>
      <c r="M35" s="83" t="e" vm="126">
        <f>_xlfn.XLOOKUP(I35,Teams!$C:$C,Teams!$E:$E,,0,1)</f>
        <v>#VALUE!</v>
      </c>
      <c r="N35" s="83">
        <v>0.37</v>
      </c>
      <c r="O35" s="192" t="str">
        <f t="shared" si="3"/>
        <v>UCLA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Tennessee</v>
      </c>
      <c r="B36" s="91" t="str">
        <f t="shared" si="0"/>
        <v>Wofford</v>
      </c>
      <c r="C36" s="91" t="str">
        <f t="shared" si="1"/>
        <v>Wofford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130</v>
      </c>
      <c r="H36" s="179" t="s">
        <v>9</v>
      </c>
      <c r="I36" s="124" t="s">
        <v>142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0.72</v>
      </c>
      <c r="M36" s="126" t="e" vm="128">
        <f>_xlfn.XLOOKUP(I36,Teams!$C:$C,Teams!$E:$E,,0,1)</f>
        <v>#VALUE!</v>
      </c>
      <c r="N36" s="126">
        <v>0.28000000000000003</v>
      </c>
      <c r="O36" s="193" t="str">
        <f t="shared" si="3"/>
        <v>Tennessee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Baylor</v>
      </c>
      <c r="C38" s="91" t="str">
        <f t="shared" ref="C38:C53" si="7">IF(O38="","",IF(A38=O38,B38,A38))</f>
        <v>Baylor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48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0.85</v>
      </c>
      <c r="M38" s="84" t="e" vm="68">
        <f>_xlfn.XLOOKUP(I38,Teams!$C:$C,Teams!$E:$E,,0,1)</f>
        <v>#VALUE!</v>
      </c>
      <c r="N38" s="84">
        <v>0.15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Liberty</v>
      </c>
      <c r="B39" s="91" t="str">
        <f t="shared" ref="B39:B53" si="11">I39</f>
        <v>Arizona</v>
      </c>
      <c r="C39" s="91" t="str">
        <f t="shared" si="7"/>
        <v>Liberty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12</v>
      </c>
      <c r="G39" s="101" t="s">
        <v>100</v>
      </c>
      <c r="H39" s="176" t="s">
        <v>9</v>
      </c>
      <c r="I39" s="102" t="s">
        <v>39</v>
      </c>
      <c r="J39" s="103" cm="1">
        <f t="array" ref="J39">_xlfn.XLOOKUP(I39,Teams[[#All],[Team]],Teams[[#All],[Seed]],0,0,1)</f>
        <v>4</v>
      </c>
      <c r="K39" s="82" t="e" vm="70">
        <f>_xlfn.XLOOKUP(G39,Teams!$C:$C,Teams!$E:$E,,0,1)</f>
        <v>#VALUE!</v>
      </c>
      <c r="L39" s="82">
        <v>0.12</v>
      </c>
      <c r="M39" s="82" t="e" vm="71">
        <f>_xlfn.XLOOKUP(I39,Teams!$C:$C,Teams!$E:$E,,0,1)</f>
        <v>#VALUE!</v>
      </c>
      <c r="N39" s="82">
        <v>0.88</v>
      </c>
      <c r="O39" s="189" t="str">
        <f t="shared" si="9"/>
        <v>Arizona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Brigham Young</v>
      </c>
      <c r="B40" s="91" t="str">
        <f t="shared" si="11"/>
        <v>Wisconsin</v>
      </c>
      <c r="C40" s="91" t="str">
        <f t="shared" si="7"/>
        <v>Wisconsin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6</v>
      </c>
      <c r="G40" s="101" t="s">
        <v>58</v>
      </c>
      <c r="H40" s="176" t="s">
        <v>9</v>
      </c>
      <c r="I40" s="102" t="s">
        <v>96</v>
      </c>
      <c r="J40" s="103" cm="1">
        <f t="array" ref="J40">_xlfn.XLOOKUP(I40,Teams[[#All],[Team]],Teams[[#All],[Seed]],0,0,1)</f>
        <v>3</v>
      </c>
      <c r="K40" s="82" t="e" vm="73">
        <f>_xlfn.XLOOKUP(G40,Teams!$C:$C,Teams!$E:$E,,0,1)</f>
        <v>#VALUE!</v>
      </c>
      <c r="L40" s="82">
        <v>0.57999999999999996</v>
      </c>
      <c r="M40" s="82" t="e" vm="75">
        <f>_xlfn.XLOOKUP(I40,Teams!$C:$C,Teams!$E:$E,,0,1)</f>
        <v>#VALUE!</v>
      </c>
      <c r="N40" s="82">
        <v>0.42</v>
      </c>
      <c r="O40" s="189" t="str">
        <f t="shared" si="9"/>
        <v>Brigham Young</v>
      </c>
      <c r="P40" s="204" t="e" vm="73">
        <f>_xlfn.XLOOKUP(O40,Teams!$C:$C,Teams!$E:$E,,0,1)</f>
        <v>#VALUE!</v>
      </c>
      <c r="Q40" s="223" t="s">
        <v>1165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Saint Mary's (CA)</v>
      </c>
      <c r="B41" s="91" t="str">
        <f t="shared" si="11"/>
        <v>Alabama</v>
      </c>
      <c r="C41" s="91" t="str">
        <f t="shared" si="7"/>
        <v>Alabama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832</v>
      </c>
      <c r="H41" s="182" t="s">
        <v>9</v>
      </c>
      <c r="I41" s="137" t="s">
        <v>32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0.51</v>
      </c>
      <c r="M41" s="139" t="e" vm="79">
        <f>_xlfn.XLOOKUP(I41,Teams!$C:$C,Teams!$E:$E,,0,1)</f>
        <v>#VALUE!</v>
      </c>
      <c r="N41" s="139">
        <v>0.49</v>
      </c>
      <c r="O41" s="195" t="str">
        <f t="shared" si="9"/>
        <v>Saint Mary's (CA)</v>
      </c>
      <c r="P41" s="210" t="e" vm="77">
        <f>_xlfn.XLOOKUP(O41,Teams!$C:$C,Teams!$E:$E,,0,1)</f>
        <v>#VALUE!</v>
      </c>
      <c r="Q41" s="224" t="s">
        <v>1166</v>
      </c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Connecticut</v>
      </c>
      <c r="C42" s="91" t="str">
        <f t="shared" si="7"/>
        <v>Connecticut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88</v>
      </c>
      <c r="J42" s="144" cm="1">
        <f t="array" ref="J42">_xlfn.XLOOKUP(I42,Teams[[#All],[Team]],Teams[[#All],[Seed]],0,0,1)</f>
        <v>8</v>
      </c>
      <c r="K42" s="145" t="e" vm="81">
        <f>_xlfn.XLOOKUP(G42,Teams!$C:$C,Teams!$E:$E,,0,1)</f>
        <v>#VALUE!</v>
      </c>
      <c r="L42" s="145">
        <v>0.8</v>
      </c>
      <c r="M42" s="145" t="e" vm="83">
        <f>_xlfn.XLOOKUP(I42,Teams!$C:$C,Teams!$E:$E,,0,1)</f>
        <v>#VALUE!</v>
      </c>
      <c r="N42" s="145">
        <v>0.2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Colorado State</v>
      </c>
      <c r="B43" s="91" t="str">
        <f t="shared" si="11"/>
        <v>Grand Canyon</v>
      </c>
      <c r="C43" s="91" t="str">
        <f t="shared" si="7"/>
        <v>Grand Canyon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12</v>
      </c>
      <c r="G43" s="118" t="s">
        <v>86</v>
      </c>
      <c r="H43" s="178" t="s">
        <v>9</v>
      </c>
      <c r="I43" s="119" t="s">
        <v>113</v>
      </c>
      <c r="J43" s="120" cm="1">
        <f t="array" ref="J43">_xlfn.XLOOKUP(I43,Teams[[#All],[Team]],Teams[[#All],[Seed]],0,0,1)</f>
        <v>13</v>
      </c>
      <c r="K43" s="83" t="e" vm="86">
        <f>_xlfn.XLOOKUP(G43,Teams!$C:$C,Teams!$E:$E,,0,1)</f>
        <v>#VALUE!</v>
      </c>
      <c r="L43" s="83">
        <v>0.77</v>
      </c>
      <c r="M43" s="83" t="e" vm="88">
        <f>_xlfn.XLOOKUP(I43,Teams!$C:$C,Teams!$E:$E,,0,1)</f>
        <v>#VALUE!</v>
      </c>
      <c r="N43" s="83">
        <v>0.23</v>
      </c>
      <c r="O43" s="192" t="str">
        <f t="shared" si="9"/>
        <v>Colorado State</v>
      </c>
      <c r="P43" s="207" t="e" vm="86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Missouri</v>
      </c>
      <c r="B44" s="91" t="str">
        <f t="shared" si="11"/>
        <v>Texas Tech</v>
      </c>
      <c r="C44" s="91" t="str">
        <f t="shared" si="7"/>
        <v>Missouri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109</v>
      </c>
      <c r="H44" s="178" t="s">
        <v>9</v>
      </c>
      <c r="I44" s="119" t="s">
        <v>106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0.11</v>
      </c>
      <c r="M44" s="83" t="e" vm="91">
        <f>_xlfn.XLOOKUP(I44,Teams!$C:$C,Teams!$E:$E,,0,1)</f>
        <v>#VALUE!</v>
      </c>
      <c r="N44" s="83">
        <v>0.89</v>
      </c>
      <c r="O44" s="192" t="str">
        <f t="shared" si="9"/>
        <v>Texas Tech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Kansas</v>
      </c>
      <c r="B45" s="91" t="str">
        <f t="shared" si="11"/>
        <v>St. John's (NY)</v>
      </c>
      <c r="C45" s="91" t="str">
        <f t="shared" si="7"/>
        <v>St. John's (NY)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110</v>
      </c>
      <c r="H45" s="184" t="s">
        <v>9</v>
      </c>
      <c r="I45" s="149" t="s">
        <v>919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0.57999999999999996</v>
      </c>
      <c r="M45" s="151" t="e" vm="95">
        <f>_xlfn.XLOOKUP(I45,Teams!$C:$C,Teams!$E:$E,,0,1)</f>
        <v>#VALUE!</v>
      </c>
      <c r="N45" s="151">
        <v>0.42</v>
      </c>
      <c r="O45" s="197" t="str">
        <f t="shared" si="9"/>
        <v>Kansas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Auburn</v>
      </c>
      <c r="B46" s="152" t="str">
        <f t="shared" si="11"/>
        <v>Creighton</v>
      </c>
      <c r="C46" s="152" t="str">
        <f t="shared" si="7"/>
        <v>Creighton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45</v>
      </c>
      <c r="H46" s="181" t="s">
        <v>9</v>
      </c>
      <c r="I46" s="132" t="s">
        <v>91</v>
      </c>
      <c r="J46" s="133" cm="1">
        <f t="array" ref="J46">_xlfn.XLOOKUP(I46,Teams[[#All],[Team]],Teams[[#All],[Seed]],0,0,1)</f>
        <v>9</v>
      </c>
      <c r="K46" s="84" t="e" vm="97">
        <f>_xlfn.XLOOKUP(G46,Teams!$C:$C,Teams!$E:$E,,0,1)</f>
        <v>#VALUE!</v>
      </c>
      <c r="L46" s="84">
        <v>0.77</v>
      </c>
      <c r="M46" s="84" t="e" vm="100">
        <f>_xlfn.XLOOKUP(I46,Teams!$C:$C,Teams!$E:$E,,0,1)</f>
        <v>#VALUE!</v>
      </c>
      <c r="N46" s="84">
        <v>0.23</v>
      </c>
      <c r="O46" s="194" t="str">
        <f t="shared" si="9"/>
        <v>Auburn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Michigan</v>
      </c>
      <c r="B47" s="152" t="str">
        <f t="shared" si="11"/>
        <v>Yale</v>
      </c>
      <c r="C47" s="152" t="str">
        <f t="shared" si="7"/>
        <v>Yale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120</v>
      </c>
      <c r="H47" s="176" t="s">
        <v>9</v>
      </c>
      <c r="I47" s="102" t="s">
        <v>127</v>
      </c>
      <c r="J47" s="103" cm="1">
        <f t="array" ref="J47">_xlfn.XLOOKUP(I47,Teams[[#All],[Team]],Teams[[#All],[Seed]],0,0,1)</f>
        <v>13</v>
      </c>
      <c r="K47" s="82" t="e" vm="101">
        <f>_xlfn.XLOOKUP(G47,Teams!$C:$C,Teams!$E:$E,,0,1)</f>
        <v>#VALUE!</v>
      </c>
      <c r="L47" s="82">
        <v>0.77</v>
      </c>
      <c r="M47" s="82" t="e" vm="104">
        <f>_xlfn.XLOOKUP(I47,Teams!$C:$C,Teams!$E:$E,,0,1)</f>
        <v>#VALUE!</v>
      </c>
      <c r="N47" s="82">
        <v>0.23</v>
      </c>
      <c r="O47" s="189" t="str">
        <f t="shared" si="9"/>
        <v>Michigan</v>
      </c>
      <c r="P47" s="204" t="e" vm="101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North Carolina</v>
      </c>
      <c r="B48" s="152" t="str">
        <f t="shared" si="11"/>
        <v>Iowa State</v>
      </c>
      <c r="C48" s="152" t="str">
        <f t="shared" si="7"/>
        <v>North Carolina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125</v>
      </c>
      <c r="H48" s="176" t="s">
        <v>9</v>
      </c>
      <c r="I48" s="102" t="s">
        <v>118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0.45</v>
      </c>
      <c r="M48" s="82" t="e" vm="107">
        <f>_xlfn.XLOOKUP(I48,Teams!$C:$C,Teams!$E:$E,,0,1)</f>
        <v>#VALUE!</v>
      </c>
      <c r="N48" s="82">
        <v>0.55000000000000004</v>
      </c>
      <c r="O48" s="189" t="str">
        <f t="shared" si="9"/>
        <v>Iowa State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New Mexico</v>
      </c>
      <c r="B49" s="152" t="str">
        <f t="shared" si="11"/>
        <v>Michigan State</v>
      </c>
      <c r="C49" s="152" t="str">
        <f t="shared" si="7"/>
        <v>New Mexico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10</v>
      </c>
      <c r="G49" s="136" t="s">
        <v>123</v>
      </c>
      <c r="H49" s="182" t="s">
        <v>9</v>
      </c>
      <c r="I49" s="137" t="s">
        <v>117</v>
      </c>
      <c r="J49" s="138" cm="1">
        <f t="array" ref="J49">_xlfn.XLOOKUP(I49,Teams[[#All],[Team]],Teams[[#All],[Seed]],0,0,1)</f>
        <v>2</v>
      </c>
      <c r="K49" s="139" t="e" vm="110">
        <f>_xlfn.XLOOKUP(G49,Teams!$C:$C,Teams!$E:$E,,0,1)</f>
        <v>#VALUE!</v>
      </c>
      <c r="L49" s="139">
        <v>0.44</v>
      </c>
      <c r="M49" s="139" t="e" vm="111">
        <f>_xlfn.XLOOKUP(I49,Teams!$C:$C,Teams!$E:$E,,0,1)</f>
        <v>#VALUE!</v>
      </c>
      <c r="N49" s="139">
        <v>0.56000000000000005</v>
      </c>
      <c r="O49" s="195" t="str">
        <f t="shared" si="9"/>
        <v>Michigan State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Houston</v>
      </c>
      <c r="B50" s="91" t="str">
        <f t="shared" si="11"/>
        <v>Gonzaga</v>
      </c>
      <c r="C50" s="91" t="str">
        <f t="shared" si="7"/>
        <v>Houston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129</v>
      </c>
      <c r="H50" s="183" t="s">
        <v>9</v>
      </c>
      <c r="I50" s="143" t="s">
        <v>135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0.44</v>
      </c>
      <c r="M50" s="145" t="e" vm="115">
        <f>_xlfn.XLOOKUP(I50,Teams!$C:$C,Teams!$E:$E,,0,1)</f>
        <v>#VALUE!</v>
      </c>
      <c r="N50" s="145">
        <v>0.56000000000000005</v>
      </c>
      <c r="O50" s="196" t="str">
        <f t="shared" si="9"/>
        <v>Gonzaga</v>
      </c>
      <c r="P50" s="211" t="e" vm="115">
        <f>_xlfn.XLOOKUP(O50,Teams!$C:$C,Teams!$E:$E,,0,1)</f>
        <v>#VALUE!</v>
      </c>
      <c r="Q50" s="225" t="s">
        <v>1175</v>
      </c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McNeese State</v>
      </c>
      <c r="B51" s="91" t="str">
        <f t="shared" si="11"/>
        <v>High Point</v>
      </c>
      <c r="C51" s="91" t="str">
        <f t="shared" si="7"/>
        <v>McNeese State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12</v>
      </c>
      <c r="G51" s="118" t="s">
        <v>571</v>
      </c>
      <c r="H51" s="178" t="s">
        <v>9</v>
      </c>
      <c r="I51" s="119" t="s">
        <v>140</v>
      </c>
      <c r="J51" s="120" cm="1">
        <f t="array" ref="J51">_xlfn.XLOOKUP(I51,Teams[[#All],[Team]],Teams[[#All],[Seed]],0,0,1)</f>
        <v>13</v>
      </c>
      <c r="K51" s="83" t="e" vm="118">
        <f>_xlfn.XLOOKUP(G51,Teams!$C:$C,Teams!$E:$E,,0,1)</f>
        <v>#VALUE!</v>
      </c>
      <c r="L51" s="83">
        <v>0.38</v>
      </c>
      <c r="M51" s="83" t="e" vm="120">
        <f>_xlfn.XLOOKUP(I51,Teams!$C:$C,Teams!$E:$E,,0,1)</f>
        <v>#VALUE!</v>
      </c>
      <c r="N51" s="83">
        <v>0.62</v>
      </c>
      <c r="O51" s="192" t="str">
        <f t="shared" si="9"/>
        <v>High Point</v>
      </c>
      <c r="P51" s="207" t="e" vm="120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Illinois</v>
      </c>
      <c r="B52" s="91" t="str">
        <f t="shared" si="11"/>
        <v>Kentucky</v>
      </c>
      <c r="C52" s="91" t="str">
        <f t="shared" si="7"/>
        <v>Illinois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133</v>
      </c>
      <c r="H52" s="178" t="s">
        <v>9</v>
      </c>
      <c r="I52" s="119" t="s">
        <v>131</v>
      </c>
      <c r="J52" s="120" cm="1">
        <f t="array" ref="J52">_xlfn.XLOOKUP(I52,Teams[[#All],[Team]],Teams[[#All],[Seed]],0,0,1)</f>
        <v>3</v>
      </c>
      <c r="K52" s="83" t="e" vm="121">
        <f>_xlfn.XLOOKUP(G52,Teams!$C:$C,Teams!$E:$E,,0,1)</f>
        <v>#VALUE!</v>
      </c>
      <c r="L52" s="83">
        <v>0.26</v>
      </c>
      <c r="M52" s="83" t="e" vm="123">
        <f>_xlfn.XLOOKUP(I52,Teams!$C:$C,Teams!$E:$E,,0,1)</f>
        <v>#VALUE!</v>
      </c>
      <c r="N52" s="83">
        <v>0.74</v>
      </c>
      <c r="O52" s="192" t="str">
        <f t="shared" si="9"/>
        <v>Kentucky</v>
      </c>
      <c r="P52" s="207" t="e" vm="123">
        <f>_xlfn.XLOOKUP(O52,Teams!$C:$C,Teams!$E:$E,,0,1)</f>
        <v>#VALUE!</v>
      </c>
      <c r="Q52" s="226" t="s">
        <v>1177</v>
      </c>
      <c r="R52" s="6" t="b">
        <f t="shared" si="5"/>
        <v>0</v>
      </c>
      <c r="S52" s="98"/>
    </row>
    <row r="53" spans="1:19" ht="24" customHeight="1" thickBot="1" x14ac:dyDescent="0.3">
      <c r="A53" s="91" t="str">
        <f t="shared" si="10"/>
        <v>UCLA</v>
      </c>
      <c r="B53" s="91" t="str">
        <f t="shared" si="11"/>
        <v>Tennessee</v>
      </c>
      <c r="C53" s="91" t="str">
        <f t="shared" si="7"/>
        <v>UCLA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134</v>
      </c>
      <c r="H53" s="184" t="s">
        <v>9</v>
      </c>
      <c r="I53" s="149" t="s">
        <v>130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0.43</v>
      </c>
      <c r="M53" s="151" t="e" vm="127">
        <f>_xlfn.XLOOKUP(I53,Teams!$C:$C,Teams!$E:$E,,0,1)</f>
        <v>#VALUE!</v>
      </c>
      <c r="N53" s="151">
        <v>0.56999999999999995</v>
      </c>
      <c r="O53" s="197" t="str">
        <f t="shared" si="9"/>
        <v>Tennessee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Arizona</v>
      </c>
      <c r="C55" s="91" t="str">
        <f t="shared" ref="C55:C62" si="12">IF(O55="","",IF(A55=O55,B55,A55))</f>
        <v>Arizona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39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0.62</v>
      </c>
      <c r="M55" s="97" t="e" vm="71">
        <f>_xlfn.XLOOKUP(I55,Teams!$C:$C,Teams!$E:$E,,0,1)</f>
        <v>#VALUE!</v>
      </c>
      <c r="N55" s="97">
        <v>0.38</v>
      </c>
      <c r="O55" s="188" t="str">
        <f t="shared" ref="O55:O62" si="14">IF(L55&gt;N55,G55,I55)</f>
        <v>Duke</v>
      </c>
      <c r="P55" s="204" t="e" vm="65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Brigham Young</v>
      </c>
      <c r="B56" s="91" t="str">
        <f t="shared" ref="B56:B62" si="16">I56</f>
        <v>Saint Mary's (CA)</v>
      </c>
      <c r="C56" s="91" t="str">
        <f t="shared" si="12"/>
        <v>Brigham Young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6</v>
      </c>
      <c r="G56" s="136" t="s">
        <v>58</v>
      </c>
      <c r="H56" s="182" t="s">
        <v>9</v>
      </c>
      <c r="I56" s="137" t="s">
        <v>832</v>
      </c>
      <c r="J56" s="138" cm="1">
        <f t="array" ref="J56">_xlfn.XLOOKUP(I56,Teams[[#All],[Team]],Teams[[#All],[Seed]],0,0,1)</f>
        <v>7</v>
      </c>
      <c r="K56" s="139" t="e" vm="73">
        <f>_xlfn.XLOOKUP(G56,Teams!$C:$C,Teams!$E:$E,,0,1)</f>
        <v>#VALUE!</v>
      </c>
      <c r="L56" s="139">
        <v>0.44</v>
      </c>
      <c r="M56" s="139" t="e" vm="77">
        <f>_xlfn.XLOOKUP(I56,Teams!$C:$C,Teams!$E:$E,,0,1)</f>
        <v>#VALUE!</v>
      </c>
      <c r="N56" s="139">
        <v>0.56000000000000005</v>
      </c>
      <c r="O56" s="195" t="str">
        <f t="shared" si="14"/>
        <v>Saint Mary's (CA)</v>
      </c>
      <c r="P56" s="210" t="e" vm="77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Colorado State</v>
      </c>
      <c r="C57" s="91" t="str">
        <f t="shared" si="12"/>
        <v>Colorado State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86</v>
      </c>
      <c r="J57" s="144" cm="1">
        <f t="array" ref="J57">_xlfn.XLOOKUP(I57,Teams[[#All],[Team]],Teams[[#All],[Seed]],0,0,1)</f>
        <v>12</v>
      </c>
      <c r="K57" s="145" t="e" vm="81">
        <f>_xlfn.XLOOKUP(G57,Teams!$C:$C,Teams!$E:$E,,0,1)</f>
        <v>#VALUE!</v>
      </c>
      <c r="L57" s="145">
        <v>0.98</v>
      </c>
      <c r="M57" s="145" t="e" vm="86">
        <f>_xlfn.XLOOKUP(I57,Teams!$C:$C,Teams!$E:$E,,0,1)</f>
        <v>#VALUE!</v>
      </c>
      <c r="N57" s="145">
        <v>0.02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Texas Tech</v>
      </c>
      <c r="B58" s="91" t="str">
        <f t="shared" si="16"/>
        <v>Kansas</v>
      </c>
      <c r="C58" s="91" t="str">
        <f t="shared" si="12"/>
        <v>Kansas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106</v>
      </c>
      <c r="H58" s="184" t="s">
        <v>9</v>
      </c>
      <c r="I58" s="149" t="s">
        <v>110</v>
      </c>
      <c r="J58" s="150" cm="1">
        <f t="array" ref="J58">_xlfn.XLOOKUP(I58,Teams[[#All],[Team]],Teams[[#All],[Seed]],0,0,1)</f>
        <v>7</v>
      </c>
      <c r="K58" s="151" t="e" vm="91">
        <f>_xlfn.XLOOKUP(G58,Teams!$C:$C,Teams!$E:$E,,0,1)</f>
        <v>#VALUE!</v>
      </c>
      <c r="L58" s="151">
        <v>0.67</v>
      </c>
      <c r="M58" s="151" t="e" vm="93">
        <f>_xlfn.XLOOKUP(I58,Teams!$C:$C,Teams!$E:$E,,0,1)</f>
        <v>#VALUE!</v>
      </c>
      <c r="N58" s="151">
        <v>0.33</v>
      </c>
      <c r="O58" s="197" t="str">
        <f t="shared" si="14"/>
        <v>Texas Tech</v>
      </c>
      <c r="P58" s="212" t="e" vm="91">
        <f>_xlfn.XLOOKUP(O58,Teams!$C:$C,Teams!$E:$E,,0,1)</f>
        <v>#VALUE!</v>
      </c>
      <c r="Q58" s="227" t="s">
        <v>1182</v>
      </c>
      <c r="R58" s="6" t="b">
        <f t="shared" si="5"/>
        <v>0</v>
      </c>
      <c r="S58" s="98"/>
    </row>
    <row r="59" spans="1:19" ht="24" customHeight="1" x14ac:dyDescent="0.25">
      <c r="A59" s="152" t="str">
        <f t="shared" si="15"/>
        <v>Auburn</v>
      </c>
      <c r="B59" s="152" t="str">
        <f t="shared" si="16"/>
        <v>Michigan</v>
      </c>
      <c r="C59" s="152" t="str">
        <f t="shared" si="12"/>
        <v>Auburn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45</v>
      </c>
      <c r="H59" s="181" t="s">
        <v>9</v>
      </c>
      <c r="I59" s="132" t="s">
        <v>120</v>
      </c>
      <c r="J59" s="133" cm="1">
        <f t="array" ref="J59">_xlfn.XLOOKUP(I59,Teams[[#All],[Team]],Teams[[#All],[Seed]],0,0,1)</f>
        <v>5</v>
      </c>
      <c r="K59" s="84" t="e" vm="97">
        <f>_xlfn.XLOOKUP(G59,Teams!$C:$C,Teams!$E:$E,,0,1)</f>
        <v>#VALUE!</v>
      </c>
      <c r="L59" s="84">
        <v>0.21</v>
      </c>
      <c r="M59" s="84" t="e" vm="101">
        <f>_xlfn.XLOOKUP(I59,Teams!$C:$C,Teams!$E:$E,,0,1)</f>
        <v>#VALUE!</v>
      </c>
      <c r="N59" s="84">
        <v>0.79</v>
      </c>
      <c r="O59" s="194" t="str">
        <f t="shared" si="14"/>
        <v>Michigan</v>
      </c>
      <c r="P59" s="209" t="e" vm="101">
        <f>_xlfn.XLOOKUP(O59,Teams!$C:$C,Teams!$E:$E,,0,1)</f>
        <v>#VALUE!</v>
      </c>
      <c r="Q59" s="228" t="s">
        <v>1183</v>
      </c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Iowa State</v>
      </c>
      <c r="B60" s="152" t="str">
        <f t="shared" si="16"/>
        <v>Michigan State</v>
      </c>
      <c r="C60" s="152" t="str">
        <f t="shared" si="12"/>
        <v>Michigan State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118</v>
      </c>
      <c r="H60" s="182" t="s">
        <v>9</v>
      </c>
      <c r="I60" s="137" t="s">
        <v>117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0.66</v>
      </c>
      <c r="M60" s="139" t="e" vm="111">
        <f>_xlfn.XLOOKUP(I60,Teams!$C:$C,Teams!$E:$E,,0,1)</f>
        <v>#VALUE!</v>
      </c>
      <c r="N60" s="139">
        <v>0.34</v>
      </c>
      <c r="O60" s="195" t="str">
        <f t="shared" si="14"/>
        <v>Iowa State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Gonzaga</v>
      </c>
      <c r="B61" s="91" t="str">
        <f t="shared" si="16"/>
        <v>High Point</v>
      </c>
      <c r="C61" s="91" t="str">
        <f t="shared" si="12"/>
        <v>Gonzaga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8</v>
      </c>
      <c r="G61" s="142" t="s">
        <v>135</v>
      </c>
      <c r="H61" s="183" t="s">
        <v>9</v>
      </c>
      <c r="I61" s="143" t="s">
        <v>140</v>
      </c>
      <c r="J61" s="144" cm="1">
        <f t="array" ref="J61">_xlfn.XLOOKUP(I61,Teams[[#All],[Team]],Teams[[#All],[Seed]],0,0,1)</f>
        <v>13</v>
      </c>
      <c r="K61" s="145" t="e" vm="115">
        <f>_xlfn.XLOOKUP(G61,Teams!$C:$C,Teams!$E:$E,,0,1)</f>
        <v>#VALUE!</v>
      </c>
      <c r="L61" s="145">
        <v>0.24</v>
      </c>
      <c r="M61" s="145" t="e" vm="120">
        <f>_xlfn.XLOOKUP(I61,Teams!$C:$C,Teams!$E:$E,,0,1)</f>
        <v>#VALUE!</v>
      </c>
      <c r="N61" s="145">
        <v>0.76</v>
      </c>
      <c r="O61" s="196" t="str">
        <f t="shared" si="14"/>
        <v>High Point</v>
      </c>
      <c r="P61" s="211" t="e" vm="120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Kentucky</v>
      </c>
      <c r="B62" s="91" t="str">
        <f t="shared" si="16"/>
        <v>Tennessee</v>
      </c>
      <c r="C62" s="91" t="str">
        <f t="shared" si="12"/>
        <v>Kentucky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3</v>
      </c>
      <c r="G62" s="148" t="s">
        <v>131</v>
      </c>
      <c r="H62" s="184" t="s">
        <v>9</v>
      </c>
      <c r="I62" s="149" t="s">
        <v>130</v>
      </c>
      <c r="J62" s="150" cm="1">
        <f t="array" ref="J62">_xlfn.XLOOKUP(I62,Teams[[#All],[Team]],Teams[[#All],[Seed]],0,0,1)</f>
        <v>2</v>
      </c>
      <c r="K62" s="151" t="e" vm="123">
        <f>_xlfn.XLOOKUP(G62,Teams!$C:$C,Teams!$E:$E,,0,1)</f>
        <v>#VALUE!</v>
      </c>
      <c r="L62" s="151">
        <v>0.36</v>
      </c>
      <c r="M62" s="151" t="e" vm="127">
        <f>_xlfn.XLOOKUP(I62,Teams!$C:$C,Teams!$E:$E,,0,1)</f>
        <v>#VALUE!</v>
      </c>
      <c r="N62" s="151">
        <v>0.64</v>
      </c>
      <c r="O62" s="197" t="str">
        <f t="shared" si="14"/>
        <v>Tennessee</v>
      </c>
      <c r="P62" s="212" t="e" vm="127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Duke</v>
      </c>
      <c r="B64" s="91" t="str">
        <f>I64</f>
        <v>Saint Mary's (CA)</v>
      </c>
      <c r="C64" s="91" t="str">
        <f>IF(O64="","",IF(A64=O64,B64,A64))</f>
        <v>Saint Mary's (CA)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95</v>
      </c>
      <c r="H64" s="185" t="s">
        <v>9</v>
      </c>
      <c r="I64" s="156" t="s">
        <v>832</v>
      </c>
      <c r="J64" s="157" cm="1">
        <f t="array" ref="J64">_xlfn.XLOOKUP(I64,Teams[[#All],[Team]],Teams[[#All],[Seed]],0,0,1)</f>
        <v>7</v>
      </c>
      <c r="K64" s="158" t="e" vm="65">
        <f>_xlfn.XLOOKUP(G64,Teams!$C:$C,Teams!$E:$E,,0,1)</f>
        <v>#VALUE!</v>
      </c>
      <c r="L64" s="158">
        <v>0.6</v>
      </c>
      <c r="M64" s="158" t="e" vm="77">
        <f>_xlfn.XLOOKUP(I64,Teams!$C:$C,Teams!$E:$E,,0,1)</f>
        <v>#VALUE!</v>
      </c>
      <c r="N64" s="158">
        <v>0.4</v>
      </c>
      <c r="O64" s="198" t="str">
        <f>IF(L64&gt;N64,G64,I64)</f>
        <v>Duke</v>
      </c>
      <c r="P64" s="204" t="e" vm="65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Texas Tech</v>
      </c>
      <c r="C65" s="91" t="str">
        <f>IF(O65="","",IF(A65=O65,B65,A65))</f>
        <v>Texas Tech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106</v>
      </c>
      <c r="J65" s="163" cm="1">
        <f t="array" ref="J65">_xlfn.XLOOKUP(I65,Teams[[#All],[Team]],Teams[[#All],[Seed]],0,0,1)</f>
        <v>3</v>
      </c>
      <c r="K65" s="164" t="e" vm="81">
        <f>_xlfn.XLOOKUP(G65,Teams!$C:$C,Teams!$E:$E,,0,1)</f>
        <v>#VALUE!</v>
      </c>
      <c r="L65" s="164">
        <v>0.54</v>
      </c>
      <c r="M65" s="164" t="e" vm="91">
        <f>_xlfn.XLOOKUP(I65,Teams!$C:$C,Teams!$E:$E,,0,1)</f>
        <v>#VALUE!</v>
      </c>
      <c r="N65" s="164">
        <v>0.46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Michigan</v>
      </c>
      <c r="B66" s="91" t="str">
        <f>I66</f>
        <v>Iowa State</v>
      </c>
      <c r="C66" s="91" t="str">
        <f>IF(O66="","",IF(A66=O66,B66,A66))</f>
        <v>Iowa State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5</v>
      </c>
      <c r="G66" s="155" t="s">
        <v>120</v>
      </c>
      <c r="H66" s="185" t="s">
        <v>9</v>
      </c>
      <c r="I66" s="156" t="s">
        <v>118</v>
      </c>
      <c r="J66" s="157" cm="1">
        <f t="array" ref="J66">_xlfn.XLOOKUP(I66,Teams[[#All],[Team]],Teams[[#All],[Seed]],0,0,1)</f>
        <v>3</v>
      </c>
      <c r="K66" s="158" t="e" vm="101">
        <f>_xlfn.XLOOKUP(G66,Teams!$C:$C,Teams!$E:$E,,0,1)</f>
        <v>#VALUE!</v>
      </c>
      <c r="L66" s="158">
        <v>0.57999999999999996</v>
      </c>
      <c r="M66" s="158" t="e" vm="107">
        <f>_xlfn.XLOOKUP(I66,Teams!$C:$C,Teams!$E:$E,,0,1)</f>
        <v>#VALUE!</v>
      </c>
      <c r="N66" s="158">
        <v>0.42</v>
      </c>
      <c r="O66" s="198" t="str">
        <f>IF(L66&gt;N66,G66,I66)</f>
        <v>Michigan</v>
      </c>
      <c r="P66" s="204" t="e" vm="101">
        <f>_xlfn.XLOOKUP(O66,Teams!$C:$C,Teams!$E:$E,,0,1)</f>
        <v>#VALUE!</v>
      </c>
      <c r="Q66" s="232" t="s">
        <v>1189</v>
      </c>
      <c r="R66" s="6" t="b">
        <f t="shared" si="5"/>
        <v>1</v>
      </c>
      <c r="S66" s="98"/>
    </row>
    <row r="67" spans="1:19" ht="24" customHeight="1" thickBot="1" x14ac:dyDescent="0.3">
      <c r="A67" s="91" t="str">
        <f>G67</f>
        <v>High Point</v>
      </c>
      <c r="B67" s="91" t="str">
        <f>I67</f>
        <v>Tennessee</v>
      </c>
      <c r="C67" s="91" t="str">
        <f>IF(O67="","",IF(A67=O67,B67,A67))</f>
        <v>High Point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13</v>
      </c>
      <c r="G67" s="161" t="s">
        <v>140</v>
      </c>
      <c r="H67" s="186" t="s">
        <v>9</v>
      </c>
      <c r="I67" s="162" t="s">
        <v>130</v>
      </c>
      <c r="J67" s="163" cm="1">
        <f t="array" ref="J67">_xlfn.XLOOKUP(I67,Teams[[#All],[Team]],Teams[[#All],[Seed]],0,0,1)</f>
        <v>2</v>
      </c>
      <c r="K67" s="164" t="e" vm="120">
        <f>_xlfn.XLOOKUP(G67,Teams!$C:$C,Teams!$E:$E,,0,1)</f>
        <v>#VALUE!</v>
      </c>
      <c r="L67" s="164">
        <v>0.47</v>
      </c>
      <c r="M67" s="164" t="e" vm="127">
        <f>_xlfn.XLOOKUP(I67,Teams!$C:$C,Teams!$E:$E,,0,1)</f>
        <v>#VALUE!</v>
      </c>
      <c r="N67" s="164">
        <v>0.53</v>
      </c>
      <c r="O67" s="199" t="str">
        <f>IF(L67&gt;N67,G67,I67)</f>
        <v>Tennessee</v>
      </c>
      <c r="P67" s="207" t="e" vm="127">
        <f>_xlfn.XLOOKUP(O67,Teams!$C:$C,Teams!$E:$E,,0,1)</f>
        <v>#VALUE!</v>
      </c>
      <c r="Q67" s="231" t="s">
        <v>1190</v>
      </c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Duke</v>
      </c>
      <c r="B69" s="91" t="str">
        <f>I69</f>
        <v>Florida</v>
      </c>
      <c r="C69" s="91" t="str">
        <f>IF(O69="","",IF(A69=O69,B69,A69))</f>
        <v>Duke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95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65">
        <f>_xlfn.XLOOKUP(G69,Teams!$C:$C,Teams!$E:$E,,0,1)</f>
        <v>#VALUE!</v>
      </c>
      <c r="L69" s="170">
        <v>0.42</v>
      </c>
      <c r="M69" s="170" t="e" vm="81">
        <f>_xlfn.XLOOKUP(I69,Teams!$C:$C,Teams!$E:$E,,0,1)</f>
        <v>#VALUE!</v>
      </c>
      <c r="N69" s="170">
        <v>0.57999999999999996</v>
      </c>
      <c r="O69" s="200" t="str">
        <f>IF(L69&gt;N69,G69,I69)</f>
        <v>Florida</v>
      </c>
      <c r="P69" s="210" t="e" vm="8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Michigan</v>
      </c>
      <c r="B70" s="91" t="str">
        <f>I70</f>
        <v>Tennessee</v>
      </c>
      <c r="C70" s="91" t="str">
        <f>IF(O70="","",IF(A70=O70,B70,A70))</f>
        <v>Michigan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5</v>
      </c>
      <c r="G70" s="161" t="s">
        <v>120</v>
      </c>
      <c r="H70" s="186" t="s">
        <v>9</v>
      </c>
      <c r="I70" s="162" t="s">
        <v>130</v>
      </c>
      <c r="J70" s="163" cm="1">
        <f t="array" ref="J70">_xlfn.XLOOKUP(I70,Teams[[#All],[Team]],Teams[[#All],[Seed]],0,0,1)</f>
        <v>2</v>
      </c>
      <c r="K70" s="164" t="e" vm="101">
        <f>_xlfn.XLOOKUP(G70,Teams!$C:$C,Teams!$E:$E,,0,1)</f>
        <v>#VALUE!</v>
      </c>
      <c r="L70" s="164">
        <v>0.32</v>
      </c>
      <c r="M70" s="164" t="e" vm="127">
        <f>_xlfn.XLOOKUP(I70,Teams!$C:$C,Teams!$E:$E,,0,1)</f>
        <v>#VALUE!</v>
      </c>
      <c r="N70" s="164">
        <v>0.68</v>
      </c>
      <c r="O70" s="199" t="str">
        <f>IF(L70&gt;N70,G70,I70)</f>
        <v>Tennessee</v>
      </c>
      <c r="P70" s="213" t="e" vm="12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Florida</v>
      </c>
      <c r="B72" s="91" t="str">
        <f>I72</f>
        <v>Tennessee</v>
      </c>
      <c r="C72" s="91" t="str">
        <f>IF(O72="","",IF(A72=O72,B72,A72))</f>
        <v>Tennessee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105</v>
      </c>
      <c r="H72" s="185" t="s">
        <v>9</v>
      </c>
      <c r="I72" s="156" t="s">
        <v>130</v>
      </c>
      <c r="J72" s="157" cm="1">
        <f t="array" ref="J72">_xlfn.XLOOKUP(I72,Teams[[#All],[Team]],Teams[[#All],[Seed]],0,0,1)</f>
        <v>2</v>
      </c>
      <c r="K72" s="158" t="e" vm="81">
        <f>_xlfn.XLOOKUP(G72,Teams!$C:$C,Teams!$E:$E,,0,1)</f>
        <v>#VALUE!</v>
      </c>
      <c r="L72" s="158">
        <v>0.88</v>
      </c>
      <c r="M72" s="158" t="e" vm="127">
        <f>_xlfn.XLOOKUP(I72,Teams!$C:$C,Teams!$E:$E,,0,1)</f>
        <v>#VALUE!</v>
      </c>
      <c r="N72" s="158">
        <v>0.12</v>
      </c>
      <c r="O72" s="198" t="str">
        <f>IF(L72&gt;N72,G72,I72)</f>
        <v>Florida</v>
      </c>
      <c r="P72" s="205" t="e" vm="81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79" t="s">
        <v>20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1" t="s">
        <v>2</v>
      </c>
      <c r="T2" s="281"/>
      <c r="U2" s="281"/>
      <c r="V2" s="281"/>
      <c r="W2" s="281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5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5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0.98</v>
      </c>
      <c r="F5" s="256" t="str">
        <f>Games!O5</f>
        <v>Duke</v>
      </c>
      <c r="G5" s="259" t="e" vm="65">
        <f>_xlfn.XLOOKUP(F5,Teams!$C:$C,Teams!$E:$E,,0,1)</f>
        <v>#VALUE!</v>
      </c>
      <c r="H5" s="280">
        <f>Games!L38</f>
        <v>0.85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1">
        <f>Games!L46</f>
        <v>0.77</v>
      </c>
      <c r="AI5" s="247" t="e" vm="97">
        <f>_xlfn.XLOOKUP(AJ5,Teams!$C:$C,Teams!$E:$E,,0,1)</f>
        <v>#VALUE!</v>
      </c>
      <c r="AJ5" s="256" t="str">
        <f>Games!O21</f>
        <v>Auburn</v>
      </c>
      <c r="AK5" s="58">
        <f>Games!L21</f>
        <v>0.96</v>
      </c>
      <c r="AL5" s="46" t="e" vm="97">
        <f>_xlfn.XLOOKUP(AM5,Teams!$C:$C,Teams!$E:$E,,0,1)</f>
        <v>#VALUE!</v>
      </c>
      <c r="AM5" s="37" t="str">
        <f>Games!G21</f>
        <v>Auburn</v>
      </c>
      <c r="AN5" s="27">
        <v>1</v>
      </c>
      <c r="AO5" s="17"/>
      <c r="AQ5" s="275"/>
      <c r="AU5" s="2" t="b">
        <f>IF(AP29="x",TRUE,FALSE)</f>
        <v>1</v>
      </c>
    </row>
    <row r="6" spans="1:47" ht="10.5" customHeight="1" thickBot="1" x14ac:dyDescent="0.35">
      <c r="A6" s="255">
        <f>IF($AU$5=TRUE,1,"")</f>
        <v>1</v>
      </c>
      <c r="B6" s="28"/>
      <c r="C6" s="38"/>
      <c r="D6" s="71"/>
      <c r="E6" s="47"/>
      <c r="F6" s="257"/>
      <c r="G6" s="260"/>
      <c r="H6" s="252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2"/>
      <c r="AI6" s="248"/>
      <c r="AJ6" s="257"/>
      <c r="AK6" s="55"/>
      <c r="AM6" s="39"/>
      <c r="AN6" s="28"/>
      <c r="AO6" s="277">
        <f>IF($AU$5=TRUE,A66+1,"")</f>
        <v>17</v>
      </c>
      <c r="AQ6" s="275"/>
    </row>
    <row r="7" spans="1:47" ht="13.8" customHeight="1" thickBot="1" x14ac:dyDescent="0.35">
      <c r="A7" s="255"/>
      <c r="B7" s="27">
        <v>16</v>
      </c>
      <c r="C7" s="40" t="str">
        <f>Games!I5</f>
        <v>Mount St. Mary's</v>
      </c>
      <c r="D7" s="70" t="e" vm="66">
        <f>_xlfn.XLOOKUP(C7,Teams!$C:$C,Teams!$E:$E,,0,1)</f>
        <v>#VALUE!</v>
      </c>
      <c r="E7" s="48">
        <f>Games!N5</f>
        <v>0.02</v>
      </c>
      <c r="F7" s="276">
        <f>IF($AU$5=TRUE,AO66+1,"")</f>
        <v>33</v>
      </c>
      <c r="G7" s="14"/>
      <c r="H7" s="49"/>
      <c r="I7" s="265" t="str">
        <f>Games!O38</f>
        <v>Duke</v>
      </c>
      <c r="J7" s="259" t="e" vm="65">
        <f>_xlfn.XLOOKUP(I7,Teams!$C:$C,Teams!$E:$E,,0,1)</f>
        <v>#VALUE!</v>
      </c>
      <c r="K7" s="251">
        <f>Games!L55</f>
        <v>0.62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1">
        <f>Games!L59</f>
        <v>0.21</v>
      </c>
      <c r="AF7" s="247" t="e" vm="97">
        <f>_xlfn.XLOOKUP(AG7,Teams!$C:$C,Teams!$E:$E,,0,1)</f>
        <v>#VALUE!</v>
      </c>
      <c r="AG7" s="256" t="str">
        <f>Games!O46</f>
        <v>Auburn</v>
      </c>
      <c r="AH7" s="55"/>
      <c r="AI7" s="51"/>
      <c r="AJ7" s="276">
        <f>IF($AU$5=TRUE,F63+1,"")</f>
        <v>41</v>
      </c>
      <c r="AK7" s="59">
        <f>Games!N21</f>
        <v>0.04</v>
      </c>
      <c r="AL7" s="46" t="e" vm="98">
        <f>_xlfn.XLOOKUP(AM7,Teams!$C:$C,Teams!$E:$E,,0,1)</f>
        <v>#VALUE!</v>
      </c>
      <c r="AM7" s="37" t="str">
        <f>Games!I21</f>
        <v>Alabama State</v>
      </c>
      <c r="AN7" s="27">
        <v>16</v>
      </c>
      <c r="AO7" s="277"/>
      <c r="AQ7" s="275"/>
    </row>
    <row r="8" spans="1:47" ht="10.199999999999999" customHeight="1" thickBot="1" x14ac:dyDescent="0.35">
      <c r="A8" s="16"/>
      <c r="B8" s="28"/>
      <c r="C8" s="38"/>
      <c r="D8" s="71"/>
      <c r="F8" s="255"/>
      <c r="G8" s="15"/>
      <c r="H8" s="50"/>
      <c r="I8" s="266"/>
      <c r="J8" s="260"/>
      <c r="K8" s="252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2"/>
      <c r="AF8" s="248"/>
      <c r="AG8" s="257"/>
      <c r="AH8" s="56"/>
      <c r="AJ8" s="255"/>
      <c r="AM8" s="39"/>
      <c r="AN8" s="28"/>
      <c r="AO8" s="17"/>
      <c r="AQ8" s="275"/>
    </row>
    <row r="9" spans="1:47" ht="18.600000000000001" customHeight="1" thickBot="1" x14ac:dyDescent="0.35">
      <c r="A9" s="16"/>
      <c r="B9" s="27">
        <v>8</v>
      </c>
      <c r="C9" s="36" t="str">
        <f>Games!G6</f>
        <v>Mississippi State</v>
      </c>
      <c r="D9" s="70" t="e" vm="67">
        <f>_xlfn.XLOOKUP(C9,Teams!$C:$C,Teams!$E:$E,,0,1)</f>
        <v>#VALUE!</v>
      </c>
      <c r="E9" s="46">
        <f>Games!L6</f>
        <v>0.34</v>
      </c>
      <c r="F9" s="256" t="str">
        <f>Games!O6</f>
        <v>Baylor</v>
      </c>
      <c r="G9" s="259" t="e" vm="68">
        <f>_xlfn.XLOOKUP(F9,Teams!$C:$C,Teams!$E:$E,,0,1)</f>
        <v>#VALUE!</v>
      </c>
      <c r="H9" s="261">
        <f>Games!N38</f>
        <v>0.15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3">
        <f>Games!N46</f>
        <v>0.23</v>
      </c>
      <c r="AI9" s="247" t="e" vm="100">
        <f>_xlfn.XLOOKUP(AJ9,Teams!$C:$C,Teams!$E:$E,,0,1)</f>
        <v>#VALUE!</v>
      </c>
      <c r="AJ9" s="256" t="str">
        <f>Games!O22</f>
        <v>Creighton</v>
      </c>
      <c r="AK9" s="58">
        <f>Games!L22</f>
        <v>0.2</v>
      </c>
      <c r="AL9" s="46" t="e" vm="99">
        <f>_xlfn.XLOOKUP(AM9,Teams!$C:$C,Teams!$E:$E,,0,1)</f>
        <v>#VALUE!</v>
      </c>
      <c r="AM9" s="37" t="str">
        <f>Games!G22</f>
        <v>Louisville</v>
      </c>
      <c r="AN9" s="27">
        <v>8</v>
      </c>
      <c r="AO9" s="17"/>
      <c r="AQ9" s="275"/>
    </row>
    <row r="10" spans="1:47" ht="10.5" customHeight="1" thickBot="1" x14ac:dyDescent="0.35">
      <c r="A10" s="278">
        <f>IF($AU$5=TRUE,A6+1,"")</f>
        <v>2</v>
      </c>
      <c r="B10" s="28"/>
      <c r="C10" s="38"/>
      <c r="D10" s="71"/>
      <c r="E10" s="47"/>
      <c r="F10" s="257"/>
      <c r="G10" s="260"/>
      <c r="H10" s="262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4"/>
      <c r="AI10" s="248"/>
      <c r="AJ10" s="257"/>
      <c r="AK10" s="55"/>
      <c r="AM10" s="39"/>
      <c r="AN10" s="28"/>
      <c r="AO10" s="277">
        <f>IF($AU$5=TRUE,AO6+1,"")</f>
        <v>18</v>
      </c>
      <c r="AQ10" s="275"/>
    </row>
    <row r="11" spans="1:47" ht="13.8" customHeight="1" thickBot="1" x14ac:dyDescent="0.35">
      <c r="A11" s="278"/>
      <c r="B11" s="27">
        <v>9</v>
      </c>
      <c r="C11" s="36" t="str">
        <f>Games!I6</f>
        <v>Baylor</v>
      </c>
      <c r="D11" s="70" t="e" vm="68">
        <f>_xlfn.XLOOKUP(C11,Teams!$C:$C,Teams!$E:$E,,0,1)</f>
        <v>#VALUE!</v>
      </c>
      <c r="E11" s="48">
        <f>Games!N6</f>
        <v>0.66</v>
      </c>
      <c r="F11" s="24"/>
      <c r="G11" s="24"/>
      <c r="I11" s="255">
        <f>IF($AU$5=TRUE,AJ63+1,"")</f>
        <v>49</v>
      </c>
      <c r="J11" s="15"/>
      <c r="K11" s="50"/>
      <c r="L11" s="265" t="str">
        <f>Games!O55</f>
        <v>Duke</v>
      </c>
      <c r="M11" s="259" t="e" vm="65">
        <f>_xlfn.XLOOKUP(L11,Teams!$C:$C,Teams!$E:$E,,0,1)</f>
        <v>#VALUE!</v>
      </c>
      <c r="N11" s="251">
        <f>Games!L64</f>
        <v>0.6</v>
      </c>
      <c r="O11" s="25"/>
      <c r="P11" s="25"/>
      <c r="R11" s="25"/>
      <c r="S11" s="25"/>
      <c r="T11" s="282" t="e" vm="81">
        <f>_xlfn.XLOOKUP(S32,Teams!$C:$C,Teams!$E:$E,,0,1)</f>
        <v>#VALUE!</v>
      </c>
      <c r="U11" s="283"/>
      <c r="V11" s="284"/>
      <c r="W11" s="25"/>
      <c r="X11" s="25"/>
      <c r="AA11" s="25"/>
      <c r="AB11" s="251">
        <f>Games!L66</f>
        <v>0.57999999999999996</v>
      </c>
      <c r="AC11" s="249" t="e" vm="101">
        <f>_xlfn.XLOOKUP(AD11,Teams!$C:$C,Teams!$E:$E,,0,1)</f>
        <v>#VALUE!</v>
      </c>
      <c r="AD11" s="256" t="str">
        <f>Games!O59</f>
        <v>Michigan</v>
      </c>
      <c r="AE11" s="56"/>
      <c r="AG11" s="255">
        <f>IF($AU$5=TRUE,I59+1,"")</f>
        <v>53</v>
      </c>
      <c r="AJ11" s="24"/>
      <c r="AK11" s="59">
        <f>Games!N22</f>
        <v>0.8</v>
      </c>
      <c r="AL11" s="46" t="e" vm="100">
        <f>_xlfn.XLOOKUP(AM11,Teams!$C:$C,Teams!$E:$E,,0,1)</f>
        <v>#VALUE!</v>
      </c>
      <c r="AM11" s="37" t="str">
        <f>Games!I22</f>
        <v>Creighton</v>
      </c>
      <c r="AN11" s="27">
        <v>9</v>
      </c>
      <c r="AO11" s="277"/>
      <c r="AQ11" s="275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5"/>
      <c r="J12" s="15"/>
      <c r="K12" s="50"/>
      <c r="L12" s="266"/>
      <c r="M12" s="260"/>
      <c r="N12" s="252"/>
      <c r="O12" s="25"/>
      <c r="P12" s="25"/>
      <c r="R12" s="25"/>
      <c r="S12" s="25"/>
      <c r="T12" s="285"/>
      <c r="U12" s="286"/>
      <c r="V12" s="287"/>
      <c r="W12" s="25"/>
      <c r="X12" s="25"/>
      <c r="AA12" s="25"/>
      <c r="AB12" s="252"/>
      <c r="AC12" s="250"/>
      <c r="AD12" s="257"/>
      <c r="AE12" s="56"/>
      <c r="AG12" s="255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Oregon</v>
      </c>
      <c r="D13" s="70" t="e" vm="69">
        <f>_xlfn.XLOOKUP(C13,Teams!$C:$C,Teams!$E:$E,,0,1)</f>
        <v>#VALUE!</v>
      </c>
      <c r="E13" s="46">
        <f>Games!L7</f>
        <v>0.12</v>
      </c>
      <c r="F13" s="256" t="str">
        <f>Games!O7</f>
        <v>Liberty</v>
      </c>
      <c r="G13" s="259" t="e" vm="70">
        <f>_xlfn.XLOOKUP(F13,Teams!$C:$C,Teams!$E:$E,,0,1)</f>
        <v>#VALUE!</v>
      </c>
      <c r="H13" s="251">
        <f>Games!L39</f>
        <v>0.12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5"/>
      <c r="U13" s="286"/>
      <c r="V13" s="287"/>
      <c r="W13" s="25"/>
      <c r="X13" s="25"/>
      <c r="AA13" s="25"/>
      <c r="AB13" s="55"/>
      <c r="AD13" s="25"/>
      <c r="AE13" s="56"/>
      <c r="AG13" s="24"/>
      <c r="AH13" s="251">
        <f>Games!L47</f>
        <v>0.77</v>
      </c>
      <c r="AI13" s="249" t="e" vm="101">
        <f>_xlfn.XLOOKUP(AJ13,Teams!$C:$C,Teams!$E:$E,,0,1)</f>
        <v>#VALUE!</v>
      </c>
      <c r="AJ13" s="256" t="str">
        <f>Games!O23</f>
        <v>Michigan</v>
      </c>
      <c r="AK13" s="58">
        <f>Games!L23</f>
        <v>0.91</v>
      </c>
      <c r="AL13" s="46" t="e" vm="101">
        <f>_xlfn.XLOOKUP(AM13,Teams!$C:$C,Teams!$E:$E,,0,1)</f>
        <v>#VALUE!</v>
      </c>
      <c r="AM13" s="37" t="str">
        <f>Games!G23</f>
        <v>Michigan</v>
      </c>
      <c r="AN13" s="27">
        <v>5</v>
      </c>
      <c r="AO13" s="17"/>
      <c r="AQ13" s="9"/>
    </row>
    <row r="14" spans="1:47" ht="10.5" customHeight="1" thickBot="1" x14ac:dyDescent="0.35">
      <c r="A14" s="255">
        <f>IF($AU$5=TRUE,A10+1,"")</f>
        <v>3</v>
      </c>
      <c r="B14" s="28"/>
      <c r="C14" s="38"/>
      <c r="D14" s="71"/>
      <c r="E14" s="49"/>
      <c r="F14" s="257"/>
      <c r="G14" s="260"/>
      <c r="H14" s="252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5"/>
      <c r="U14" s="286"/>
      <c r="V14" s="287"/>
      <c r="W14" s="25"/>
      <c r="X14" s="25"/>
      <c r="AA14" s="25"/>
      <c r="AB14" s="56"/>
      <c r="AD14" s="25"/>
      <c r="AE14" s="56"/>
      <c r="AG14" s="24"/>
      <c r="AH14" s="252"/>
      <c r="AI14" s="250"/>
      <c r="AJ14" s="257"/>
      <c r="AK14" s="55"/>
      <c r="AM14" s="39"/>
      <c r="AN14" s="28"/>
      <c r="AO14" s="277">
        <f>IF($AU$5=TRUE,AO10+1,"")</f>
        <v>19</v>
      </c>
      <c r="AQ14" s="275"/>
    </row>
    <row r="15" spans="1:47" ht="13.8" customHeight="1" thickBot="1" x14ac:dyDescent="0.35">
      <c r="A15" s="255"/>
      <c r="B15" s="27">
        <v>12</v>
      </c>
      <c r="C15" s="36" t="str">
        <f>Games!I7</f>
        <v>Liberty</v>
      </c>
      <c r="D15" s="70" t="e" vm="70">
        <f>_xlfn.XLOOKUP(C15,Teams!$C:$C,Teams!$E:$E,,0,1)</f>
        <v>#VALUE!</v>
      </c>
      <c r="E15" s="48">
        <f>Games!N7</f>
        <v>0.88</v>
      </c>
      <c r="F15" s="276">
        <f>IF($AU$5=TRUE,F7+1,"")</f>
        <v>34</v>
      </c>
      <c r="G15" s="14"/>
      <c r="H15" s="49"/>
      <c r="I15" s="265" t="str">
        <f>Games!O39</f>
        <v>Arizona</v>
      </c>
      <c r="J15" s="259" t="e" vm="71">
        <f>_xlfn.XLOOKUP(I15,Teams!$C:$C,Teams!$E:$E,,0,1)</f>
        <v>#VALUE!</v>
      </c>
      <c r="K15" s="261">
        <f>Games!N55</f>
        <v>0.38</v>
      </c>
      <c r="L15" s="25"/>
      <c r="M15" s="25"/>
      <c r="N15" s="50"/>
      <c r="O15" s="25"/>
      <c r="P15" s="25"/>
      <c r="R15" s="25"/>
      <c r="S15" s="25"/>
      <c r="T15" s="285"/>
      <c r="U15" s="286"/>
      <c r="V15" s="287"/>
      <c r="W15" s="25"/>
      <c r="X15" s="25"/>
      <c r="AA15" s="25"/>
      <c r="AB15" s="56"/>
      <c r="AD15" s="25"/>
      <c r="AE15" s="253">
        <f>Games!N59</f>
        <v>0.79</v>
      </c>
      <c r="AF15" s="249" t="e" vm="101">
        <f>_xlfn.XLOOKUP(AG15,Teams!$C:$C,Teams!$E:$E,,0,1)</f>
        <v>#VALUE!</v>
      </c>
      <c r="AG15" s="256" t="str">
        <f>Games!O47</f>
        <v>Michigan</v>
      </c>
      <c r="AH15" s="55"/>
      <c r="AI15" s="51"/>
      <c r="AJ15" s="276">
        <f>IF($AU$5=TRUE,AJ7+1,"")</f>
        <v>42</v>
      </c>
      <c r="AK15" s="59">
        <f>Games!N23</f>
        <v>0.09</v>
      </c>
      <c r="AL15" s="46" t="e" vm="102">
        <f>_xlfn.XLOOKUP(AM15,Teams!$C:$C,Teams!$E:$E,,0,1)</f>
        <v>#VALUE!</v>
      </c>
      <c r="AM15" s="37" t="str">
        <f>Games!I23</f>
        <v>UC San Diego</v>
      </c>
      <c r="AN15" s="27">
        <v>12</v>
      </c>
      <c r="AO15" s="277"/>
      <c r="AQ15" s="275"/>
    </row>
    <row r="16" spans="1:47" ht="10.5" customHeight="1" thickBot="1" x14ac:dyDescent="0.35">
      <c r="A16" s="16"/>
      <c r="B16" s="28"/>
      <c r="C16" s="38"/>
      <c r="D16" s="71"/>
      <c r="F16" s="255"/>
      <c r="G16" s="15"/>
      <c r="H16" s="50"/>
      <c r="I16" s="266"/>
      <c r="J16" s="260"/>
      <c r="K16" s="262"/>
      <c r="L16" s="25"/>
      <c r="M16" s="25"/>
      <c r="N16" s="50"/>
      <c r="O16" s="25"/>
      <c r="P16" s="25"/>
      <c r="R16" s="25"/>
      <c r="S16" s="25"/>
      <c r="T16" s="285"/>
      <c r="U16" s="286"/>
      <c r="V16" s="287"/>
      <c r="W16" s="25"/>
      <c r="X16" s="25"/>
      <c r="AA16" s="25"/>
      <c r="AB16" s="56"/>
      <c r="AD16" s="25"/>
      <c r="AE16" s="254"/>
      <c r="AF16" s="250"/>
      <c r="AG16" s="257"/>
      <c r="AH16" s="56"/>
      <c r="AJ16" s="255"/>
      <c r="AM16" s="39"/>
      <c r="AN16" s="28"/>
      <c r="AO16" s="17"/>
      <c r="AQ16" s="275"/>
    </row>
    <row r="17" spans="1:43" ht="18.600000000000001" customHeight="1" thickBot="1" x14ac:dyDescent="0.35">
      <c r="A17" s="16"/>
      <c r="B17" s="27">
        <v>4</v>
      </c>
      <c r="C17" s="36" t="str">
        <f>Games!G8</f>
        <v>Arizona</v>
      </c>
      <c r="D17" s="70" t="e" vm="71">
        <f>_xlfn.XLOOKUP(C17,Teams!$C:$C,Teams!$E:$E,,0,1)</f>
        <v>#VALUE!</v>
      </c>
      <c r="E17" s="46">
        <f>Games!L8</f>
        <v>0.88</v>
      </c>
      <c r="F17" s="256" t="str">
        <f>Games!O8</f>
        <v>Arizona</v>
      </c>
      <c r="G17" s="259" t="e" vm="71">
        <f>_xlfn.XLOOKUP(F17,Teams!$C:$C,Teams!$E:$E,,0,1)</f>
        <v>#VALUE!</v>
      </c>
      <c r="H17" s="261">
        <f>Games!N39</f>
        <v>0.88</v>
      </c>
      <c r="I17" s="24"/>
      <c r="J17" s="24"/>
      <c r="L17" s="25"/>
      <c r="M17" s="25"/>
      <c r="N17" s="50"/>
      <c r="O17" s="25"/>
      <c r="P17" s="25"/>
      <c r="R17" s="25"/>
      <c r="S17" s="25"/>
      <c r="T17" s="285"/>
      <c r="U17" s="286"/>
      <c r="V17" s="287"/>
      <c r="W17" s="25"/>
      <c r="X17" s="25"/>
      <c r="AA17" s="25"/>
      <c r="AB17" s="56"/>
      <c r="AD17" s="25"/>
      <c r="AG17" s="24"/>
      <c r="AH17" s="253">
        <f>Games!N47</f>
        <v>0.23</v>
      </c>
      <c r="AI17" s="249" t="e" vm="104">
        <f>_xlfn.XLOOKUP(AJ17,Teams!$C:$C,Teams!$E:$E,,0,1)</f>
        <v>#VALUE!</v>
      </c>
      <c r="AJ17" s="256" t="str">
        <f>Games!O24</f>
        <v>Yale</v>
      </c>
      <c r="AK17" s="58">
        <f>Games!L24</f>
        <v>0.3</v>
      </c>
      <c r="AL17" s="46" t="e" vm="103">
        <f>_xlfn.XLOOKUP(AM17,Teams!$C:$C,Teams!$E:$E,,0,1)</f>
        <v>#VALUE!</v>
      </c>
      <c r="AM17" s="37" t="str">
        <f>Games!G24</f>
        <v>Texas A&amp;M</v>
      </c>
      <c r="AN17" s="27">
        <v>4</v>
      </c>
      <c r="AO17" s="17"/>
      <c r="AQ17" s="275"/>
    </row>
    <row r="18" spans="1:43" ht="10.5" customHeight="1" thickBot="1" x14ac:dyDescent="0.35">
      <c r="A18" s="255">
        <f>IF($AU$5=TRUE,A14+1,"")</f>
        <v>4</v>
      </c>
      <c r="B18" s="28"/>
      <c r="C18" s="38"/>
      <c r="D18" s="71"/>
      <c r="E18" s="49"/>
      <c r="F18" s="257"/>
      <c r="G18" s="260"/>
      <c r="H18" s="262"/>
      <c r="I18" s="24"/>
      <c r="J18" s="24"/>
      <c r="L18" s="25"/>
      <c r="M18" s="25"/>
      <c r="N18" s="50"/>
      <c r="O18" s="25"/>
      <c r="P18" s="25"/>
      <c r="R18" s="25"/>
      <c r="S18" s="25"/>
      <c r="T18" s="285"/>
      <c r="U18" s="286"/>
      <c r="V18" s="287"/>
      <c r="W18" s="25"/>
      <c r="X18" s="25"/>
      <c r="AA18" s="25"/>
      <c r="AB18" s="56"/>
      <c r="AD18" s="25"/>
      <c r="AG18" s="24"/>
      <c r="AH18" s="254"/>
      <c r="AI18" s="250"/>
      <c r="AJ18" s="257"/>
      <c r="AK18" s="55"/>
      <c r="AM18" s="39"/>
      <c r="AN18" s="28"/>
      <c r="AO18" s="277">
        <f>IF($AU$5=TRUE,AO14+1,"")</f>
        <v>20</v>
      </c>
      <c r="AQ18" s="275"/>
    </row>
    <row r="19" spans="1:43" ht="13.8" customHeight="1" thickBot="1" x14ac:dyDescent="0.45">
      <c r="A19" s="255"/>
      <c r="B19" s="27">
        <v>13</v>
      </c>
      <c r="C19" s="36" t="str">
        <f>Games!I8</f>
        <v>Akron</v>
      </c>
      <c r="D19" s="70" t="e" vm="72">
        <f>_xlfn.XLOOKUP(C19,Teams!$C:$C,Teams!$E:$E,,0,1)</f>
        <v>#VALUE!</v>
      </c>
      <c r="E19" s="48">
        <f>Games!N8</f>
        <v>0.12</v>
      </c>
      <c r="F19" s="24"/>
      <c r="G19" s="24"/>
      <c r="I19" s="24"/>
      <c r="J19" s="24"/>
      <c r="K19" s="258" t="s">
        <v>15</v>
      </c>
      <c r="L19" s="258"/>
      <c r="M19" s="20"/>
      <c r="N19" s="50"/>
      <c r="O19" s="265" t="str">
        <f>Games!O64</f>
        <v>Duke</v>
      </c>
      <c r="P19" s="259" t="e" vm="65">
        <f>_xlfn.XLOOKUP(O19,Teams!$C:$C,Teams!$E:$E,,0,1)</f>
        <v>#VALUE!</v>
      </c>
      <c r="Q19" s="251">
        <f>Games!L69</f>
        <v>0.42</v>
      </c>
      <c r="R19" s="25"/>
      <c r="S19" s="25"/>
      <c r="T19" s="288"/>
      <c r="U19" s="289"/>
      <c r="V19" s="290"/>
      <c r="W19" s="25"/>
      <c r="X19" s="25"/>
      <c r="Y19" s="251">
        <f>Games!L70</f>
        <v>0.32</v>
      </c>
      <c r="Z19" s="249" t="e" vm="101">
        <f>_xlfn.XLOOKUP(AA19,Teams!$C:$C,Teams!$E:$E,,0,1)</f>
        <v>#VALUE!</v>
      </c>
      <c r="AA19" s="256" t="str">
        <f>Games!O66</f>
        <v>Michigan</v>
      </c>
      <c r="AB19" s="56"/>
      <c r="AD19" s="258" t="s">
        <v>3</v>
      </c>
      <c r="AE19" s="258"/>
      <c r="AF19" s="20"/>
      <c r="AG19" s="24"/>
      <c r="AJ19" s="24"/>
      <c r="AK19" s="59">
        <f>Games!N24</f>
        <v>0.7</v>
      </c>
      <c r="AL19" s="46" t="e" vm="104">
        <f>_xlfn.XLOOKUP(AM19,Teams!$C:$C,Teams!$E:$E,,0,1)</f>
        <v>#VALUE!</v>
      </c>
      <c r="AM19" s="37" t="str">
        <f>Games!I24</f>
        <v>Yale</v>
      </c>
      <c r="AN19" s="27">
        <v>13</v>
      </c>
      <c r="AO19" s="277"/>
      <c r="AQ19" s="275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58"/>
      <c r="L20" s="258"/>
      <c r="M20" s="20"/>
      <c r="N20" s="50"/>
      <c r="O20" s="266"/>
      <c r="P20" s="260"/>
      <c r="Q20" s="252"/>
      <c r="R20" s="25"/>
      <c r="S20" s="25"/>
      <c r="T20" s="25"/>
      <c r="U20" s="75"/>
      <c r="V20" s="25"/>
      <c r="W20" s="25"/>
      <c r="X20" s="25"/>
      <c r="Y20" s="252"/>
      <c r="Z20" s="250"/>
      <c r="AA20" s="257"/>
      <c r="AB20" s="56"/>
      <c r="AD20" s="258"/>
      <c r="AE20" s="258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5">
        <f>IF($AU$5=TRUE,A18+1,"")</f>
        <v>5</v>
      </c>
      <c r="B21" s="27">
        <v>6</v>
      </c>
      <c r="C21" s="36" t="str">
        <f>Games!G9</f>
        <v>Brigham Young</v>
      </c>
      <c r="D21" s="70" t="e" vm="73">
        <f>_xlfn.XLOOKUP(C21,Teams!$C:$C,Teams!$E:$E,,0,1)</f>
        <v>#VALUE!</v>
      </c>
      <c r="E21" s="46">
        <f>Games!L9</f>
        <v>0.72</v>
      </c>
      <c r="F21" s="256" t="str">
        <f>Games!O9</f>
        <v>Brigham Young</v>
      </c>
      <c r="G21" s="259" t="e" vm="73">
        <f>_xlfn.XLOOKUP(F21,Teams!$C:$C,Teams!$E:$E,,0,1)</f>
        <v>#VALUE!</v>
      </c>
      <c r="H21" s="251">
        <f>Games!L40</f>
        <v>0.57999999999999996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1">
        <f>Games!L48</f>
        <v>0.45</v>
      </c>
      <c r="AI21" s="249" t="e" vm="106">
        <f>_xlfn.XLOOKUP(AJ21,Teams!$C:$C,Teams!$E:$E,,0,1)</f>
        <v>#VALUE!</v>
      </c>
      <c r="AJ21" s="256" t="str">
        <f>Games!O25</f>
        <v>North Carolina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Mississippi</v>
      </c>
      <c r="AN21" s="27">
        <v>6</v>
      </c>
      <c r="AO21" s="17"/>
      <c r="AQ21" s="9"/>
    </row>
    <row r="22" spans="1:43" ht="10.5" customHeight="1" thickBot="1" x14ac:dyDescent="0.35">
      <c r="A22" s="255"/>
      <c r="B22" s="28"/>
      <c r="C22" s="38"/>
      <c r="D22" s="71"/>
      <c r="E22" s="49"/>
      <c r="F22" s="257"/>
      <c r="G22" s="260"/>
      <c r="H22" s="252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2"/>
      <c r="AI22" s="250"/>
      <c r="AJ22" s="257"/>
      <c r="AK22" s="55"/>
      <c r="AM22" s="39"/>
      <c r="AN22" s="28"/>
      <c r="AO22" s="277">
        <f>IF($AU$5=TRUE,AO18+1,"")</f>
        <v>21</v>
      </c>
      <c r="AQ22" s="275"/>
    </row>
    <row r="23" spans="1:43" ht="13.8" customHeight="1" thickBot="1" x14ac:dyDescent="0.35">
      <c r="A23" s="16"/>
      <c r="B23" s="27">
        <v>11</v>
      </c>
      <c r="C23" s="40" t="str">
        <f>Games!I9</f>
        <v>Virginia Commonwealth</v>
      </c>
      <c r="D23" s="70" t="e" vm="74">
        <f>_xlfn.XLOOKUP(C23,Teams!$C:$C,Teams!$E:$E,,0,1)</f>
        <v>#VALUE!</v>
      </c>
      <c r="E23" s="48">
        <f>Games!N9</f>
        <v>0.28000000000000003</v>
      </c>
      <c r="F23" s="276">
        <f>IF($AU$5=TRUE,F15+1,"")</f>
        <v>35</v>
      </c>
      <c r="G23" s="14"/>
      <c r="H23" s="49"/>
      <c r="I23" s="265" t="str">
        <f>Games!O40</f>
        <v>Brigham Young</v>
      </c>
      <c r="J23" s="259" t="e" vm="73">
        <f>_xlfn.XLOOKUP(I23,Teams!$C:$C,Teams!$E:$E,,0,1)</f>
        <v>#VALUE!</v>
      </c>
      <c r="K23" s="251">
        <f>Games!L56</f>
        <v>0.44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1">
        <f>Games!L60</f>
        <v>0.66</v>
      </c>
      <c r="AF23" s="249" t="e" vm="107">
        <f>_xlfn.XLOOKUP(AG23,Teams!$C:$C,Teams!$E:$E,,0,1)</f>
        <v>#VALUE!</v>
      </c>
      <c r="AG23" s="256" t="str">
        <f>Games!O48</f>
        <v>Iowa State</v>
      </c>
      <c r="AH23" s="55"/>
      <c r="AI23" s="51"/>
      <c r="AJ23" s="276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North Carolina</v>
      </c>
      <c r="AN23" s="27">
        <v>11</v>
      </c>
      <c r="AO23" s="277"/>
      <c r="AQ23" s="275"/>
    </row>
    <row r="24" spans="1:43" ht="10.5" customHeight="1" thickBot="1" x14ac:dyDescent="0.35">
      <c r="A24" s="16"/>
      <c r="B24" s="28"/>
      <c r="C24" s="38"/>
      <c r="D24" s="71"/>
      <c r="F24" s="255"/>
      <c r="G24" s="15"/>
      <c r="H24" s="50"/>
      <c r="I24" s="266"/>
      <c r="J24" s="260"/>
      <c r="K24" s="252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2"/>
      <c r="AF24" s="250"/>
      <c r="AG24" s="257"/>
      <c r="AH24" s="56"/>
      <c r="AJ24" s="255"/>
      <c r="AM24" s="39"/>
      <c r="AN24" s="28"/>
      <c r="AO24" s="17"/>
      <c r="AQ24" s="275"/>
    </row>
    <row r="25" spans="1:43" ht="18.600000000000001" customHeight="1" thickBot="1" x14ac:dyDescent="0.35">
      <c r="A25" s="16"/>
      <c r="B25" s="27">
        <v>3</v>
      </c>
      <c r="C25" s="36" t="str">
        <f>Games!G10</f>
        <v>Wisconsin</v>
      </c>
      <c r="D25" s="70" t="e" vm="75">
        <f>_xlfn.XLOOKUP(C25,Teams!$C:$C,Teams!$E:$E,,0,1)</f>
        <v>#VALUE!</v>
      </c>
      <c r="E25" s="46">
        <f>Games!L10</f>
        <v>0.94</v>
      </c>
      <c r="F25" s="256" t="str">
        <f>Games!O10</f>
        <v>Wisconsin</v>
      </c>
      <c r="G25" s="259" t="e" vm="75">
        <f>_xlfn.XLOOKUP(F25,Teams!$C:$C,Teams!$E:$E,,0,1)</f>
        <v>#VALUE!</v>
      </c>
      <c r="H25" s="261">
        <f>Games!N40</f>
        <v>0.42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3">
        <f>Games!N48</f>
        <v>0.55000000000000004</v>
      </c>
      <c r="AI25" s="249" t="e" vm="107">
        <f>_xlfn.XLOOKUP(AJ25,Teams!$C:$C,Teams!$E:$E,,0,1)</f>
        <v>#VALUE!</v>
      </c>
      <c r="AJ25" s="256" t="str">
        <f>Games!O26</f>
        <v>Iowa State</v>
      </c>
      <c r="AK25" s="58">
        <f>Games!L26</f>
        <v>0.95</v>
      </c>
      <c r="AL25" s="46" t="e" vm="107">
        <f>_xlfn.XLOOKUP(AM25,Teams!$C:$C,Teams!$E:$E,,0,1)</f>
        <v>#VALUE!</v>
      </c>
      <c r="AM25" s="37" t="str">
        <f>Games!G26</f>
        <v>Iowa State</v>
      </c>
      <c r="AN25" s="27">
        <v>3</v>
      </c>
      <c r="AO25" s="17"/>
      <c r="AQ25" s="275"/>
    </row>
    <row r="26" spans="1:43" ht="10.5" customHeight="1" thickBot="1" x14ac:dyDescent="0.35">
      <c r="A26" s="255">
        <f>IF($AU$5=TRUE,A21+1,"")</f>
        <v>6</v>
      </c>
      <c r="B26" s="28"/>
      <c r="C26" s="38"/>
      <c r="D26" s="71"/>
      <c r="E26" s="49"/>
      <c r="F26" s="257"/>
      <c r="G26" s="260"/>
      <c r="H26" s="262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4"/>
      <c r="AI26" s="250"/>
      <c r="AJ26" s="257"/>
      <c r="AK26" s="55"/>
      <c r="AM26" s="39"/>
      <c r="AN26" s="28"/>
      <c r="AO26" s="277">
        <f>IF($AU$5=TRUE,AO22+1,"")</f>
        <v>22</v>
      </c>
      <c r="AQ26" s="275"/>
    </row>
    <row r="27" spans="1:43" ht="13.8" customHeight="1" thickBot="1" x14ac:dyDescent="0.35">
      <c r="A27" s="255"/>
      <c r="B27" s="27">
        <v>14</v>
      </c>
      <c r="C27" s="36" t="str">
        <f>Games!I10</f>
        <v>Montana</v>
      </c>
      <c r="D27" s="70" t="e" vm="76">
        <f>_xlfn.XLOOKUP(C27,Teams!$C:$C,Teams!$E:$E,,0,1)</f>
        <v>#VALUE!</v>
      </c>
      <c r="E27" s="48">
        <f>Games!N10</f>
        <v>0.06</v>
      </c>
      <c r="F27" s="24"/>
      <c r="G27" s="24"/>
      <c r="I27" s="255">
        <f>IF($AU$5=TRUE,I11+1,"")</f>
        <v>50</v>
      </c>
      <c r="J27" s="15"/>
      <c r="K27" s="50"/>
      <c r="L27" s="265" t="str">
        <f>Games!O56</f>
        <v>Saint Mary's (CA)</v>
      </c>
      <c r="M27" s="259" t="e" vm="77">
        <f>_xlfn.XLOOKUP(L27,Teams!$C:$C,Teams!$E:$E,,0,1)</f>
        <v>#VALUE!</v>
      </c>
      <c r="N27" s="261">
        <f>Games!N64</f>
        <v>0.4</v>
      </c>
      <c r="O27" s="25"/>
      <c r="P27" s="25"/>
      <c r="Q27" s="50"/>
      <c r="R27" s="265" t="str">
        <f>Games!O69</f>
        <v>Florida</v>
      </c>
      <c r="S27" s="256"/>
      <c r="T27" s="256"/>
      <c r="U27" s="271" t="e" vm="81">
        <f>_xlfn.XLOOKUP(R27,Teams!$C:$C,Teams!$E:$E,,0,1)</f>
        <v>#VALUE!</v>
      </c>
      <c r="V27" s="273">
        <f>Games!L72</f>
        <v>0.88</v>
      </c>
      <c r="W27" s="24"/>
      <c r="X27" s="25"/>
      <c r="Y27" s="56"/>
      <c r="AA27" s="25"/>
      <c r="AB27" s="253">
        <f>Games!N66</f>
        <v>0.42</v>
      </c>
      <c r="AC27" s="249" t="e" vm="107">
        <f>_xlfn.XLOOKUP(AD27,Teams!$C:$C,Teams!$E:$E,,0,1)</f>
        <v>#VALUE!</v>
      </c>
      <c r="AD27" s="256" t="str">
        <f>Games!O60</f>
        <v>Iowa State</v>
      </c>
      <c r="AE27" s="56"/>
      <c r="AG27" s="255">
        <f>IF($AU$5=TRUE,AG11+1,"")</f>
        <v>54</v>
      </c>
      <c r="AJ27" s="24"/>
      <c r="AK27" s="59">
        <f>Games!N26</f>
        <v>0.05</v>
      </c>
      <c r="AL27" s="46" t="e" vm="108">
        <f>_xlfn.XLOOKUP(AM27,Teams!$C:$C,Teams!$E:$E,,0,1)</f>
        <v>#VALUE!</v>
      </c>
      <c r="AM27" s="37" t="str">
        <f>Games!I26</f>
        <v>Lipscomb</v>
      </c>
      <c r="AN27" s="27">
        <v>14</v>
      </c>
      <c r="AO27" s="277"/>
      <c r="AQ27" s="275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5"/>
      <c r="J28" s="15"/>
      <c r="K28" s="50"/>
      <c r="L28" s="266"/>
      <c r="M28" s="260"/>
      <c r="N28" s="262"/>
      <c r="O28" s="25"/>
      <c r="P28" s="25"/>
      <c r="Q28" s="50"/>
      <c r="R28" s="266"/>
      <c r="S28" s="257"/>
      <c r="T28" s="257"/>
      <c r="U28" s="272"/>
      <c r="V28" s="274"/>
      <c r="W28" s="24"/>
      <c r="X28" s="25"/>
      <c r="Y28" s="56"/>
      <c r="AA28" s="25"/>
      <c r="AB28" s="254"/>
      <c r="AC28" s="250"/>
      <c r="AD28" s="257"/>
      <c r="AE28" s="56"/>
      <c r="AG28" s="255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Saint Mary's (CA)</v>
      </c>
      <c r="D29" s="70" t="e" vm="77">
        <f>_xlfn.XLOOKUP(C29,Teams!$C:$C,Teams!$E:$E,,0,1)</f>
        <v>#VALUE!</v>
      </c>
      <c r="E29" s="46">
        <f>Games!L11</f>
        <v>0.71</v>
      </c>
      <c r="F29" s="256" t="str">
        <f>Games!O11</f>
        <v>Saint Mary's (CA)</v>
      </c>
      <c r="G29" s="259" t="e" vm="77">
        <f>_xlfn.XLOOKUP(F29,Teams!$C:$C,Teams!$E:$E,,0,1)</f>
        <v>#VALUE!</v>
      </c>
      <c r="H29" s="251">
        <f>Games!L41</f>
        <v>0.51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1">
        <f>Games!L49</f>
        <v>0.44</v>
      </c>
      <c r="AI29" s="249" t="e" vm="110">
        <f>_xlfn.XLOOKUP(AJ29,Teams!$C:$C,Teams!$E:$E,,0,1)</f>
        <v>#VALUE!</v>
      </c>
      <c r="AJ29" s="256" t="str">
        <f>Games!O27</f>
        <v>New Mexico</v>
      </c>
      <c r="AK29" s="58">
        <f>Games!L27</f>
        <v>0.19</v>
      </c>
      <c r="AL29" s="46" t="e" vm="109">
        <f>_xlfn.XLOOKUP(AM29,Teams!$C:$C,Teams!$E:$E,,0,1)</f>
        <v>#VALUE!</v>
      </c>
      <c r="AM29" s="37" t="str">
        <f>Games!G27</f>
        <v>Marquette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5">
        <f>IF($AU$5=TRUE,A26+1,"")</f>
        <v>7</v>
      </c>
      <c r="B30" s="28"/>
      <c r="C30" s="38"/>
      <c r="D30" s="71"/>
      <c r="E30" s="49"/>
      <c r="F30" s="257"/>
      <c r="G30" s="260"/>
      <c r="H30" s="252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2"/>
      <c r="AI30" s="250"/>
      <c r="AJ30" s="257"/>
      <c r="AK30" s="55"/>
      <c r="AM30" s="39"/>
      <c r="AN30" s="28"/>
      <c r="AO30" s="277">
        <f>IF($AU$5=TRUE,AO26+1,"")</f>
        <v>23</v>
      </c>
    </row>
    <row r="31" spans="1:43" ht="14.4" customHeight="1" thickBot="1" x14ac:dyDescent="0.35">
      <c r="A31" s="255"/>
      <c r="B31" s="27">
        <v>10</v>
      </c>
      <c r="C31" s="36" t="str">
        <f>Games!I14</f>
        <v>Oklahoma</v>
      </c>
      <c r="D31" s="70" t="e" vm="84">
        <f>_xlfn.XLOOKUP(C31,Teams!$C:$C,Teams!$E:$E,,0,1)</f>
        <v>#VALUE!</v>
      </c>
      <c r="E31" s="48">
        <f>Games!N11</f>
        <v>0.28999999999999998</v>
      </c>
      <c r="F31" s="276">
        <f>IF($AU$5=TRUE,F23+1,"")</f>
        <v>36</v>
      </c>
      <c r="G31" s="14"/>
      <c r="H31" s="49"/>
      <c r="I31" s="265" t="str">
        <f>Games!O41</f>
        <v>Saint Mary's (CA)</v>
      </c>
      <c r="J31" s="259" t="e" vm="77">
        <f>_xlfn.XLOOKUP(I31,Teams!$C:$C,Teams!$E:$E,,0,1)</f>
        <v>#VALUE!</v>
      </c>
      <c r="K31" s="261">
        <f>Games!N56</f>
        <v>0.56000000000000005</v>
      </c>
      <c r="L31" s="25"/>
      <c r="M31" s="25"/>
      <c r="O31" s="25"/>
      <c r="P31" s="25"/>
      <c r="Q31" s="50"/>
      <c r="R31" s="4"/>
      <c r="S31" s="286" t="s">
        <v>0</v>
      </c>
      <c r="T31" s="286"/>
      <c r="U31" s="286"/>
      <c r="V31" s="286"/>
      <c r="W31" s="286"/>
      <c r="X31" s="5"/>
      <c r="Y31" s="56"/>
      <c r="AA31" s="25"/>
      <c r="AD31" s="25"/>
      <c r="AE31" s="253">
        <f>Games!N60</f>
        <v>0.34</v>
      </c>
      <c r="AF31" s="249" t="e" vm="111">
        <f>_xlfn.XLOOKUP(AG31,Teams!$C:$C,Teams!$E:$E,,0,1)</f>
        <v>#VALUE!</v>
      </c>
      <c r="AG31" s="256" t="str">
        <f>Games!O49</f>
        <v>Michigan State</v>
      </c>
      <c r="AH31" s="55"/>
      <c r="AI31" s="51"/>
      <c r="AJ31" s="276">
        <f>IF($AU$5=TRUE,AJ23+1,"")</f>
        <v>44</v>
      </c>
      <c r="AK31" s="59">
        <f>Games!N27</f>
        <v>0.81</v>
      </c>
      <c r="AL31" s="46" t="e" vm="110">
        <f>_xlfn.XLOOKUP(AM31,Teams!$C:$C,Teams!$E:$E,,0,1)</f>
        <v>#VALUE!</v>
      </c>
      <c r="AM31" s="37" t="str">
        <f>Games!I27</f>
        <v>New Mexico</v>
      </c>
      <c r="AN31" s="27">
        <v>10</v>
      </c>
      <c r="AO31" s="277"/>
    </row>
    <row r="32" spans="1:43" ht="10.5" customHeight="1" thickBot="1" x14ac:dyDescent="0.35">
      <c r="A32" s="16"/>
      <c r="B32" s="28"/>
      <c r="C32" s="38"/>
      <c r="D32" s="71"/>
      <c r="F32" s="255"/>
      <c r="G32" s="15"/>
      <c r="H32" s="50"/>
      <c r="I32" s="266"/>
      <c r="J32" s="260"/>
      <c r="K32" s="262"/>
      <c r="L32" s="25"/>
      <c r="M32" s="25"/>
      <c r="O32" s="25"/>
      <c r="P32" s="25"/>
      <c r="Q32" s="50"/>
      <c r="R32" s="30"/>
      <c r="S32" s="293" t="str">
        <f>Games!O72</f>
        <v>Florida</v>
      </c>
      <c r="T32" s="294"/>
      <c r="U32" s="294"/>
      <c r="V32" s="294"/>
      <c r="W32" s="295"/>
      <c r="X32" s="31"/>
      <c r="Y32" s="56"/>
      <c r="AA32" s="25"/>
      <c r="AD32" s="25"/>
      <c r="AE32" s="254"/>
      <c r="AF32" s="250"/>
      <c r="AG32" s="257"/>
      <c r="AH32" s="56"/>
      <c r="AJ32" s="255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Alabama</v>
      </c>
      <c r="D33" s="70" t="e" vm="79">
        <f>_xlfn.XLOOKUP(C33,Teams!$C:$C,Teams!$E:$E,,0,1)</f>
        <v>#VALUE!</v>
      </c>
      <c r="E33" s="46">
        <f>Games!L12</f>
        <v>0.94</v>
      </c>
      <c r="F33" s="256" t="str">
        <f>Games!O12</f>
        <v>Alabama</v>
      </c>
      <c r="G33" s="259" t="e" vm="79">
        <f>_xlfn.XLOOKUP(F33,Teams!$C:$C,Teams!$E:$E,,0,1)</f>
        <v>#VALUE!</v>
      </c>
      <c r="H33" s="261">
        <f>Games!N41</f>
        <v>0.49</v>
      </c>
      <c r="I33" s="24"/>
      <c r="J33" s="24"/>
      <c r="L33" s="25"/>
      <c r="M33" s="25"/>
      <c r="O33" s="25"/>
      <c r="P33" s="25"/>
      <c r="Q33" s="50"/>
      <c r="R33" s="30"/>
      <c r="S33" s="296"/>
      <c r="T33" s="297"/>
      <c r="U33" s="297"/>
      <c r="V33" s="297"/>
      <c r="W33" s="298"/>
      <c r="X33" s="31"/>
      <c r="Y33" s="56"/>
      <c r="AA33" s="25"/>
      <c r="AD33" s="25"/>
      <c r="AG33" s="24"/>
      <c r="AH33" s="253">
        <f>Games!N49</f>
        <v>0.56000000000000005</v>
      </c>
      <c r="AI33" s="249" t="e" vm="111">
        <f>_xlfn.XLOOKUP(AJ33,Teams!$C:$C,Teams!$E:$E,,0,1)</f>
        <v>#VALUE!</v>
      </c>
      <c r="AJ33" s="256" t="str">
        <f>Games!O28</f>
        <v>Michigan State</v>
      </c>
      <c r="AK33" s="58">
        <f>Games!L28</f>
        <v>0.97</v>
      </c>
      <c r="AL33" s="46" t="e" vm="111">
        <f>_xlfn.XLOOKUP(AM33,Teams!$C:$C,Teams!$E:$E,,0,1)</f>
        <v>#VALUE!</v>
      </c>
      <c r="AM33" s="37" t="str">
        <f>Games!G28</f>
        <v>Michigan State</v>
      </c>
      <c r="AN33" s="27">
        <v>2</v>
      </c>
      <c r="AO33" s="17"/>
      <c r="AQ33" s="9"/>
    </row>
    <row r="34" spans="1:43" ht="10.5" customHeight="1" thickBot="1" x14ac:dyDescent="0.35">
      <c r="A34" s="255">
        <f>IF($AU$5=TRUE,A30+1,"")</f>
        <v>8</v>
      </c>
      <c r="B34" s="28"/>
      <c r="C34" s="38"/>
      <c r="D34" s="71"/>
      <c r="E34" s="49"/>
      <c r="F34" s="257"/>
      <c r="G34" s="260"/>
      <c r="H34" s="262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4"/>
      <c r="AI34" s="250"/>
      <c r="AJ34" s="257"/>
      <c r="AK34" s="55"/>
      <c r="AM34" s="39"/>
      <c r="AN34" s="28"/>
      <c r="AO34" s="277">
        <f>IF($AU$5=TRUE,AO30+1,"")</f>
        <v>24</v>
      </c>
      <c r="AQ34" s="275"/>
    </row>
    <row r="35" spans="1:43" ht="16.2" thickBot="1" x14ac:dyDescent="0.35">
      <c r="A35" s="255"/>
      <c r="B35" s="27">
        <v>15</v>
      </c>
      <c r="C35" s="36" t="str">
        <f>Games!I12</f>
        <v>Robert Morris</v>
      </c>
      <c r="D35" s="70" t="e" vm="80">
        <f>_xlfn.XLOOKUP(C35,Teams!$C:$C,Teams!$E:$E,,0,1)</f>
        <v>#VALUE!</v>
      </c>
      <c r="E35" s="48">
        <f>Games!N12</f>
        <v>0.06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5">
        <f>IF($AU$5=TRUE,AA35+1,"")</f>
        <v>63</v>
      </c>
      <c r="U35" s="255"/>
      <c r="V35" s="255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0.03</v>
      </c>
      <c r="AL35" s="46" t="e" vm="112">
        <f>_xlfn.XLOOKUP(AM35,Teams!$C:$C,Teams!$E:$E,,0,1)</f>
        <v>#VALUE!</v>
      </c>
      <c r="AM35" s="37" t="str">
        <f>Games!I28</f>
        <v>Bryant</v>
      </c>
      <c r="AN35" s="27">
        <v>15</v>
      </c>
      <c r="AO35" s="277"/>
      <c r="AQ35" s="275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5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1</v>
      </c>
      <c r="F37" s="256" t="str">
        <f>Games!O13</f>
        <v>Florida</v>
      </c>
      <c r="G37" s="259" t="e" vm="81">
        <f>_xlfn.XLOOKUP(F37,Teams!$C:$C,Teams!$E:$E,,0,1)</f>
        <v>#VALUE!</v>
      </c>
      <c r="H37" s="251">
        <f>Games!L42</f>
        <v>0.8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1">
        <f>Games!L50</f>
        <v>0.44</v>
      </c>
      <c r="AI37" s="249" t="e" vm="113">
        <f>_xlfn.XLOOKUP(AJ37,Teams!$C:$C,Teams!$E:$E,,0,1)</f>
        <v>#VALUE!</v>
      </c>
      <c r="AJ37" s="256" t="str">
        <f>Games!O29</f>
        <v>Houston</v>
      </c>
      <c r="AK37" s="58">
        <f>Games!L29</f>
        <v>0.96</v>
      </c>
      <c r="AL37" s="46" t="e" vm="113">
        <f>_xlfn.XLOOKUP(AM37,Teams!$C:$C,Teams!$E:$E,,0,1)</f>
        <v>#VALUE!</v>
      </c>
      <c r="AM37" s="37" t="str">
        <f>Games!G29</f>
        <v>Houston</v>
      </c>
      <c r="AN37" s="27">
        <v>1</v>
      </c>
      <c r="AO37" s="17"/>
      <c r="AQ37" s="275"/>
    </row>
    <row r="38" spans="1:43" ht="10.5" customHeight="1" thickBot="1" x14ac:dyDescent="0.35">
      <c r="A38" s="255">
        <f>IF($AU$5=TRUE,A34+1,"")</f>
        <v>9</v>
      </c>
      <c r="B38" s="28"/>
      <c r="C38" s="38"/>
      <c r="D38" s="71"/>
      <c r="E38" s="49"/>
      <c r="F38" s="257"/>
      <c r="G38" s="260"/>
      <c r="H38" s="252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2"/>
      <c r="AI38" s="250"/>
      <c r="AJ38" s="257"/>
      <c r="AK38" s="55"/>
      <c r="AM38" s="39"/>
      <c r="AN38" s="28"/>
      <c r="AO38" s="277">
        <f>IF($AU$5=TRUE,AO34+1,"")</f>
        <v>25</v>
      </c>
    </row>
    <row r="39" spans="1:43" ht="13.8" customHeight="1" thickBot="1" x14ac:dyDescent="0.35">
      <c r="A39" s="255"/>
      <c r="B39" s="27">
        <v>16</v>
      </c>
      <c r="C39" s="36" t="str">
        <f>Games!I13</f>
        <v>Norfolk State</v>
      </c>
      <c r="D39" s="70" t="e" vm="82">
        <f>_xlfn.XLOOKUP(C39,Teams!$C:$C,Teams!$E:$E,,0,1)</f>
        <v>#VALUE!</v>
      </c>
      <c r="E39" s="48">
        <f>Games!N13</f>
        <v>0</v>
      </c>
      <c r="F39" s="276">
        <f>IF($AU$5=TRUE,F31+1,"")</f>
        <v>37</v>
      </c>
      <c r="G39" s="14"/>
      <c r="H39" s="49"/>
      <c r="I39" s="265" t="str">
        <f>Games!O42</f>
        <v>Florida</v>
      </c>
      <c r="J39" s="259" t="e" vm="81">
        <f>_xlfn.XLOOKUP(I39,Teams!$C:$C,Teams!$E:$E,,0,1)</f>
        <v>#VALUE!</v>
      </c>
      <c r="K39" s="251">
        <f>Games!L57</f>
        <v>0.98</v>
      </c>
      <c r="L39" s="25"/>
      <c r="M39" s="25"/>
      <c r="O39" s="25"/>
      <c r="P39" s="25"/>
      <c r="Q39" s="50"/>
      <c r="R39" s="25"/>
      <c r="S39" s="25"/>
      <c r="T39" s="273">
        <f>Games!N72</f>
        <v>0.12</v>
      </c>
      <c r="U39" s="267" t="e" vm="127">
        <f>_xlfn.XLOOKUP(V39,Teams!$C:$C,Teams!$E:$E,,0,1)</f>
        <v>#VALUE!</v>
      </c>
      <c r="V39" s="256" t="str">
        <f>Games!O70</f>
        <v>Tennessee</v>
      </c>
      <c r="W39" s="256"/>
      <c r="X39" s="269"/>
      <c r="Y39" s="56"/>
      <c r="AA39" s="25"/>
      <c r="AD39" s="25"/>
      <c r="AE39" s="253">
        <f>Games!L61</f>
        <v>0.24</v>
      </c>
      <c r="AF39" s="249" t="e" vm="115">
        <f>_xlfn.XLOOKUP(AG39,Teams!$C:$C,Teams!$E:$E,,0,1)</f>
        <v>#VALUE!</v>
      </c>
      <c r="AG39" s="256" t="str">
        <f>Games!O50</f>
        <v>Gonzaga</v>
      </c>
      <c r="AH39" s="55"/>
      <c r="AI39" s="51"/>
      <c r="AJ39" s="276">
        <f>IF($AU$5=TRUE,AJ31+1,"")</f>
        <v>45</v>
      </c>
      <c r="AK39" s="59">
        <f>Games!N29</f>
        <v>0.04</v>
      </c>
      <c r="AL39" s="46" t="e" vm="114">
        <f>_xlfn.XLOOKUP(AM39,Teams!$C:$C,Teams!$E:$E,,0,1)</f>
        <v>#VALUE!</v>
      </c>
      <c r="AM39" s="37" t="str">
        <f>Games!I29</f>
        <v>SIU Edwardsville</v>
      </c>
      <c r="AN39" s="27">
        <v>16</v>
      </c>
      <c r="AO39" s="277"/>
    </row>
    <row r="40" spans="1:43" ht="10.5" customHeight="1" thickBot="1" x14ac:dyDescent="0.35">
      <c r="A40" s="16"/>
      <c r="B40" s="28"/>
      <c r="C40" s="38"/>
      <c r="D40" s="71"/>
      <c r="F40" s="255"/>
      <c r="G40" s="15"/>
      <c r="H40" s="50"/>
      <c r="I40" s="266"/>
      <c r="J40" s="260"/>
      <c r="K40" s="252"/>
      <c r="L40" s="25"/>
      <c r="M40" s="25"/>
      <c r="O40" s="25"/>
      <c r="P40" s="25"/>
      <c r="Q40" s="50"/>
      <c r="R40" s="25"/>
      <c r="S40" s="25"/>
      <c r="T40" s="274"/>
      <c r="U40" s="268"/>
      <c r="V40" s="257"/>
      <c r="W40" s="257"/>
      <c r="X40" s="270"/>
      <c r="Y40" s="56"/>
      <c r="AA40" s="25"/>
      <c r="AD40" s="25"/>
      <c r="AE40" s="254"/>
      <c r="AF40" s="250"/>
      <c r="AG40" s="257"/>
      <c r="AH40" s="56"/>
      <c r="AJ40" s="255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Connecticut</v>
      </c>
      <c r="D41" s="70" t="e" vm="83">
        <f>_xlfn.XLOOKUP(C41,Teams!$C:$C,Teams!$E:$E,,0,1)</f>
        <v>#VALUE!</v>
      </c>
      <c r="E41" s="46">
        <f>Games!L14</f>
        <v>0.83</v>
      </c>
      <c r="F41" s="256" t="str">
        <f>Games!O14</f>
        <v>Connecticut</v>
      </c>
      <c r="G41" s="259" t="e" vm="83">
        <f>_xlfn.XLOOKUP(F41,Teams!$C:$C,Teams!$E:$E,,0,1)</f>
        <v>#VALUE!</v>
      </c>
      <c r="H41" s="261">
        <f>Games!N42</f>
        <v>0.2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3">
        <f>Games!N50</f>
        <v>0.56000000000000005</v>
      </c>
      <c r="AI41" s="249" t="e" vm="115">
        <f>_xlfn.XLOOKUP(AJ41,Teams!$C:$C,Teams!$E:$E,,0,1)</f>
        <v>#VALUE!</v>
      </c>
      <c r="AJ41" s="256" t="str">
        <f>Games!O30</f>
        <v>Gonzaga</v>
      </c>
      <c r="AK41" s="58">
        <f>Games!L30</f>
        <v>0.75</v>
      </c>
      <c r="AL41" s="46" t="e" vm="115">
        <f>_xlfn.XLOOKUP(AM41,Teams!$C:$C,Teams!$E:$E,,0,1)</f>
        <v>#VALUE!</v>
      </c>
      <c r="AM41" s="37" t="str">
        <f>Games!G30</f>
        <v>Gonzaga</v>
      </c>
      <c r="AN41" s="27">
        <v>8</v>
      </c>
      <c r="AO41" s="17"/>
    </row>
    <row r="42" spans="1:43" ht="10.5" customHeight="1" thickBot="1" x14ac:dyDescent="0.35">
      <c r="A42" s="255">
        <f>IF($AU$5=TRUE,A38+1,"")</f>
        <v>10</v>
      </c>
      <c r="B42" s="28"/>
      <c r="C42" s="38"/>
      <c r="D42" s="71"/>
      <c r="E42" s="49"/>
      <c r="F42" s="257"/>
      <c r="G42" s="260"/>
      <c r="H42" s="262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4"/>
      <c r="AI42" s="250"/>
      <c r="AJ42" s="257"/>
      <c r="AK42" s="55"/>
      <c r="AM42" s="39"/>
      <c r="AN42" s="28"/>
      <c r="AO42" s="277">
        <f>IF($AU$5=TRUE,AO38+1,"")</f>
        <v>26</v>
      </c>
    </row>
    <row r="43" spans="1:43" ht="13.8" customHeight="1" thickBot="1" x14ac:dyDescent="0.35">
      <c r="A43" s="255"/>
      <c r="B43" s="27">
        <v>9</v>
      </c>
      <c r="C43" s="36" t="str">
        <f>Games!I14</f>
        <v>Oklahoma</v>
      </c>
      <c r="D43" s="70" t="e" vm="84">
        <f>_xlfn.XLOOKUP(C43,Teams!$C:$C,Teams!$E:$E,,0,1)</f>
        <v>#VALUE!</v>
      </c>
      <c r="E43" s="48">
        <f>Games!N14</f>
        <v>0.17</v>
      </c>
      <c r="F43" s="24"/>
      <c r="G43" s="24"/>
      <c r="I43" s="255">
        <f>IF($AU$5=TRUE,I27+1,"")</f>
        <v>51</v>
      </c>
      <c r="J43" s="15"/>
      <c r="K43" s="50"/>
      <c r="L43" s="265" t="str">
        <f>Games!O57</f>
        <v>Florida</v>
      </c>
      <c r="M43" s="259" t="e" vm="81">
        <f>_xlfn.XLOOKUP(L43,Teams!$C:$C,Teams!$E:$E,,0,1)</f>
        <v>#VALUE!</v>
      </c>
      <c r="N43" s="251">
        <f>Games!L65</f>
        <v>0.54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1">
        <f>Games!L67</f>
        <v>0.47</v>
      </c>
      <c r="AC43" s="249" t="e" vm="120">
        <f>_xlfn.XLOOKUP(AD43,Teams!$C:$C,Teams!$E:$E,,0,1)</f>
        <v>#VALUE!</v>
      </c>
      <c r="AD43" s="263" t="str">
        <f>Games!O61</f>
        <v>High Point</v>
      </c>
      <c r="AE43" s="56"/>
      <c r="AG43" s="255">
        <f>IF($AU$5=TRUE,AG27+1,"")</f>
        <v>55</v>
      </c>
      <c r="AJ43" s="24"/>
      <c r="AK43" s="59">
        <f>Games!N30</f>
        <v>0.25</v>
      </c>
      <c r="AL43" s="46" t="e" vm="116">
        <f>_xlfn.XLOOKUP(AM43,Teams!$C:$C,Teams!$E:$E,,0,1)</f>
        <v>#VALUE!</v>
      </c>
      <c r="AM43" s="37" t="str">
        <f>Games!I30</f>
        <v>Georgia</v>
      </c>
      <c r="AN43" s="27">
        <v>9</v>
      </c>
      <c r="AO43" s="27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5"/>
      <c r="J44" s="15"/>
      <c r="K44" s="50"/>
      <c r="L44" s="266"/>
      <c r="M44" s="260"/>
      <c r="N44" s="252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2"/>
      <c r="AC44" s="250"/>
      <c r="AD44" s="264"/>
      <c r="AE44" s="56"/>
      <c r="AG44" s="255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Memphis</v>
      </c>
      <c r="D45" s="70" t="e" vm="85">
        <f>_xlfn.XLOOKUP(C45,Teams!$C:$C,Teams!$E:$E,,0,1)</f>
        <v>#VALUE!</v>
      </c>
      <c r="E45" s="46">
        <f>Games!L15</f>
        <v>0.31</v>
      </c>
      <c r="F45" s="256" t="str">
        <f>Games!O15</f>
        <v>Colorado State</v>
      </c>
      <c r="G45" s="259" t="e" vm="86">
        <f>_xlfn.XLOOKUP(F45,Teams!$C:$C,Teams!$E:$E,,0,1)</f>
        <v>#VALUE!</v>
      </c>
      <c r="H45" s="251">
        <f>Games!L43</f>
        <v>0.77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1">
        <f>Games!L51</f>
        <v>0.38</v>
      </c>
      <c r="AI45" s="249" t="e" vm="118">
        <f>_xlfn.XLOOKUP(AJ45,Teams!$C:$C,Teams!$E:$E,,0,1)</f>
        <v>#VALUE!</v>
      </c>
      <c r="AJ45" s="256" t="str">
        <f>Games!O31</f>
        <v>McNeese State</v>
      </c>
      <c r="AK45" s="58">
        <f>Games!L31</f>
        <v>0.36</v>
      </c>
      <c r="AL45" s="46" t="e" vm="117">
        <f>_xlfn.XLOOKUP(AM45,Teams!$C:$C,Teams!$E:$E,,0,1)</f>
        <v>#VALUE!</v>
      </c>
      <c r="AM45" s="37" t="str">
        <f>Games!G31</f>
        <v>Clemson</v>
      </c>
      <c r="AN45" s="27">
        <v>5</v>
      </c>
      <c r="AO45" s="17"/>
    </row>
    <row r="46" spans="1:43" ht="10.5" customHeight="1" thickBot="1" x14ac:dyDescent="0.35">
      <c r="A46" s="255">
        <f>IF($AU$5=TRUE,A42+1,"")</f>
        <v>11</v>
      </c>
      <c r="B46" s="28"/>
      <c r="C46" s="38"/>
      <c r="D46" s="71"/>
      <c r="E46" s="49"/>
      <c r="F46" s="257"/>
      <c r="G46" s="260"/>
      <c r="H46" s="252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2"/>
      <c r="AI46" s="250"/>
      <c r="AJ46" s="257"/>
      <c r="AK46" s="55"/>
      <c r="AM46" s="39"/>
      <c r="AN46" s="28"/>
      <c r="AO46" s="277">
        <f>IF($AU$5=TRUE,AO42+1,"")</f>
        <v>27</v>
      </c>
    </row>
    <row r="47" spans="1:43" ht="13.8" customHeight="1" thickBot="1" x14ac:dyDescent="0.35">
      <c r="A47" s="255"/>
      <c r="B47" s="27">
        <v>12</v>
      </c>
      <c r="C47" s="41" t="str">
        <f>Games!I15</f>
        <v>Colorado State</v>
      </c>
      <c r="D47" s="70" t="e" vm="86">
        <f>_xlfn.XLOOKUP(C47,Teams!$C:$C,Teams!$E:$E,,0,1)</f>
        <v>#VALUE!</v>
      </c>
      <c r="E47" s="48">
        <f>Games!N15</f>
        <v>0.69</v>
      </c>
      <c r="F47" s="276">
        <f>IF($AU$5=TRUE,F39+1,"")</f>
        <v>38</v>
      </c>
      <c r="G47" s="14"/>
      <c r="H47" s="49"/>
      <c r="I47" s="265" t="str">
        <f>Games!O43</f>
        <v>Colorado State</v>
      </c>
      <c r="J47" s="259" t="e" vm="86">
        <f>_xlfn.XLOOKUP(I47,Teams!$C:$C,Teams!$E:$E,,0,1)</f>
        <v>#VALUE!</v>
      </c>
      <c r="K47" s="261">
        <f>Games!N57</f>
        <v>0.02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3">
        <f>Games!N61</f>
        <v>0.76</v>
      </c>
      <c r="AF47" s="249" t="e" vm="120">
        <f>_xlfn.XLOOKUP(AG47,Teams!$C:$C,Teams!$E:$E,,0,1)</f>
        <v>#VALUE!</v>
      </c>
      <c r="AG47" s="256" t="str">
        <f>Games!O51</f>
        <v>High Point</v>
      </c>
      <c r="AH47" s="55"/>
      <c r="AI47" s="51"/>
      <c r="AJ47" s="276">
        <f>IF($AU$5=TRUE,AJ39+1,"")</f>
        <v>46</v>
      </c>
      <c r="AK47" s="59">
        <f>Games!N31</f>
        <v>0.64</v>
      </c>
      <c r="AL47" s="46" t="e" vm="118">
        <f>_xlfn.XLOOKUP(AM47,Teams!$C:$C,Teams!$E:$E,,0,1)</f>
        <v>#VALUE!</v>
      </c>
      <c r="AM47" s="37" t="str">
        <f>Games!I31</f>
        <v>McNeese State</v>
      </c>
      <c r="AN47" s="27">
        <v>12</v>
      </c>
      <c r="AO47" s="277"/>
    </row>
    <row r="48" spans="1:43" ht="10.5" customHeight="1" thickBot="1" x14ac:dyDescent="0.35">
      <c r="A48" s="16"/>
      <c r="B48" s="28"/>
      <c r="C48" s="38"/>
      <c r="D48" s="71"/>
      <c r="F48" s="255"/>
      <c r="G48" s="15"/>
      <c r="H48" s="50"/>
      <c r="I48" s="266"/>
      <c r="J48" s="260"/>
      <c r="K48" s="262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4"/>
      <c r="AF48" s="250"/>
      <c r="AG48" s="257"/>
      <c r="AH48" s="56"/>
      <c r="AJ48" s="255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Maryland</v>
      </c>
      <c r="D49" s="70" t="e" vm="87">
        <f>_xlfn.XLOOKUP(C49,Teams!$C:$C,Teams!$E:$E,,0,1)</f>
        <v>#VALUE!</v>
      </c>
      <c r="E49" s="46">
        <f>Games!L16</f>
        <v>0.22</v>
      </c>
      <c r="F49" s="256" t="str">
        <f>Games!O16</f>
        <v>Grand Canyon</v>
      </c>
      <c r="G49" s="259" t="e" vm="88">
        <f>_xlfn.XLOOKUP(F49,Teams!$C:$C,Teams!$E:$E,,0,1)</f>
        <v>#VALUE!</v>
      </c>
      <c r="H49" s="261">
        <f>Games!N43</f>
        <v>0.23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3">
        <f>Games!N51</f>
        <v>0.62</v>
      </c>
      <c r="AI49" s="249" t="e" vm="120">
        <f>_xlfn.XLOOKUP(AJ49,Teams!$C:$C,Teams!$E:$E,,0,1)</f>
        <v>#VALUE!</v>
      </c>
      <c r="AJ49" s="256" t="str">
        <f>Games!O32</f>
        <v>High Point</v>
      </c>
      <c r="AK49" s="58">
        <f>Games!L32</f>
        <v>0.32</v>
      </c>
      <c r="AL49" s="46" t="e" vm="119">
        <f>_xlfn.XLOOKUP(AM49,Teams!$C:$C,Teams!$E:$E,,0,1)</f>
        <v>#VALUE!</v>
      </c>
      <c r="AM49" s="37" t="str">
        <f>Games!G32</f>
        <v>Purdue</v>
      </c>
      <c r="AN49" s="27">
        <v>4</v>
      </c>
      <c r="AO49" s="17"/>
    </row>
    <row r="50" spans="1:41" ht="10.5" customHeight="1" thickBot="1" x14ac:dyDescent="0.35">
      <c r="A50" s="255">
        <f>IF($AU$5=TRUE,A46+1,"")</f>
        <v>12</v>
      </c>
      <c r="B50" s="28"/>
      <c r="C50" s="38"/>
      <c r="D50" s="71"/>
      <c r="E50" s="49"/>
      <c r="F50" s="257"/>
      <c r="G50" s="260"/>
      <c r="H50" s="262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4"/>
      <c r="AI50" s="250"/>
      <c r="AJ50" s="257"/>
      <c r="AK50" s="55"/>
      <c r="AM50" s="39"/>
      <c r="AN50" s="28"/>
      <c r="AO50" s="277">
        <f>IF($AU$5=TRUE,AO46+1,"")</f>
        <v>28</v>
      </c>
    </row>
    <row r="51" spans="1:41" ht="13.8" customHeight="1" thickBot="1" x14ac:dyDescent="0.45">
      <c r="A51" s="255"/>
      <c r="B51" s="27">
        <v>13</v>
      </c>
      <c r="C51" s="36" t="str">
        <f>Games!I16</f>
        <v>Grand Canyon</v>
      </c>
      <c r="D51" s="70" t="e" vm="88">
        <f>_xlfn.XLOOKUP(C51,Teams!$C:$C,Teams!$E:$E,,0,1)</f>
        <v>#VALUE!</v>
      </c>
      <c r="E51" s="48">
        <f>Games!N16</f>
        <v>0.78</v>
      </c>
      <c r="F51" s="24"/>
      <c r="G51" s="24"/>
      <c r="I51" s="24"/>
      <c r="J51" s="24"/>
      <c r="K51" s="258" t="s">
        <v>4</v>
      </c>
      <c r="L51" s="258"/>
      <c r="M51" s="20"/>
      <c r="N51" s="50"/>
      <c r="O51" s="265" t="str">
        <f>Games!O65</f>
        <v>Florida</v>
      </c>
      <c r="P51" s="259" t="e" vm="81">
        <f>_xlfn.XLOOKUP(O51,Teams!$C:$C,Teams!$E:$E,,0,1)</f>
        <v>#VALUE!</v>
      </c>
      <c r="Q51" s="261">
        <f>Games!N69</f>
        <v>0.57999999999999996</v>
      </c>
      <c r="R51" s="25"/>
      <c r="S51" s="25"/>
      <c r="T51" s="25"/>
      <c r="U51" s="75"/>
      <c r="V51" s="25"/>
      <c r="W51" s="25"/>
      <c r="X51" s="25"/>
      <c r="Y51" s="253">
        <f>Games!N70</f>
        <v>0.68</v>
      </c>
      <c r="Z51" s="249" t="e" vm="127">
        <f>_xlfn.XLOOKUP(AA51,Teams!$C:$C,Teams!$E:$E,,0,1)</f>
        <v>#VALUE!</v>
      </c>
      <c r="AA51" s="256" t="str">
        <f>Games!O67</f>
        <v>Tennessee</v>
      </c>
      <c r="AB51" s="56"/>
      <c r="AD51" s="258" t="s">
        <v>14</v>
      </c>
      <c r="AE51" s="258"/>
      <c r="AF51" s="20"/>
      <c r="AG51" s="24"/>
      <c r="AJ51" s="24"/>
      <c r="AK51" s="59">
        <f>Games!N32</f>
        <v>0.68</v>
      </c>
      <c r="AL51" s="46" t="e" vm="120">
        <f>_xlfn.XLOOKUP(AM51,Teams!$C:$C,Teams!$E:$E,,0,1)</f>
        <v>#VALUE!</v>
      </c>
      <c r="AM51" s="37" t="str">
        <f>Games!I32</f>
        <v>High Point</v>
      </c>
      <c r="AN51" s="27">
        <v>13</v>
      </c>
      <c r="AO51" s="27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58"/>
      <c r="L52" s="258"/>
      <c r="M52" s="20"/>
      <c r="N52" s="50"/>
      <c r="O52" s="266"/>
      <c r="P52" s="260"/>
      <c r="Q52" s="262"/>
      <c r="R52" s="25"/>
      <c r="S52" s="25"/>
      <c r="T52" s="25"/>
      <c r="U52" s="75"/>
      <c r="V52" s="25"/>
      <c r="W52" s="25"/>
      <c r="X52" s="25"/>
      <c r="Y52" s="254"/>
      <c r="Z52" s="250"/>
      <c r="AA52" s="257"/>
      <c r="AB52" s="56"/>
      <c r="AD52" s="258"/>
      <c r="AE52" s="258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Missouri</v>
      </c>
      <c r="D53" s="70" t="e" vm="89">
        <f>_xlfn.XLOOKUP(C53,Teams!$C:$C,Teams!$E:$E,,0,1)</f>
        <v>#VALUE!</v>
      </c>
      <c r="E53" s="46">
        <f>Games!L17</f>
        <v>0.93</v>
      </c>
      <c r="F53" s="256" t="str">
        <f>Games!O17</f>
        <v>Missouri</v>
      </c>
      <c r="G53" s="259" t="e" vm="89">
        <f>_xlfn.XLOOKUP(F53,Teams!$C:$C,Teams!$E:$E,,0,1)</f>
        <v>#VALUE!</v>
      </c>
      <c r="H53" s="251">
        <f>Games!L44</f>
        <v>0.11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1">
        <f>Games!L52</f>
        <v>0.26</v>
      </c>
      <c r="AI53" s="249" t="e" vm="121">
        <f>_xlfn.XLOOKUP(AJ53,Teams!$C:$C,Teams!$E:$E,,0,1)</f>
        <v>#VALUE!</v>
      </c>
      <c r="AJ53" s="256" t="str">
        <f>Games!O33</f>
        <v>Illinois</v>
      </c>
      <c r="AK53" s="58">
        <f>Games!L33</f>
        <v>0.87</v>
      </c>
      <c r="AL53" s="46" t="e" vm="121">
        <f>_xlfn.XLOOKUP(AM53,Teams!$C:$C,Teams!$E:$E,,0,1)</f>
        <v>#VALUE!</v>
      </c>
      <c r="AM53" s="37" t="str">
        <f>Games!G33</f>
        <v>Illinois</v>
      </c>
      <c r="AN53" s="27">
        <v>6</v>
      </c>
      <c r="AO53" s="17"/>
    </row>
    <row r="54" spans="1:41" ht="10.5" customHeight="1" thickBot="1" x14ac:dyDescent="0.35">
      <c r="A54" s="255">
        <f>IF($AU$5=TRUE,A50+1,"")</f>
        <v>13</v>
      </c>
      <c r="B54" s="28"/>
      <c r="C54" s="38"/>
      <c r="D54" s="71"/>
      <c r="E54" s="49"/>
      <c r="F54" s="257"/>
      <c r="G54" s="260"/>
      <c r="H54" s="252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52"/>
      <c r="AI54" s="250"/>
      <c r="AJ54" s="257"/>
      <c r="AK54" s="55"/>
      <c r="AM54" s="39"/>
      <c r="AN54" s="28"/>
      <c r="AO54" s="277">
        <f>IF($AU$5=TRUE,AO50+1,"")</f>
        <v>29</v>
      </c>
    </row>
    <row r="55" spans="1:41" ht="13.8" customHeight="1" thickBot="1" x14ac:dyDescent="0.35">
      <c r="A55" s="255"/>
      <c r="B55" s="27">
        <v>11</v>
      </c>
      <c r="C55" s="36" t="str">
        <f>Games!I17</f>
        <v>Drake</v>
      </c>
      <c r="D55" s="70" t="e" vm="90">
        <f>_xlfn.XLOOKUP(C55,Teams!$C:$C,Teams!$E:$E,,0,1)</f>
        <v>#VALUE!</v>
      </c>
      <c r="E55" s="48">
        <f>Games!N17</f>
        <v>7.0000000000000007E-2</v>
      </c>
      <c r="F55" s="276">
        <f>IF($AU$5=TRUE,F47+1,"")</f>
        <v>39</v>
      </c>
      <c r="G55" s="14"/>
      <c r="H55" s="49"/>
      <c r="I55" s="265" t="str">
        <f>Games!O44</f>
        <v>Texas Tech</v>
      </c>
      <c r="J55" s="259" t="e" vm="91">
        <f>_xlfn.XLOOKUP(I55,Teams!$C:$C,Teams!$E:$E,,0,1)</f>
        <v>#VALUE!</v>
      </c>
      <c r="K55" s="251">
        <f>Games!L58</f>
        <v>0.67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51">
        <f>Games!L62</f>
        <v>0.36</v>
      </c>
      <c r="AF55" s="249" t="e" vm="123">
        <f>_xlfn.XLOOKUP(AG55,Teams!$C:$C,Teams!$E:$E,,0,1)</f>
        <v>#VALUE!</v>
      </c>
      <c r="AG55" s="256" t="str">
        <f>Games!O52</f>
        <v>Kentucky</v>
      </c>
      <c r="AH55" s="55"/>
      <c r="AI55" s="51"/>
      <c r="AJ55" s="276">
        <f>IF($AU$5=TRUE,AJ47+1,"")</f>
        <v>47</v>
      </c>
      <c r="AK55" s="59">
        <f>Games!N33</f>
        <v>0.13</v>
      </c>
      <c r="AL55" s="46" t="e" vm="122">
        <f>_xlfn.XLOOKUP(AM55,Teams!$C:$C,Teams!$E:$E,,0,1)</f>
        <v>#VALUE!</v>
      </c>
      <c r="AM55" s="37" t="str">
        <f>Games!I33</f>
        <v>Xavier</v>
      </c>
      <c r="AN55" s="32">
        <v>11</v>
      </c>
      <c r="AO55" s="277"/>
    </row>
    <row r="56" spans="1:41" ht="10.5" customHeight="1" thickBot="1" x14ac:dyDescent="0.35">
      <c r="A56" s="16"/>
      <c r="B56" s="28"/>
      <c r="C56" s="38"/>
      <c r="D56" s="71"/>
      <c r="F56" s="255"/>
      <c r="G56" s="15"/>
      <c r="H56" s="50"/>
      <c r="I56" s="266"/>
      <c r="J56" s="260"/>
      <c r="K56" s="252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2"/>
      <c r="AF56" s="250"/>
      <c r="AG56" s="257"/>
      <c r="AH56" s="56"/>
      <c r="AJ56" s="255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Texas Tech</v>
      </c>
      <c r="D57" s="70" t="e" vm="91">
        <f>_xlfn.XLOOKUP(C57,Teams!$C:$C,Teams!$E:$E,,0,1)</f>
        <v>#VALUE!</v>
      </c>
      <c r="E57" s="46">
        <f>Games!L18</f>
        <v>0.86</v>
      </c>
      <c r="F57" s="256" t="str">
        <f>Games!O18</f>
        <v>Texas Tech</v>
      </c>
      <c r="G57" s="259" t="e" vm="91">
        <f>_xlfn.XLOOKUP(F57,Teams!$C:$C,Teams!$E:$E,,0,1)</f>
        <v>#VALUE!</v>
      </c>
      <c r="H57" s="261">
        <f>Games!N44</f>
        <v>0.89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53">
        <f>Games!N52</f>
        <v>0.74</v>
      </c>
      <c r="AI57" s="249" t="e" vm="123">
        <f>_xlfn.XLOOKUP(AJ57,Teams!$C:$C,Teams!$E:$E,,0,1)</f>
        <v>#VALUE!</v>
      </c>
      <c r="AJ57" s="256" t="str">
        <f>Games!O34</f>
        <v>Kentucky</v>
      </c>
      <c r="AK57" s="58">
        <f>Games!L34</f>
        <v>0.65</v>
      </c>
      <c r="AL57" s="46" t="e" vm="123">
        <f>_xlfn.XLOOKUP(AM57,Teams!$C:$C,Teams!$E:$E,,0,1)</f>
        <v>#VALUE!</v>
      </c>
      <c r="AM57" s="37" t="str">
        <f>Games!G34</f>
        <v>Kentucky</v>
      </c>
      <c r="AN57" s="27">
        <v>3</v>
      </c>
      <c r="AO57" s="17"/>
    </row>
    <row r="58" spans="1:41" ht="10.5" customHeight="1" thickBot="1" x14ac:dyDescent="0.35">
      <c r="A58" s="255">
        <f>IF($AU$5=TRUE,A54+1,"")</f>
        <v>14</v>
      </c>
      <c r="B58" s="28"/>
      <c r="C58" s="38"/>
      <c r="D58" s="71"/>
      <c r="E58" s="49"/>
      <c r="F58" s="257"/>
      <c r="G58" s="260"/>
      <c r="H58" s="262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54"/>
      <c r="AI58" s="250"/>
      <c r="AJ58" s="257"/>
      <c r="AK58" s="55"/>
      <c r="AM58" s="39"/>
      <c r="AN58" s="28"/>
      <c r="AO58" s="277">
        <f>IF($AU$5=TRUE,AO54+1,"")</f>
        <v>30</v>
      </c>
    </row>
    <row r="59" spans="1:41" ht="13.8" customHeight="1" thickBot="1" x14ac:dyDescent="0.35">
      <c r="A59" s="255"/>
      <c r="B59" s="27">
        <v>14</v>
      </c>
      <c r="C59" s="36" t="str">
        <f>Games!I18</f>
        <v>UNC Wilmington</v>
      </c>
      <c r="D59" s="70" t="e" vm="92">
        <f>_xlfn.XLOOKUP(C59,Teams!$C:$C,Teams!$E:$E,,0,1)</f>
        <v>#VALUE!</v>
      </c>
      <c r="E59" s="48">
        <f>Games!N18</f>
        <v>0.14000000000000001</v>
      </c>
      <c r="F59" s="24"/>
      <c r="G59" s="24"/>
      <c r="I59" s="255">
        <f>IF($AU$5=TRUE,I43+1,"")</f>
        <v>52</v>
      </c>
      <c r="J59" s="15"/>
      <c r="K59" s="50"/>
      <c r="L59" s="265" t="str">
        <f>Games!O58</f>
        <v>Texas Tech</v>
      </c>
      <c r="M59" s="259" t="e" vm="91">
        <f>_xlfn.XLOOKUP(L59,Teams!$C:$C,Teams!$E:$E,,0,1)</f>
        <v>#VALUE!</v>
      </c>
      <c r="N59" s="261">
        <f>Games!N65</f>
        <v>0.46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53">
        <f>Games!N67</f>
        <v>0.53</v>
      </c>
      <c r="AC59" s="249" t="e" vm="127">
        <f>_xlfn.XLOOKUP(AD59,Teams!$C:$C,Teams!$E:$E,,0,1)</f>
        <v>#VALUE!</v>
      </c>
      <c r="AD59" s="256" t="str">
        <f>Games!O62</f>
        <v>Tennessee</v>
      </c>
      <c r="AE59" s="56"/>
      <c r="AG59" s="255">
        <f>IF($AU$5=TRUE,AG43+1,"")</f>
        <v>56</v>
      </c>
      <c r="AJ59" s="24"/>
      <c r="AK59" s="59">
        <f>Games!N34</f>
        <v>0.35</v>
      </c>
      <c r="AL59" s="46" t="e" vm="124">
        <f>_xlfn.XLOOKUP(AM59,Teams!$C:$C,Teams!$E:$E,,0,1)</f>
        <v>#VALUE!</v>
      </c>
      <c r="AM59" s="37" t="str">
        <f>Games!I34</f>
        <v>Troy</v>
      </c>
      <c r="AN59" s="27">
        <v>14</v>
      </c>
      <c r="AO59" s="27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5"/>
      <c r="J60" s="15"/>
      <c r="K60" s="50"/>
      <c r="L60" s="266"/>
      <c r="M60" s="260"/>
      <c r="N60" s="262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54"/>
      <c r="AC60" s="250"/>
      <c r="AD60" s="257"/>
      <c r="AE60" s="56"/>
      <c r="AG60" s="255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Kansas</v>
      </c>
      <c r="D61" s="70" t="e" vm="93">
        <f>_xlfn.XLOOKUP(C61,Teams!$C:$C,Teams!$E:$E,,0,1)</f>
        <v>#VALUE!</v>
      </c>
      <c r="E61" s="46">
        <f>Games!L19</f>
        <v>0.61</v>
      </c>
      <c r="F61" s="256" t="str">
        <f>Games!O19</f>
        <v>Kansas</v>
      </c>
      <c r="G61" s="259" t="e" vm="93">
        <f>_xlfn.XLOOKUP(F61,Teams!$C:$C,Teams!$E:$E,,0,1)</f>
        <v>#VALUE!</v>
      </c>
      <c r="H61" s="251">
        <f>Games!L45</f>
        <v>0.57999999999999996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51">
        <f>Games!L53</f>
        <v>0.43</v>
      </c>
      <c r="AI61" s="249" t="e" vm="125">
        <f>_xlfn.XLOOKUP(AJ61,Teams!$C:$C,Teams!$E:$E,,0,1)</f>
        <v>#VALUE!</v>
      </c>
      <c r="AJ61" s="256" t="str">
        <f>Games!O35</f>
        <v>UCLA</v>
      </c>
      <c r="AK61" s="58">
        <f>Games!L35</f>
        <v>0.63</v>
      </c>
      <c r="AL61" s="46" t="e" vm="125">
        <f>_xlfn.XLOOKUP(AM61,Teams!$C:$C,Teams!$E:$E,,0,1)</f>
        <v>#VALUE!</v>
      </c>
      <c r="AM61" s="37" t="str">
        <f>Games!G35</f>
        <v>UCLA</v>
      </c>
      <c r="AN61" s="27">
        <v>7</v>
      </c>
      <c r="AO61" s="17"/>
    </row>
    <row r="62" spans="1:41" ht="10.5" customHeight="1" thickBot="1" x14ac:dyDescent="0.35">
      <c r="A62" s="255">
        <f>IF($AU$5=TRUE,A58+1,"")</f>
        <v>15</v>
      </c>
      <c r="B62" s="28"/>
      <c r="C62" s="38"/>
      <c r="D62" s="71"/>
      <c r="E62" s="49"/>
      <c r="F62" s="257"/>
      <c r="G62" s="260"/>
      <c r="H62" s="252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52"/>
      <c r="AI62" s="250"/>
      <c r="AJ62" s="257"/>
      <c r="AK62" s="55"/>
      <c r="AM62" s="39"/>
      <c r="AN62" s="28"/>
      <c r="AO62" s="277">
        <f>IF($AU$5=TRUE,AO58+1,"")</f>
        <v>31</v>
      </c>
    </row>
    <row r="63" spans="1:41" ht="13.8" customHeight="1" thickBot="1" x14ac:dyDescent="0.35">
      <c r="A63" s="255"/>
      <c r="B63" s="27">
        <v>10</v>
      </c>
      <c r="C63" s="36" t="str">
        <f>Games!I19</f>
        <v>Arkansas</v>
      </c>
      <c r="D63" s="70" t="e" vm="94">
        <f>_xlfn.XLOOKUP(C63,Teams!$C:$C,Teams!$E:$E,,0,1)</f>
        <v>#VALUE!</v>
      </c>
      <c r="E63" s="48">
        <f>Games!N19</f>
        <v>0.39</v>
      </c>
      <c r="F63" s="276">
        <f>IF($AU$5=TRUE,F55+1,"")</f>
        <v>40</v>
      </c>
      <c r="G63" s="14"/>
      <c r="H63" s="49"/>
      <c r="I63" s="265" t="str">
        <f>Games!O45</f>
        <v>Kansas</v>
      </c>
      <c r="J63" s="259" t="e" vm="93">
        <f>_xlfn.XLOOKUP(I63,Teams!$C:$C,Teams!$E:$E,,0,1)</f>
        <v>#VALUE!</v>
      </c>
      <c r="K63" s="261">
        <f>Games!N58</f>
        <v>0.33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3">
        <f>Games!N62</f>
        <v>0.64</v>
      </c>
      <c r="AF63" s="249" t="e" vm="127">
        <f>_xlfn.XLOOKUP(AG63,Teams!$C:$C,Teams!$E:$E,,0,1)</f>
        <v>#VALUE!</v>
      </c>
      <c r="AG63" s="256" t="str">
        <f>Games!O53</f>
        <v>Tennessee</v>
      </c>
      <c r="AH63" s="55"/>
      <c r="AI63" s="51"/>
      <c r="AJ63" s="276">
        <f>IF($AU$5=TRUE,AJ55+1,"")</f>
        <v>48</v>
      </c>
      <c r="AK63" s="59">
        <f>Games!N35</f>
        <v>0.37</v>
      </c>
      <c r="AL63" s="46" t="e" vm="126">
        <f>_xlfn.XLOOKUP(AM63,Teams!$C:$C,Teams!$E:$E,,0,1)</f>
        <v>#VALUE!</v>
      </c>
      <c r="AM63" s="37" t="str">
        <f>Games!I35</f>
        <v>Utah State</v>
      </c>
      <c r="AN63" s="27">
        <v>10</v>
      </c>
      <c r="AO63" s="277"/>
    </row>
    <row r="64" spans="1:41" ht="10.5" customHeight="1" thickBot="1" x14ac:dyDescent="0.35">
      <c r="A64" s="16"/>
      <c r="B64" s="28"/>
      <c r="C64" s="38"/>
      <c r="D64" s="71"/>
      <c r="F64" s="255"/>
      <c r="G64" s="15"/>
      <c r="H64" s="50"/>
      <c r="I64" s="266"/>
      <c r="J64" s="260"/>
      <c r="K64" s="262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54"/>
      <c r="AF64" s="250"/>
      <c r="AG64" s="257"/>
      <c r="AH64" s="56"/>
      <c r="AJ64" s="255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St. John's (NY)</v>
      </c>
      <c r="D65" s="70" t="e" vm="95">
        <f>_xlfn.XLOOKUP(C65,Teams!$C:$C,Teams!$E:$E,,0,1)</f>
        <v>#VALUE!</v>
      </c>
      <c r="E65" s="46">
        <f>Games!L20</f>
        <v>0.93</v>
      </c>
      <c r="F65" s="256" t="str">
        <f>Games!O20</f>
        <v>St. John's (NY)</v>
      </c>
      <c r="G65" s="259" t="e" vm="95">
        <f>_xlfn.XLOOKUP(F65,Teams!$C:$C,Teams!$E:$E,,0,1)</f>
        <v>#VALUE!</v>
      </c>
      <c r="H65" s="261">
        <f>Games!N45</f>
        <v>0.42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53">
        <f>Games!N53</f>
        <v>0.56999999999999995</v>
      </c>
      <c r="AI65" s="249" t="e" vm="127">
        <f>_xlfn.XLOOKUP(AJ65,Teams!$C:$C,Teams!$E:$E,,0,1)</f>
        <v>#VALUE!</v>
      </c>
      <c r="AJ65" s="256" t="str">
        <f>Games!O36</f>
        <v>Tennessee</v>
      </c>
      <c r="AK65" s="58">
        <f>Games!L36</f>
        <v>0.72</v>
      </c>
      <c r="AL65" s="46" t="e" vm="127">
        <f>_xlfn.XLOOKUP(AM65,Teams!$C:$C,Teams!$E:$E,,0,1)</f>
        <v>#VALUE!</v>
      </c>
      <c r="AM65" s="37" t="str">
        <f>Games!G36</f>
        <v>Tennessee</v>
      </c>
      <c r="AN65" s="27">
        <v>2</v>
      </c>
      <c r="AO65" s="17"/>
    </row>
    <row r="66" spans="1:41" ht="10.5" customHeight="1" thickBot="1" x14ac:dyDescent="0.35">
      <c r="A66" s="255">
        <f>IF($AU$5=TRUE,A62+1,"")</f>
        <v>16</v>
      </c>
      <c r="B66" s="28"/>
      <c r="C66" s="38"/>
      <c r="D66" s="71"/>
      <c r="E66" s="49"/>
      <c r="F66" s="257"/>
      <c r="G66" s="260"/>
      <c r="H66" s="262"/>
      <c r="I66" s="25"/>
      <c r="J66" s="25"/>
      <c r="L66" s="25"/>
      <c r="M66" s="25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D66" s="25"/>
      <c r="AG66" s="24"/>
      <c r="AH66" s="254"/>
      <c r="AI66" s="250"/>
      <c r="AJ66" s="257"/>
      <c r="AK66" s="55"/>
      <c r="AM66" s="39"/>
      <c r="AN66" s="28"/>
      <c r="AO66" s="277">
        <f>IF($AU$5=TRUE,AO62+1,"")</f>
        <v>32</v>
      </c>
    </row>
    <row r="67" spans="1:41" ht="13.8" customHeight="1" thickBot="1" x14ac:dyDescent="0.35">
      <c r="A67" s="255"/>
      <c r="B67" s="27">
        <v>15</v>
      </c>
      <c r="C67" s="36" t="str">
        <f>Games!I20</f>
        <v>Omaha</v>
      </c>
      <c r="D67" s="70" t="e" vm="96">
        <f>_xlfn.XLOOKUP(C67,Teams!$C:$C,Teams!$E:$E,,0,1)</f>
        <v>#VALUE!</v>
      </c>
      <c r="E67" s="48">
        <f>Games!N20</f>
        <v>7.0000000000000007E-2</v>
      </c>
      <c r="F67" s="25"/>
      <c r="G67" s="25"/>
      <c r="I67" s="25"/>
      <c r="J67" s="25"/>
      <c r="L67" s="25"/>
      <c r="M67" s="25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D67" s="25"/>
      <c r="AG67" s="25"/>
      <c r="AJ67" s="24"/>
      <c r="AK67" s="59">
        <f>Games!N36</f>
        <v>0.28000000000000003</v>
      </c>
      <c r="AL67" s="46" t="e" vm="128">
        <f>_xlfn.XLOOKUP(AM67,Teams!$C:$C,Teams!$E:$E,,0,1)</f>
        <v>#VALUE!</v>
      </c>
      <c r="AM67" s="37" t="str">
        <f>Games!I36</f>
        <v>Wofford</v>
      </c>
      <c r="AN67" s="27">
        <v>15</v>
      </c>
      <c r="AO67" s="27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2026-03-14T00:57:51Z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