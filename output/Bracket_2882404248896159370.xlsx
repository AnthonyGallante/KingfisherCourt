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90CD462E-F0BF-45AB-86A4-9EEAE8B44214}" xr6:coauthVersionLast="47" xr6:coauthVersionMax="47" xr10:uidLastSave="{00000000-0000-0000-0000-000000000000}"/>
  <bookViews>
    <workbookView xWindow="2304" yWindow="2304" windowWidth="23040" windowHeight="12120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/>
  <c r="E76" i="6" a="1"/>
  <c r="E76" i="6"/>
  <c r="E77" i="6" a="1"/>
  <c r="E77" i="6"/>
  <c r="E78" i="6" a="1"/>
  <c r="E78" i="6"/>
  <c r="E79" i="6" a="1"/>
  <c r="E79" i="6"/>
  <c r="E80" i="6" a="1"/>
  <c r="E80" i="6"/>
  <c r="E81" i="6" a="1"/>
  <c r="E81" i="6"/>
  <c r="E82" i="6" a="1"/>
  <c r="E82" i="6"/>
  <c r="E83" i="6" a="1"/>
  <c r="E83" i="6"/>
  <c r="E84" i="6" a="1"/>
  <c r="E84" i="6"/>
  <c r="E85" i="6" a="1"/>
  <c r="E85" i="6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/>
  <c r="E114" i="6" a="1"/>
  <c r="E114" i="6"/>
  <c r="E115" i="6" a="1"/>
  <c r="E115" i="6"/>
  <c r="E116" i="6" a="1"/>
  <c r="E116" i="6" s="1"/>
  <c r="E117" i="6" a="1"/>
  <c r="E117" i="6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<sst xmlns="http://schemas.openxmlformats.org/spreadsheetml/2006/main" count="1526" uniqueCount="1194">
  <si>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</si>
  <si>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</si>
  <si>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</si>
  <si>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</si>
  <si>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</si>
  <si>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</si>
  <si>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</si>
  <si>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</si>
  <si>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</si>
  <si>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</si>
  <si>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</si>
  <si>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</si>
  <si>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</si>
  <si>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</si>
  <si>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</si>
  <si>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</si>
  <si>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</si>
  <si>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</si>
  <si>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</si>
  <si>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</si>
  <si>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</si>
  <si>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</si>
  <si>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</si>
  <si>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</si>
  <si>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</si>
  <si>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</si>
  <si>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</si>
  <si>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</si>
  <si>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</si>
  <si>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</si>
  <si>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</si>
  <si>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</si>
  <si>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</si>
  <si>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</si>
  <si>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</si>
  <si>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</si>
  <si>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</si>
  <si>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</si>
  <si>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</si>
  <si>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</si>
  <si>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</si>
  <si>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</si>
  <si>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</si>
  <si>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</si>
  <si>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</si>
  <si>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</si>
  <si>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</si>
  <si>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</si>
  <si>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</si>
  <si>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</si>
  <si>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</si>
  <si>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</si>
  <si>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</si>
  <si>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</si>
  <si>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</si>
  <si>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</si>
  <si>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</si>
  <si>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</si>
  <si>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</si>
  <si>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</si>
  <si>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</si>
  <si>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</si>
  <si>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</si>
  <si>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</si>
  <si>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</si>
  <si>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</si>
  <si>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</si>
  <si>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</si>
  <si>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</si>
  <si>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</si>
  <si>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</si>
  <si>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</si>
  <si>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</si>
  <si>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</si>
  <si>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</si>
  <si>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</si>
  <si>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</si>
  <si>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</si>
  <si>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</si>
  <si>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</si>
  <si>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</si>
  <si>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</si>
  <si>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</si>
  <si>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</si>
  <si>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</si>
  <si>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</si>
  <si>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</si>
  <si>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</si>
  <si>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</si>
  <si>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</si>
  <si>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</si>
  <si>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</si>
  <si>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</si>
  <si>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</si>
  <si>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</si>
  <si>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</si>
  <si>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</si>
  <si>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</si>
  <si>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</si>
  <si>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</si>
  <si>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</si>
  <si>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</si>
  <si>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</si>
  <si>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</si>
  <si>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</si>
  <si>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</si>
  <si>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</si>
  <si>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</si>
  <si>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</si>
  <si>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</si>
  <si>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</si>
  <si>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</si>
  <si>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</si>
  <si>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</si>
  <si>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</si>
  <si>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</si>
  <si>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</si>
  <si>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</si>
  <si>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</si>
  <si>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</si>
  <si>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</si>
  <si>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</si>
  <si>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</si>
  <si>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</si>
  <si>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</si>
  <si>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</si>
  <si>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</si>
  <si>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</si>
  <si>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</si>
  <si>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</si>
  <si>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</si>
  <si>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</si>
  <si>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</si>
  <si>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</si>
  <si>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</si>
  <si>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</si>
  <si>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</si>
  <si>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</si>
  <si>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</si>
  <si>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</si>
  <si>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</si>
  <si>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</si>
  <si>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</si>
  <si>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</si>
  <si>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</si>
  <si>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</si>
  <si>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</si>
  <si>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</si>
  <si>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</si>
  <si>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</si>
  <si>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</si>
  <si>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</si>
  <si>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</si>
  <si>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</si>
  <si>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</si>
  <si>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</si>
  <si>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</si>
  <si>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</si>
  <si>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</si>
  <si>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</si>
  <si>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</si>
  <si>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</si>
  <si>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</si>
  <si>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</si>
  <si>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</si>
  <si>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</si>
  <si>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</si>
  <si>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</si>
  <si>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</si>
  <si>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</si>
  <si>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</si>
  <si>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</si>
  <si>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</si>
  <si>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</si>
  <si>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</si>
  <si>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</si>
  <si>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</si>
  <si>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</si>
  <si>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</si>
  <si>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</si>
  <si>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</si>
  <si>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</si>
  <si>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</si>
  <si>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</si>
  <si>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</si>
  <si>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</si>
  <si>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</si>
  <si>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</si>
  <si>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</si>
  <si>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</si>
  <si>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</si>
  <si>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</si>
  <si>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</si>
  <si>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</si>
  <si>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</si>
  <si>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</si>
  <si>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</si>
  <si>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</si>
  <si>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</si>
  <si>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</si>
  <si>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</si>
  <si>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</si>
  <si>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</si>
  <si>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</si>
  <si>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</si>
  <si>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</si>
  <si>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</si>
  <si>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</si>
  <si>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</si>
  <si>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</si>
  <si>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</si>
  <si>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</si>
  <si>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</si>
  <si>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</si>
  <si>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</si>
  <si>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</si>
  <si>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</si>
  <si>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</si>
  <si>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</si>
  <si>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</si>
  <si>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</si>
  <si>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</si>
  <si>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</si>
  <si>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</si>
  <si>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</si>
  <si>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</si>
  <si>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</si>
  <si>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</si>
  <si>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</si>
  <si>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</si>
  <si>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</si>
  <si>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</si>
  <si>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</si>
  <si>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</si>
  <si>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</si>
  <si>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</si>
  <si>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</si>
  <si>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</si>
  <si>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</si>
  <si>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</si>
  <si>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</si>
  <si>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</si>
  <si>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</si>
  <si>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</si>
  <si>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</si>
  <si>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</si>
  <si>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</si>
  <si>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</si>
  <si>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</si>
  <si>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</si>
  <si>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</si>
  <si>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</si>
  <si>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</si>
  <si>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</si>
  <si>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</si>
  <si>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</si>
  <si>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</si>
  <si>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</si>
  <si>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</si>
  <si>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</si>
  <si>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</si>
  <si>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</si>
  <si>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</si>
  <si>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</si>
  <si>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</si>
  <si>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</si>
  <si>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</si>
  <si>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</si>
  <si>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</si>
  <si>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</si>
  <si>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</si>
  <si>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</si>
  <si>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</si>
  <si>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</si>
  <si>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</si>
  <si>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</si>
  <si>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</si>
  <si>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</si>
  <si>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</si>
  <si>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</si>
  <si>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</si>
  <si>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</si>
  <si>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</si>
  <si>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</si>
  <si>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</si>
  <si>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</si>
  <si>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</si>
  <si>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</si>
  <si>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</si>
  <si>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</si>
  <si>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</si>
  <si>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</si>
  <si>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</si>
  <si>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</si>
  <si>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</si>
  <si>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</si>
  <si>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</si>
  <si>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</si>
  <si>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</si>
  <si>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</si>
  <si>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</si>
  <si>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</si>
  <si>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</si>
  <si>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</si>
  <si>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</si>
  <si>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</si>
  <si>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</si>
  <si>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</si>
  <si>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</si>
  <si>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</si>
  <si>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</si>
  <si>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</si>
  <si>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</si>
  <si>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</si>
  <si>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</si>
  <si>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</si>
  <si>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</si>
  <si>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</si>
  <si>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</si>
  <si>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</si>
  <si>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</si>
  <si>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</si>
  <si>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</si>
  <si>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</si>
  <si>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</si>
  <si>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</si>
  <si>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</si>
  <si>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</si>
  <si>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</si>
  <si>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</si>
  <si>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</si>
  <si>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</si>
  <si>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</si>
  <si>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</si>
  <si>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</si>
  <si>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</si>
  <si>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</si>
  <si>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</si>
  <si>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</si>
  <si>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</si>
  <si>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</si>
  <si>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</si>
  <si>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</si>
  <si>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</si>
  <si>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</si>
  <si>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</si>
  <si>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</si>
  <si>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</si>
  <si>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</si>
  <si>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</si>
  <si>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</si>
  <si>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</si>
  <si>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</si>
  <si>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</si>
  <si>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</si>
  <si>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</si>
  <si>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</si>
  <si>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</si>
  <si>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</si>
  <si>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</si>
  <si>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</si>
  <si>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</si>
  <si>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</si>
  <si>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</si>
  <si>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</si>
  <si>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</si>
  <si>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</si>
  <si>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</si>
  <si>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</si>
  <si>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</si>
  <si>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</si>
  <si>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</si>
  <si>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</si>
  <si>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</si>
  <si>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</si>
  <si>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</si>
  <si>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</si>
  <si>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</si>
  <si>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</si>
  <si>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</si>
  <si>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</si>
  <si>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</si>
  <si>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</si>
  <si>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</si>
  <si>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</si>
  <si>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</si>
  <si>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</si>
  <si>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</si>
  <si>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</si>
  <si>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</si>
  <si>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</si>
  <si>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</si>
  <si>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</si>
  <si>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</si>
  <si>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</si>
  <si>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</si>
  <si>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</si>
  <si>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</si>
  <si>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</si>
  <si>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</si>
  <si>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</si>
  <si>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</si>
  <si>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</si>
  <si>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</si>
  <si>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</si>
  <si>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</si>
  <si>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</si>
  <si>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</si>
  <si>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</si>
  <si>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</si>
  <si>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</si>
  <si>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</si>
  <si>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</si>
  <si>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</si>
  <si>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</si>
  <si>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</si>
  <si>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</si>
  <si>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</si>
  <si>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</si>
  <si>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</si>
  <si>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</si>
  <si>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</si>
  <si>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</si>
  <si>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</si>
  <si>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</si>
  <si>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</si>
  <si>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</si>
  <si>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</si>
  <si>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</si>
  <si>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</si>
  <si>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</si>
  <si>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</si>
  <si>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</si>
  <si>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</si>
  <si>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</si>
  <si>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</si>
  <si>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</si>
  <si>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</si>
  <si>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</si>
  <si>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</si>
  <si>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</si>
  <si>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</si>
  <si>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</si>
  <si>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</si>
  <si>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</si>
  <si>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</si>
  <si>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</si>
  <si>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</si>
  <si>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</si>
  <si>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</si>
  <si>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</si>
  <si>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</si>
  <si>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</si>
  <si>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</si>
  <si>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</si>
  <si>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</si>
  <si>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</si>
  <si>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</si>
  <si>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</si>
  <si>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</si>
  <si>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</si>
  <si>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</si>
  <si>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</si>
  <si>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</si>
  <si>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</si>
  <si>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</si>
  <si>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</si>
  <si>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</si>
  <si>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</si>
  <si>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</si>
  <si>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</si>
  <si>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</si>
  <si>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</si>
  <si>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</si>
  <si>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</si>
  <si>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</si>
  <si>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</si>
  <si>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</si>
  <si>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</si>
  <si>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</si>
  <si>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</si>
  <si>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</si>
  <si>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</si>
  <si>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</si>
  <si>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</si>
  <si>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</si>
  <si>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</si>
  <si>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</si>
  <si>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</si>
  <si>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</si>
  <si>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</si>
  <si>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</si>
  <si>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</si>
  <si>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</si>
  <si>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</si>
  <si>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</si>
  <si>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</si>
  <si>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</si>
  <si>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</si>
  <si>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</si>
  <si>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</si>
  <si>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</si>
  <si>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</si>
  <si>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</si>
  <si>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</si>
  <si>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</si>
  <si>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</si>
  <si>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</si>
  <si>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</si>
  <si>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</si>
  <si>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</si>
  <si>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</si>
  <si>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</si>
  <si>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</si>
  <si>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</si>
  <si>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</si>
  <si>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</si>
  <si>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</si>
  <si>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</si>
  <si>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</si>
  <si>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</si>
  <si>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</si>
  <si>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</si>
  <si>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</si>
  <si>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</si>
  <si>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</si>
  <si>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</si>
  <si>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</si>
  <si>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</si>
  <si>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</si>
  <si>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</si>
  <si>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</si>
  <si>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</si>
  <si>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</si>
  <si>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</si>
  <si>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</si>
  <si>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</si>
  <si>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</si>
  <si>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</si>
  <si>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</si>
  <si>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</si>
  <si>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</si>
  <si>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</si>
  <si>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</si>
  <si>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</si>
  <si>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</si>
  <si>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</si>
  <si>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</si>
  <si>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</si>
  <si>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</si>
  <si>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</si>
  <si>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</si>
  <si>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</si>
  <si>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</si>
  <si>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</si>
  <si>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</si>
  <si>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</si>
  <si>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</si>
  <si>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</si>
  <si>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</si>
  <si>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</si>
  <si>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</si>
  <si>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</si>
  <si>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</si>
  <si>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</si>
  <si>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</si>
  <si>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</si>
  <si>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</si>
  <si>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</si>
  <si>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</si>
  <si>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</si>
  <si>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</si>
  <si>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</si>
  <si>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</si>
  <si>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</si>
  <si>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</si>
  <si>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</si>
  <si>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</si>
  <si>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</si>
  <si>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</si>
  <si>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</si>
  <si>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</si>
  <si>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</si>
  <si>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</si>
  <si>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</si>
  <si>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</si>
  <si>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</si>
  <si>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</si>
  <si>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</si>
  <si>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</si>
  <si>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</si>
  <si>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</si>
  <si>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</si>
  <si>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</si>
  <si>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</si>
  <si>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</si>
  <si>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</si>
  <si>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</si>
  <si>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</si>
  <si>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</si>
  <si>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</si>
  <si>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</si>
  <si>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</si>
  <si>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</si>
  <si>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</si>
  <si>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</si>
  <si>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</si>
  <si>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</si>
  <si>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</si>
  <si>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</si>
  <si>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</si>
  <si>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</si>
  <si>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</si>
  <si>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</si>
  <si>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</si>
  <si>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</si>
  <si>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</si>
  <si>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</si>
  <si>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</si>
  <si>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</si>
  <si>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</si>
  <si>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</si>
  <si>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</si>
  <si>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</si>
  <si>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</si>
  <si>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</si>
  <si>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</si>
  <si>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</si>
  <si>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</si>
  <si>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</si>
  <si>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</si>
  <si>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</si>
  <si>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</si>
  <si>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</si>
  <si>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</si>
  <si>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</si>
  <si>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</si>
  <si>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</si>
  <si>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</si>
  <si>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</si>
  <si>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</si>
  <si>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</si>
  <si>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</si>
  <si>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</si>
  <si>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</si>
  <si>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</si>
  <si>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</si>
  <si>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</si>
  <si>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</si>
  <si>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</si>
  <si>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</si>
  <si>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</si>
  <si>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</si>
  <si>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</si>
  <si>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</si>
  <si>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</si>
  <si>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</si>
  <si>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</si>
  <si>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</si>
  <si>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</si>
  <si>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</si>
  <si>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</si>
  <si>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</si>
  <si>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</si>
  <si>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</si>
  <si>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</si>
  <si>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</si>
  <si>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</si>
  <si>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</si>
  <si>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</si>
  <si>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</si>
  <si>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</si>
  <si>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</si>
  <si>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</si>
  <si>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</si>
  <si>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</si>
  <si>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</si>
  <si>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</si>
  <si>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</si>
  <si>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</si>
  <si>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</si>
  <si>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</si>
  <si>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</si>
  <si>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</si>
  <si>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</si>
  <si>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</si>
  <si>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</si>
  <si>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</si>
  <si>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</si>
  <si>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</si>
  <si>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</si>
  <si>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</si>
  <si>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</si>
  <si>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</si>
  <si>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</si>
  <si>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</si>
  <si>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</si>
  <si>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</si>
  <si>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</si>
  <si>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</si>
  <si>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</si>
  <si>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</si>
  <si>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</si>
  <si>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</si>
  <si>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</si>
  <si>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</si>
  <si>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</si>
  <si>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</si>
  <si>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</si>
  <si>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</si>
  <si>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</si>
  <si>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</si>
  <si>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</si>
  <si>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</si>
  <si>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</si>
  <si>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</si>
  <si>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</si>
  <si>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</si>
  <si>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</si>
  <si>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</si>
  <si>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</si>
  <si>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</si>
  <si>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</si>
  <si>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</si>
  <si>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</si>
  <si>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</si>
  <si>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</si>
  <si>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</si>
  <si>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</si>
  <si>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</si>
  <si>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</si>
  <si>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</si>
  <si>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</si>
  <si>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</si>
  <si>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</si>
  <si>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</si>
  <si>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</si>
  <si>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</si>
  <si>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</si>
  <si>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</si>
  <si>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</si>
  <si>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</si>
  <si>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</si>
  <si>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</si>
  <si>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</si>
  <si>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</si>
  <si>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</si>
  <si>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</si>
  <si>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</si>
  <si>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</si>
  <si>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</si>
  <si>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</si>
  <si>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</si>
  <si>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</si>
  <si>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</si>
  <si>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</si>
  <si>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</si>
  <si>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</si>
  <si>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</si>
  <si>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</si>
  <si>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</si>
  <si>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</si>
  <si>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</si>
  <si>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</si>
  <si>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</si>
  <si>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</si>
  <si>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</si>
  <si>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</si>
  <si>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</si>
  <si>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</si>
  <si>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</si>
  <si>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</si>
  <si>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</si>
  <si>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</si>
  <si>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</si>
  <si>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</si>
  <si>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</si>
  <si>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</si>
  <si>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</si>
  <si>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</si>
  <si>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</si>
  <si>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</si>
  <si>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</si>
  <si>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</si>
  <si>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</si>
  <si>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</si>
  <si>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</si>
  <si>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</si>
  <si>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</si>
  <si>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</si>
  <si>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</si>
  <si>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</si>
  <si>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</si>
  <si>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</si>
  <si>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</si>
  <si>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</si>
  <si>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</si>
  <si>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</si>
  <si>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</si>
  <si>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</si>
  <si>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</si>
  <si>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</si>
  <si>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</si>
  <si>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</si>
  <si>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</si>
  <si>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</si>
  <si>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</si>
  <si>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</si>
  <si>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</si>
  <si>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</si>
  <si>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</si>
  <si>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</si>
  <si>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</si>
  <si>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</si>
  <si>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</si>
  <si>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</si>
  <si>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</si>
  <si>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</si>
  <si>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</si>
  <si>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</si>
  <si>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</si>
  <si>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</si>
  <si>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</si>
  <si>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</si>
  <si>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</si>
  <si>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</si>
  <si>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</si>
  <si>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</si>
  <si>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</si>
  <si>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</si>
  <si>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</si>
  <si>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</si>
  <si>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</si>
  <si>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</si>
  <si>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</si>
  <si>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</si>
  <si>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</si>
  <si>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</si>
  <si>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</si>
  <si>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</si>
  <si>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</si>
  <si>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</si>
  <si>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</si>
  <si>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</si>
  <si>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</si>
  <si>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</si>
  <si>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</si>
  <si>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</si>
  <si>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</si>
  <si>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</si>
  <si>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</si>
  <si>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</si>
  <si>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</si>
  <si>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</si>
  <si>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</si>
  <si>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</si>
  <si>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</si>
  <si>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</si>
  <si>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</si>
  <si>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</si>
  <si>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</si>
  <si>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</si>
  <si>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</si>
  <si>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</si>
  <si>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</si>
  <si>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</si>
  <si>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</si>
  <si>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</si>
  <si>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</si>
  <si>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</si>
  <si>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</si>
  <si>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</si>
  <si>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</si>
  <si>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</si>
  <si>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</si>
  <si>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</si>
  <si>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</si>
  <si>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</si>
  <si>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</si>
  <si>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</si>
  <si>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</si>
  <si>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</si>
  <si>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</si>
  <si>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</si>
  <si>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</si>
  <si>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</si>
  <si>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</si>
  <si>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</si>
  <si>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</si>
  <si>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</si>
  <si>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</si>
  <si>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</si>
  <si>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</si>
  <si>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</si>
  <si>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</si>
  <si>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</si>
  <si>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</si>
  <si>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</si>
  <si>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</si>
  <si>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</si>
  <si>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</si>
  <si>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</si>
  <si>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</si>
  <si>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</si>
  <si>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</si>
  <si>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</si>
  <si>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</si>
  <si>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</si>
  <si>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</si>
  <si>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</si>
  <si>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</si>
  <si>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</si>
  <si>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</si>
  <si>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</si>
  <si>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</si>
  <si>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</si>
  <si>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</si>
  <si>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</si>
  <si>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</si>
  <si>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</si>
  <si>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</si>
  <si>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</si>
  <si>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</si>
  <si>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</si>
  <si>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</si>
  <si>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</si>
  <si>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</si>
  <si>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</si>
  <si>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</si>
  <si>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</si>
  <si>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</si>
  <si>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</si>
  <si>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</si>
  <si>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</si>
  <si>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</si>
  <si>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</si>
  <si>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</si>
  <si>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</si>
  <si>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</si>
  <si>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</si>
  <si>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</si>
  <si>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</si>
  <si>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</si>
  <si>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</si>
  <si>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</si>
  <si>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</si>
  <si>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</si>
  <si>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</si>
  <si>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</si>
  <si>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</si>
  <si>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</si>
  <si>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</si>
  <si>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</si>
  <si>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</si>
  <si>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</si>
  <si>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</si>
  <si>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</si>
  <si>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</si>
  <si>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</si>
  <si>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</si>
  <si>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</si>
  <si>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</si>
  <si>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</si>
  <si>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</si>
  <si>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</si>
  <si>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</si>
  <si>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</si>
  <si>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</si>
  <si>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</si>
  <si>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</si>
  <si>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</si>
  <si>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</si>
  <si>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</si>
  <si>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</si>
  <si>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</si>
  <si>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</si>
  <si>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</si>
  <si>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</si>
  <si>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</si>
  <si>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</si>
  <si>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</si>
  <si>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</si>
  <si>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</si>
  <si>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</si>
  <si>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</si>
  <si>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</si>
  <si>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</si>
  <si>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</si>
  <si>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</si>
  <si>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</si>
  <si>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</si>
  <si>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</si>
  <si>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</si>
  <si>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</si>
  <si>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</si>
  <si>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</si>
  <si>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</si>
  <si>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</si>
  <si>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</si>
  <si>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</si>
  <si>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</si>
  <si>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</si>
  <si>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</si>
  <si>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</si>
  <si>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</si>
  <si>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</si>
  <si>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</si>
  <si>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</si>
  <si>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</si>
  <si>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</si>
  <si>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</si>
  <si>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</si>
  <si>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</si>
  <si>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</si>
  <si>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</si>
  <si>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</si>
  <si>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</si>
  <si>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</si>
  <si>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</si>
  <si>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</si>
  <si>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</si>
  <si>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</si>
  <si>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</si>
  <si>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</si>
  <si>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</si>
  <si>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</si>
  <si>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</si>
  <si>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</si>
  <si>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</si>
  <si>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</si>
  <si>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</si>
  <si>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</si>
  <si>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</si>
  <si>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</si>
  <si>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</si>
  <si>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</si>
  <si>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</si>
  <si>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</si>
  <si>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</si>
  <si>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</si>
  <si>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</si>
  <si>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</si>
  <si>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</si>
  <si>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</si>
  <si>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</si>
  <si>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</si>
  <si>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</si>
  <si>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</si>
  <si>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</si>
  <si>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</si>
  <si>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</si>
  <si>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</si>
  <si>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</si>
  <si>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</si>
  <si>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</si>
  <si>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</si>
  <si>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</si>
  <si>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</si>
  <si>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</si>
  <si>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</si>
  <si>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</si>
  <si>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</si>
  <si>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</si>
  <si>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</si>
  <si>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</si>
  <si>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</si>
  <si>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</si>
  <si>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</si>
  <si>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</si>
  <si>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</si>
  <si>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</si>
  <si>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</si>
  <si>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</si>
  <si>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</si>
  <si>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</si>
  <si>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</si>
  <si>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</si>
  <si>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</si>
  <si>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</si>
  <si>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</si>
  <si>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</si>
  <si>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</si>
  <si>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</si>
  <si>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</si>
  <si>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</si>
  <si>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</si>
  <si>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</si>
  <si>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</si>
  <si>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</si>
  <si>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</si>
  <si>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</si>
  <si>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</si>
  <si>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</si>
  <si>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</si>
  <si>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</si>
  <si>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</si>
  <si>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</si>
  <si>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</si>
  <si>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</si>
  <si>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</si>
  <si>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</si>
  <si>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</si>
  <si>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</si>
  <si>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</si>
  <si>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</si>
  <si>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</si>
  <si>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</si>
  <si>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</si>
  <si>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</si>
  <si>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</si>
  <si>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</si>
  <si>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</si>
  <si>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</si>
  <si>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</si>
  <si>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</si>
  <si>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</si>
  <si>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</si>
  <si>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</si>
  <si>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</si>
  <si>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</si>
  <si>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</si>
  <si>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</si>
  <si>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</si>
  <si>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</si>
  <si>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</si>
  <si>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</si>
  <si>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</si>
  <si>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</si>
  <si>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</si>
  <si>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</si>
  <si>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</si>
  <si>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</si>
  <si>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</si>
  <si>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Cal State Bakersfield: 98 - 403 :Cal State Fullerton</t>
  </si>
  <si>
    <t>Cal State Northridge: 260 - 241 :California</t>
  </si>
  <si>
    <t>California Baptist: 178 - 323 :Campbell</t>
  </si>
  <si>
    <t>Canisius: 19 - 482 :Central Arkansas</t>
  </si>
  <si>
    <t>Central Connecticut State: 211 - 290 :Central Michigan</t>
  </si>
  <si>
    <t>UPSET! Normal winner is Charleston Southern</t>
  </si>
  <si>
    <t>UPSET! Normal winner is Auburn</t>
  </si>
  <si>
    <t>Ball State: 69 - 432 :Baylor</t>
  </si>
  <si>
    <t>Bellarmine: 79 - 422 :Belmont</t>
  </si>
  <si>
    <t>UPSET! Normal winner is Bethune-Cookman</t>
  </si>
  <si>
    <t>UPSET! Normal winner is Boise State</t>
  </si>
  <si>
    <t>Drake: 4 - 497 :Duke</t>
  </si>
  <si>
    <t>Bradley: 85 - 416 :Brigham Young</t>
  </si>
  <si>
    <t>UPSET! Normal winner is Brown</t>
  </si>
  <si>
    <t>Abilene Christian: 442 - 59 :Air Force</t>
  </si>
  <si>
    <t>Akron: 154 - 347 :Alabama</t>
  </si>
  <si>
    <t>Alabama A&amp;M: 328 - 173 :Alabama State</t>
  </si>
  <si>
    <t>Albany (NY): 331 - 170 :Alcorn State</t>
  </si>
  <si>
    <t>American: 42 - 459 :Appalachian State</t>
  </si>
  <si>
    <t>Arizona: 491 - 10 :Arizona State</t>
  </si>
  <si>
    <t>Arkansas: 453 - 48 :Arkansas State</t>
  </si>
  <si>
    <t>UPSET! Normal winner is Arkansas-Pine Bluff</t>
  </si>
  <si>
    <t>Chattanooga: 375 - 126 :Chicago State</t>
  </si>
  <si>
    <t>Cincinnati: 303 - 198 :Clemson</t>
  </si>
  <si>
    <t>Cleveland State: 59 - 442 :Coastal Carolina</t>
  </si>
  <si>
    <t>Colgate: 92 - 409 :College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</si>
  <si>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</si>
  <si>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</si>
  <si>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</si>
  <si>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</si>
  <si>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Buffalo: 246 - 255 :Butler</t>
  </si>
  <si>
    <t>Cal State Fullerton: 127 - 374 :Cal State Northridge</t>
  </si>
  <si>
    <t>Campbell: 164 - 337 :Central Arkansas</t>
  </si>
  <si>
    <t>UPSET! Normal winner is Charlotte</t>
  </si>
  <si>
    <t>Austin Peay: 212 - 289 :Baylor</t>
  </si>
  <si>
    <t>Belmont: 455 - 46 :Binghamton</t>
  </si>
  <si>
    <t>Boston College: 4 - 497 :Duke</t>
  </si>
  <si>
    <t>Brigham Young: 490 - 11 :Bryant</t>
  </si>
  <si>
    <t>Abilene Christian: 1 - 500 :Alabama</t>
  </si>
  <si>
    <t>Alabama A&amp;M: 204 - 297 :Albany (NY)</t>
  </si>
  <si>
    <t>Appalachian State: 23 - 478 :Arizona</t>
  </si>
  <si>
    <t>Arkansas: 496 - 5 :Army</t>
  </si>
  <si>
    <t>Chattanooga: 58 - 443 :Cincinnati</t>
  </si>
  <si>
    <t>Coastal Carolina: 202 - 299 :College of Charleston</t>
  </si>
  <si>
    <t>Colorado: 91 - 410 :Connecticut</t>
  </si>
  <si>
    <t>Cornell: 181 - 320 :Creighton</t>
  </si>
  <si>
    <t>Butler: 221 - 280 :Cal State Northridge</t>
  </si>
  <si>
    <t>Central Arkansas: 457 - 44 :Central Michigan</t>
  </si>
  <si>
    <t>Baylor: 298 - 203 :Belmont</t>
  </si>
  <si>
    <t>Duke: 356 - 145 :Brigham Young</t>
  </si>
  <si>
    <t>Alabama: 490 - 11 :Albany (NY)</t>
  </si>
  <si>
    <t>Arizona: 413 - 88 :Arkansas</t>
  </si>
  <si>
    <t>Cincinnati: 219 - 282 :College of Charleston</t>
  </si>
  <si>
    <t>Connecticut: 437 - 64 :Creighton</t>
  </si>
  <si>
    <t>Cal State Northridge: 182 - 319 :Central Arkansas</t>
  </si>
  <si>
    <t>Baylor: 75 - 426 :Duke</t>
  </si>
  <si>
    <t>Alabama: 116 - 385 :Arizona</t>
  </si>
  <si>
    <t>UPSET! Normal winner is Connecticut</t>
  </si>
  <si>
    <t>Duke: 398 - 103 :Central Arkansas</t>
  </si>
  <si>
    <t>Arizona: 464 - 37 :College of Charleston</t>
  </si>
  <si>
    <t>Arizona: 327 - 174 :Duke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</si>
</sst>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</v>
      </c>
      <c r="M7" s="82" t="e" vm="70">
        <f>_xlfn.XLOOKUP(I7,Teams!$C:$C,Teams!$E:$E,,0,1)</f>
        <v>#VALUE!</v>
      </c>
      <c r="N7" s="82">
        <v>0.8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1</v>
      </c>
      <c r="M12" s="109" t="e" vm="80">
        <f>_xlfn.XLOOKUP(I12,Teams!$C:$C,Teams!$E:$E,,0,1)</f>
        <v>#VALUE!</v>
      </c>
      <c r="N12" s="109">
        <v>0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1</v>
      </c>
      <c r="M13" s="115" t="e" vm="82">
        <f>_xlfn.XLOOKUP(I13,Teams!$C:$C,Teams!$E:$E,,0,1)</f>
        <v>#VALUE!</v>
      </c>
      <c r="N13" s="115">
        <v>0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1</v>
      </c>
      <c r="M16" s="83" t="e" vm="88">
        <f>_xlfn.XLOOKUP(I16,Teams!$C:$C,Teams!$E:$E,,0,1)</f>
        <v>#VALUE!</v>
      </c>
      <c r="N16" s="83">
        <v>0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1</v>
      </c>
      <c r="M17" s="83" t="e" vm="90">
        <f>_xlfn.XLOOKUP(I17,Teams!$C:$C,Teams!$E:$E,,0,1)</f>
        <v>#VALUE!</v>
      </c>
      <c r="N17" s="83">
        <v>0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1</v>
      </c>
      <c r="M20" s="126" t="e" vm="96">
        <f>_xlfn.XLOOKUP(I20,Teams!$C:$C,Teams!$E:$E,,0,1)</f>
        <v>#VALUE!</v>
      </c>
      <c r="N20" s="126">
        <v>0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1</v>
      </c>
      <c r="M28" s="109" t="e" vm="112">
        <f>_xlfn.XLOOKUP(I28,Teams!$C:$C,Teams!$E:$E,,0,1)</f>
        <v>#VALUE!</v>
      </c>
      <c r="N28" s="109">
        <v>0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0.75</v>
      </c>
      <c r="M29" s="115" t="e" vm="114">
        <f>_xlfn.XLOOKUP(I29,Teams!$C:$C,Teams!$E:$E,,0,1)</f>
        <v>#VALUE!</v>
      </c>
      <c r="N29" s="115">
        <v>0.25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Buffalo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0.49</v>
      </c>
      <c r="M38" s="84" t="e" vm="67">
        <f>_xlfn.XLOOKUP(I38,Teams!$C:$C,Teams!$E:$E,,0,1)</f>
        <v>#VALUE!</v>
      </c>
      <c r="N38" s="84">
        <v>0.51</v>
      </c>
      <c r="O38" s="194" t="str">
        <f t="shared" ref="O38:O53" si="9">IF(L38&gt;N38,G38,I38)</f>
        <v>Butler</v>
      </c>
      <c r="P38" s="209" t="e" vm="67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Fullerton</v>
      </c>
      <c r="B39" s="91" t="str">
        <f t="shared" ref="B39:B53" si="11">I39</f>
        <v>Cal State Northridge</v>
      </c>
      <c r="C39" s="91" t="str">
        <f t="shared" si="7"/>
        <v>Cal State Fullerton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66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0.25</v>
      </c>
      <c r="M39" s="82" t="e" vm="71">
        <f>_xlfn.XLOOKUP(I39,Teams!$C:$C,Teams!$E:$E,,0,1)</f>
        <v>#VALUE!</v>
      </c>
      <c r="N39" s="82">
        <v>0.75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Campbell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0.33</v>
      </c>
      <c r="M40" s="82" t="e" vm="76">
        <f>_xlfn.XLOOKUP(I40,Teams!$C:$C,Teams!$E:$E,,0,1)</f>
        <v>#VALUE!</v>
      </c>
      <c r="N40" s="82">
        <v>0.67</v>
      </c>
      <c r="O40" s="189" t="str">
        <f t="shared" si="9"/>
        <v>Central Arkansas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Charlotte</v>
      </c>
      <c r="C41" s="91" t="str">
        <f t="shared" si="7"/>
        <v>Charlotte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76</v>
      </c>
      <c r="J41" s="138" cm="1">
        <f t="array" ref="J41">_xlfn.XLOOKUP(I41,Teams[[#All],[Team]],Teams[[#All],[Seed]],0,0,1)</f>
        <v>15</v>
      </c>
      <c r="K41" s="139" t="e" vm="78">
        <f>_xlfn.XLOOKUP(G41,Teams!$C:$C,Teams!$E:$E,,0,1)</f>
        <v>#VALUE!</v>
      </c>
      <c r="L41" s="139">
        <v>1</v>
      </c>
      <c r="M41" s="139" t="e" vm="80">
        <f>_xlfn.XLOOKUP(I41,Teams!$C:$C,Teams!$E:$E,,0,1)</f>
        <v>#VALUE!</v>
      </c>
      <c r="N41" s="139">
        <v>0</v>
      </c>
      <c r="O41" s="195" t="str">
        <f t="shared" si="9"/>
        <v>Central Michigan</v>
      </c>
      <c r="P41" s="210" t="e" vm="78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Austin Peay</v>
      </c>
      <c r="B42" s="91" t="str">
        <f t="shared" si="11"/>
        <v>Baylor</v>
      </c>
      <c r="C42" s="91" t="str">
        <f t="shared" si="7"/>
        <v>Austin Peay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16</v>
      </c>
      <c r="G42" s="142" t="s">
        <v>46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2">
        <f>_xlfn.XLOOKUP(G42,Teams!$C:$C,Teams!$E:$E,,0,1)</f>
        <v>#VALUE!</v>
      </c>
      <c r="L42" s="145">
        <v>0.42</v>
      </c>
      <c r="M42" s="145" t="e" vm="84">
        <f>_xlfn.XLOOKUP(I42,Teams!$C:$C,Teams!$E:$E,,0,1)</f>
        <v>#VALUE!</v>
      </c>
      <c r="N42" s="145">
        <v>0.57999999999999996</v>
      </c>
      <c r="O42" s="196" t="str">
        <f t="shared" si="9"/>
        <v>Baylor</v>
      </c>
      <c r="P42" s="211" t="e" vm="84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Binghamton</v>
      </c>
      <c r="C43" s="91" t="str">
        <f t="shared" si="7"/>
        <v>Binghamton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52</v>
      </c>
      <c r="J43" s="120" cm="1">
        <f t="array" ref="J43">_xlfn.XLOOKUP(I43,Teams[[#All],[Team]],Teams[[#All],[Seed]],0,0,1)</f>
        <v>13</v>
      </c>
      <c r="K43" s="83" t="e" vm="86">
        <f>_xlfn.XLOOKUP(G43,Teams!$C:$C,Teams!$E:$E,,0,1)</f>
        <v>#VALUE!</v>
      </c>
      <c r="L43" s="83">
        <v>0.91</v>
      </c>
      <c r="M43" s="83" t="e" vm="88">
        <f>_xlfn.XLOOKUP(I43,Teams!$C:$C,Teams!$E:$E,,0,1)</f>
        <v>#VALUE!</v>
      </c>
      <c r="N43" s="83">
        <v>0.09</v>
      </c>
      <c r="O43" s="192" t="str">
        <f t="shared" si="9"/>
        <v>Belmont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Boston College</v>
      </c>
      <c r="B44" s="91" t="str">
        <f t="shared" si="11"/>
        <v>Duke</v>
      </c>
      <c r="C44" s="91" t="str">
        <f t="shared" si="7"/>
        <v>Boston College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11</v>
      </c>
      <c r="G44" s="118" t="s">
        <v>54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90">
        <f>_xlfn.XLOOKUP(G44,Teams!$C:$C,Teams!$E:$E,,0,1)</f>
        <v>#VALUE!</v>
      </c>
      <c r="L44" s="83">
        <v>0.01</v>
      </c>
      <c r="M44" s="83" t="e" vm="92">
        <f>_xlfn.XLOOKUP(I44,Teams!$C:$C,Teams!$E:$E,,0,1)</f>
        <v>#VALUE!</v>
      </c>
      <c r="N44" s="83">
        <v>0.99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Bryant</v>
      </c>
      <c r="C45" s="91" t="str">
        <f t="shared" si="7"/>
        <v>Bryant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60</v>
      </c>
      <c r="J45" s="150" cm="1">
        <f t="array" ref="J45">_xlfn.XLOOKUP(I45,Teams[[#All],[Team]],Teams[[#All],[Seed]],0,0,1)</f>
        <v>15</v>
      </c>
      <c r="K45" s="151" t="e" vm="94">
        <f>_xlfn.XLOOKUP(G45,Teams!$C:$C,Teams!$E:$E,,0,1)</f>
        <v>#VALUE!</v>
      </c>
      <c r="L45" s="151">
        <v>0.98</v>
      </c>
      <c r="M45" s="151" t="e" vm="96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0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Alabama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Alabama A&amp;M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0.41</v>
      </c>
      <c r="M47" s="82" t="e" vm="103">
        <f>_xlfn.XLOOKUP(I47,Teams!$C:$C,Teams!$E:$E,,0,1)</f>
        <v>#VALUE!</v>
      </c>
      <c r="N47" s="82">
        <v>0.59</v>
      </c>
      <c r="O47" s="189" t="str">
        <f t="shared" si="9"/>
        <v>Albany (NY)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Army</v>
      </c>
      <c r="C49" s="152" t="str">
        <f t="shared" si="7"/>
        <v>Army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44</v>
      </c>
      <c r="J49" s="138" cm="1">
        <f t="array" ref="J49">_xlfn.XLOOKUP(I49,Teams[[#All],[Team]],Teams[[#All],[Seed]],0,0,1)</f>
        <v>15</v>
      </c>
      <c r="K49" s="139" t="e" vm="109">
        <f>_xlfn.XLOOKUP(G49,Teams!$C:$C,Teams!$E:$E,,0,1)</f>
        <v>#VALUE!</v>
      </c>
      <c r="L49" s="139">
        <v>0.99</v>
      </c>
      <c r="M49" s="139" t="e" vm="112">
        <f>_xlfn.XLOOKUP(I49,Teams!$C:$C,Teams!$E:$E,,0,1)</f>
        <v>#VALUE!</v>
      </c>
      <c r="N49" s="139">
        <v>0.01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Chattanooga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0.12</v>
      </c>
      <c r="M50" s="145" t="e" vm="115">
        <f>_xlfn.XLOOKUP(I50,Teams!$C:$C,Teams!$E:$E,,0,1)</f>
        <v>#VALUE!</v>
      </c>
      <c r="N50" s="145">
        <v>0.88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College of Charleston</v>
      </c>
      <c r="C51" s="91" t="str">
        <f t="shared" si="7"/>
        <v>Coastal Carolina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0.4</v>
      </c>
      <c r="M51" s="83" t="e" vm="120">
        <f>_xlfn.XLOOKUP(I51,Teams!$C:$C,Teams!$E:$E,,0,1)</f>
        <v>#VALUE!</v>
      </c>
      <c r="N51" s="83">
        <v>0.6</v>
      </c>
      <c r="O51" s="192" t="str">
        <f t="shared" si="9"/>
        <v>College of Charleston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0.18</v>
      </c>
      <c r="M52" s="83" t="e" vm="124">
        <f>_xlfn.XLOOKUP(I52,Teams!$C:$C,Teams!$E:$E,,0,1)</f>
        <v>#VALUE!</v>
      </c>
      <c r="N52" s="83">
        <v>0.82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Butler</v>
      </c>
      <c r="B55" s="91" t="str">
        <f>I55</f>
        <v>Cal State Northridge</v>
      </c>
      <c r="C55" s="91" t="str">
        <f t="shared" ref="C55:C62" si="12">IF(O55="","",IF(A55=O55,B55,A55))</f>
        <v>Butler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8</v>
      </c>
      <c r="G55" s="94" t="s">
        <v>63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7">
        <f>_xlfn.XLOOKUP(G55,Teams!$C:$C,Teams!$E:$E,,0,1)</f>
        <v>#VALUE!</v>
      </c>
      <c r="L55" s="97">
        <v>0.44</v>
      </c>
      <c r="M55" s="97" t="e" vm="71">
        <f>_xlfn.XLOOKUP(I55,Teams!$C:$C,Teams!$E:$E,,0,1)</f>
        <v>#VALUE!</v>
      </c>
      <c r="N55" s="97">
        <v>0.56000000000000005</v>
      </c>
      <c r="O55" s="188" t="str">
        <f t="shared" ref="O55:O62" si="14">IF(L55&gt;N55,G55,I55)</f>
        <v>Cal State Northridge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Central Arkansas</v>
      </c>
      <c r="B56" s="91" t="str">
        <f t="shared" ref="B56:B62" si="16">I56</f>
        <v>Central Michigan</v>
      </c>
      <c r="C56" s="91" t="str">
        <f t="shared" si="12"/>
        <v>Central Michigan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72</v>
      </c>
      <c r="H56" s="182" t="s">
        <v>9</v>
      </c>
      <c r="I56" s="137" t="s">
        <v>74</v>
      </c>
      <c r="J56" s="138" cm="1">
        <f t="array" ref="J56">_xlfn.XLOOKUP(I56,Teams[[#All],[Team]],Teams[[#All],[Seed]],0,0,1)</f>
        <v>10</v>
      </c>
      <c r="K56" s="139" t="e" vm="76">
        <f>_xlfn.XLOOKUP(G56,Teams!$C:$C,Teams!$E:$E,,0,1)</f>
        <v>#VALUE!</v>
      </c>
      <c r="L56" s="139">
        <v>0.91</v>
      </c>
      <c r="M56" s="139" t="e" vm="78">
        <f>_xlfn.XLOOKUP(I56,Teams!$C:$C,Teams!$E:$E,,0,1)</f>
        <v>#VALUE!</v>
      </c>
      <c r="N56" s="139">
        <v>0.09</v>
      </c>
      <c r="O56" s="195" t="str">
        <f t="shared" si="14"/>
        <v>Central Arkansas</v>
      </c>
      <c r="P56" s="210" t="e" vm="76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Baylor</v>
      </c>
      <c r="B57" s="91" t="str">
        <f t="shared" si="16"/>
        <v>Belmont</v>
      </c>
      <c r="C57" s="91" t="str">
        <f t="shared" si="12"/>
        <v>Belmont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9</v>
      </c>
      <c r="G57" s="142" t="s">
        <v>48</v>
      </c>
      <c r="H57" s="183" t="s">
        <v>9</v>
      </c>
      <c r="I57" s="143" t="s">
        <v>50</v>
      </c>
      <c r="J57" s="144" cm="1">
        <f t="array" ref="J57">_xlfn.XLOOKUP(I57,Teams[[#All],[Team]],Teams[[#All],[Seed]],0,0,1)</f>
        <v>12</v>
      </c>
      <c r="K57" s="145" t="e" vm="84">
        <f>_xlfn.XLOOKUP(G57,Teams!$C:$C,Teams!$E:$E,,0,1)</f>
        <v>#VALUE!</v>
      </c>
      <c r="L57" s="145">
        <v>0.59</v>
      </c>
      <c r="M57" s="145" t="e" vm="86">
        <f>_xlfn.XLOOKUP(I57,Teams!$C:$C,Teams!$E:$E,,0,1)</f>
        <v>#VALUE!</v>
      </c>
      <c r="N57" s="145">
        <v>0.41</v>
      </c>
      <c r="O57" s="196" t="str">
        <f t="shared" si="14"/>
        <v>Baylor</v>
      </c>
      <c r="P57" s="211" t="e" vm="84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Albany (NY)</v>
      </c>
      <c r="C59" s="152" t="str">
        <f t="shared" si="12"/>
        <v>Albany (NY)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35</v>
      </c>
      <c r="J59" s="133" cm="1">
        <f t="array" ref="J59">_xlfn.XLOOKUP(I59,Teams[[#All],[Team]],Teams[[#All],[Seed]],0,0,1)</f>
        <v>4</v>
      </c>
      <c r="K59" s="84" t="e" vm="100">
        <f>_xlfn.XLOOKUP(G59,Teams!$C:$C,Teams!$E:$E,,0,1)</f>
        <v>#VALUE!</v>
      </c>
      <c r="L59" s="84">
        <v>0.98</v>
      </c>
      <c r="M59" s="84" t="e" vm="103">
        <f>_xlfn.XLOOKUP(I59,Teams!$C:$C,Teams!$E:$E,,0,1)</f>
        <v>#VALUE!</v>
      </c>
      <c r="N59" s="84">
        <v>0.02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Cincinnati</v>
      </c>
      <c r="B61" s="91" t="str">
        <f t="shared" si="16"/>
        <v>College of Charleston</v>
      </c>
      <c r="C61" s="91" t="str">
        <f t="shared" si="12"/>
        <v>Cincinnati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79</v>
      </c>
      <c r="H61" s="183" t="s">
        <v>9</v>
      </c>
      <c r="I61" s="143" t="s">
        <v>84</v>
      </c>
      <c r="J61" s="144" cm="1">
        <f t="array" ref="J61">_xlfn.XLOOKUP(I61,Teams[[#All],[Team]],Teams[[#All],[Seed]],0,0,1)</f>
        <v>13</v>
      </c>
      <c r="K61" s="145" t="e" vm="115">
        <f>_xlfn.XLOOKUP(G61,Teams!$C:$C,Teams!$E:$E,,0,1)</f>
        <v>#VALUE!</v>
      </c>
      <c r="L61" s="145">
        <v>0.44</v>
      </c>
      <c r="M61" s="145" t="e" vm="120">
        <f>_xlfn.XLOOKUP(I61,Teams!$C:$C,Teams!$E:$E,,0,1)</f>
        <v>#VALUE!</v>
      </c>
      <c r="N61" s="145">
        <v>0.56000000000000005</v>
      </c>
      <c r="O61" s="196" t="str">
        <f t="shared" si="14"/>
        <v>College of Charleston</v>
      </c>
      <c r="P61" s="211" t="e" vm="120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Creighton</v>
      </c>
      <c r="C62" s="91" t="str">
        <f t="shared" si="12"/>
        <v>Creighton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91</v>
      </c>
      <c r="J62" s="150" cm="1">
        <f t="array" ref="J62">_xlfn.XLOOKUP(I62,Teams[[#All],[Team]],Teams[[#All],[Seed]],0,0,1)</f>
        <v>2</v>
      </c>
      <c r="K62" s="151" t="e" vm="124">
        <f>_xlfn.XLOOKUP(G62,Teams!$C:$C,Teams!$E:$E,,0,1)</f>
        <v>#VALUE!</v>
      </c>
      <c r="L62" s="151">
        <v>0.87</v>
      </c>
      <c r="M62" s="151" t="e" vm="127">
        <f>_xlfn.XLOOKUP(I62,Teams!$C:$C,Teams!$E:$E,,0,1)</f>
        <v>#VALUE!</v>
      </c>
      <c r="N62" s="151">
        <v>0.13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 State Northridge</v>
      </c>
      <c r="B64" s="91" t="str">
        <f>I64</f>
        <v>Central Arkansas</v>
      </c>
      <c r="C64" s="91" t="str">
        <f>IF(O64="","",IF(A64=O64,B64,A64))</f>
        <v>Cal State Northridge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67</v>
      </c>
      <c r="H64" s="185" t="s">
        <v>9</v>
      </c>
      <c r="I64" s="156" t="s">
        <v>72</v>
      </c>
      <c r="J64" s="157" cm="1">
        <f t="array" ref="J64">_xlfn.XLOOKUP(I64,Teams[[#All],[Team]],Teams[[#All],[Seed]],0,0,1)</f>
        <v>14</v>
      </c>
      <c r="K64" s="158" t="e" vm="71">
        <f>_xlfn.XLOOKUP(G64,Teams!$C:$C,Teams!$E:$E,,0,1)</f>
        <v>#VALUE!</v>
      </c>
      <c r="L64" s="158">
        <v>0.36</v>
      </c>
      <c r="M64" s="158" t="e" vm="76">
        <f>_xlfn.XLOOKUP(I64,Teams!$C:$C,Teams!$E:$E,,0,1)</f>
        <v>#VALUE!</v>
      </c>
      <c r="N64" s="158">
        <v>0.64</v>
      </c>
      <c r="O64" s="198" t="str">
        <f>IF(L64&gt;N64,G64,I64)</f>
        <v>Central Arkansas</v>
      </c>
      <c r="P64" s="204" t="e" vm="76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Baylor</v>
      </c>
      <c r="B65" s="91" t="str">
        <f>I65</f>
        <v>Duke</v>
      </c>
      <c r="C65" s="91" t="str">
        <f>IF(O65="","",IF(A65=O65,B65,A65))</f>
        <v>Baylor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9</v>
      </c>
      <c r="G65" s="161" t="s">
        <v>48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4">
        <f>_xlfn.XLOOKUP(G65,Teams!$C:$C,Teams!$E:$E,,0,1)</f>
        <v>#VALUE!</v>
      </c>
      <c r="L65" s="164">
        <v>0.15</v>
      </c>
      <c r="M65" s="164" t="e" vm="92">
        <f>_xlfn.XLOOKUP(I65,Teams!$C:$C,Teams!$E:$E,,0,1)</f>
        <v>#VALUE!</v>
      </c>
      <c r="N65" s="164">
        <v>0.85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Arizona</v>
      </c>
      <c r="C66" s="91" t="str">
        <f>IF(O66="","",IF(A66=O66,B66,A66))</f>
        <v>Alabama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100">
        <f>_xlfn.XLOOKUP(G66,Teams!$C:$C,Teams!$E:$E,,0,1)</f>
        <v>#VALUE!</v>
      </c>
      <c r="L66" s="158">
        <v>0.23</v>
      </c>
      <c r="M66" s="158" t="e" vm="107">
        <f>_xlfn.XLOOKUP(I66,Teams!$C:$C,Teams!$E:$E,,0,1)</f>
        <v>#VALUE!</v>
      </c>
      <c r="N66" s="158">
        <v>0.77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College of Charleston</v>
      </c>
      <c r="B67" s="91" t="str">
        <f>I67</f>
        <v>Connecticut</v>
      </c>
      <c r="C67" s="91" t="str">
        <f>IF(O67="","",IF(A67=O67,B67,A67))</f>
        <v>Connecticut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13</v>
      </c>
      <c r="G67" s="161" t="s">
        <v>84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20">
        <f>_xlfn.XLOOKUP(G67,Teams!$C:$C,Teams!$E:$E,,0,1)</f>
        <v>#VALUE!</v>
      </c>
      <c r="L67" s="164">
        <v>1</v>
      </c>
      <c r="M67" s="164" t="e" vm="124">
        <f>_xlfn.XLOOKUP(I67,Teams!$C:$C,Teams!$E:$E,,0,1)</f>
        <v>#VALUE!</v>
      </c>
      <c r="N67" s="164">
        <v>0</v>
      </c>
      <c r="O67" s="199" t="str">
        <f>IF(L67&gt;N67,G67,I67)</f>
        <v>College of Charleston</v>
      </c>
      <c r="P67" s="207" t="e" vm="120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Central Arkansas</v>
      </c>
      <c r="B69" s="91" t="str">
        <f>I69</f>
        <v>Duke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14</v>
      </c>
      <c r="G69" s="167" t="s">
        <v>72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76">
        <f>_xlfn.XLOOKUP(G69,Teams!$C:$C,Teams!$E:$E,,0,1)</f>
        <v>#VALUE!</v>
      </c>
      <c r="L69" s="170">
        <v>0.79</v>
      </c>
      <c r="M69" s="170" t="e" vm="92">
        <f>_xlfn.XLOOKUP(I69,Teams!$C:$C,Teams!$E:$E,,0,1)</f>
        <v>#VALUE!</v>
      </c>
      <c r="N69" s="170">
        <v>0.21</v>
      </c>
      <c r="O69" s="200" t="str">
        <f>IF(L69&gt;N69,G69,I69)</f>
        <v>Central Arkansas</v>
      </c>
      <c r="P69" s="210" t="e" vm="76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College of Charleston</v>
      </c>
      <c r="C70" s="91" t="str">
        <f>IF(O70="","",IF(A70=O70,B70,A70))</f>
        <v>College of Charleston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84</v>
      </c>
      <c r="J70" s="163" cm="1">
        <f t="array" ref="J70">_xlfn.XLOOKUP(I70,Teams[[#All],[Team]],Teams[[#All],[Seed]],0,0,1)</f>
        <v>13</v>
      </c>
      <c r="K70" s="164" t="e" vm="107">
        <f>_xlfn.XLOOKUP(G70,Teams!$C:$C,Teams!$E:$E,,0,1)</f>
        <v>#VALUE!</v>
      </c>
      <c r="L70" s="164">
        <v>0.93</v>
      </c>
      <c r="M70" s="164" t="e" vm="120">
        <f>_xlfn.XLOOKUP(I70,Teams!$C:$C,Teams!$E:$E,,0,1)</f>
        <v>#VALUE!</v>
      </c>
      <c r="N70" s="164">
        <v>7.0000000000000007E-2</v>
      </c>
      <c r="O70" s="199" t="str">
        <f>IF(L70&gt;N70,G70,I70)</f>
        <v>Arizona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Arizona</v>
      </c>
      <c r="C72" s="91" t="str">
        <f>IF(O72="","",IF(A72=O72,B72,A72))</f>
        <v>Arizona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3</v>
      </c>
      <c r="K72" s="158" t="e" vm="92">
        <f>_xlfn.XLOOKUP(G72,Teams!$C:$C,Teams!$E:$E,,0,1)</f>
        <v>#VALUE!</v>
      </c>
      <c r="L72" s="158">
        <v>0.65</v>
      </c>
      <c r="M72" s="158" t="e" vm="107">
        <f>_xlfn.XLOOKUP(I72,Teams!$C:$C,Teams!$E:$E,,0,1)</f>
        <v>#VALUE!</v>
      </c>
      <c r="N72" s="158">
        <v>0.35</v>
      </c>
      <c r="O72" s="198" t="str">
        <f>IF(L72&gt;N72,G72,I72)</f>
        <v>Duke</v>
      </c>
      <c r="P72" s="205" t="e" vm="92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0.49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Butler</v>
      </c>
      <c r="J7" s="247" t="e" vm="67">
        <f>_xlfn.XLOOKUP(I7,Teams!$C:$C,Teams!$E:$E,,0,1)</f>
        <v>#VALUE!</v>
      </c>
      <c r="K7" s="264">
        <f>Games!L55</f>
        <v>0.44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0.98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0.51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 State Northridge</v>
      </c>
      <c r="M11" s="247" t="e" vm="71">
        <f>_xlfn.XLOOKUP(L11,Teams!$C:$C,Teams!$E:$E,,0,1)</f>
        <v>#VALUE!</v>
      </c>
      <c r="N11" s="264">
        <f>Games!L64</f>
        <v>0.36</v>
      </c>
      <c r="O11" s="25"/>
      <c r="P11" s="25"/>
      <c r="R11" s="25"/>
      <c r="S11" s="25"/>
      <c r="T11" s="251" t="e" vm="92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0.23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</v>
      </c>
      <c r="F13" s="262" t="str">
        <f>Games!O7</f>
        <v>Cal State Fullerton</v>
      </c>
      <c r="G13" s="247" t="e" vm="70">
        <f>_xlfn.XLOOKUP(F13,Teams!$C:$C,Teams!$E:$E,,0,1)</f>
        <v>#VALUE!</v>
      </c>
      <c r="H13" s="264">
        <f>Games!L39</f>
        <v>0.25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0.41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0.8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0.56000000000000005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0.02</v>
      </c>
      <c r="AF15" s="249" t="e" vm="103">
        <f>_xlfn.XLOOKUP(AG15,Teams!$C:$C,Teams!$E:$E,,0,1)</f>
        <v>#VALUE!</v>
      </c>
      <c r="AG15" s="262" t="str">
        <f>Games!O47</f>
        <v>Albany (NY)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0.75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0.59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Central Arkansas</v>
      </c>
      <c r="P19" s="247" t="e" vm="76">
        <f>_xlfn.XLOOKUP(O19,Teams!$C:$C,Teams!$E:$E,,0,1)</f>
        <v>#VALUE!</v>
      </c>
      <c r="Q19" s="264">
        <f>Games!L69</f>
        <v>0.79</v>
      </c>
      <c r="R19" s="25"/>
      <c r="S19" s="25"/>
      <c r="T19" s="257"/>
      <c r="U19" s="258"/>
      <c r="V19" s="259"/>
      <c r="W19" s="25"/>
      <c r="X19" s="25"/>
      <c r="Y19" s="264">
        <f>Games!L70</f>
        <v>0.93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0.33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Central Arkansas</v>
      </c>
      <c r="J23" s="247" t="e" vm="76">
        <f>_xlfn.XLOOKUP(I23,Teams!$C:$C,Teams!$E:$E,,0,1)</f>
        <v>#VALUE!</v>
      </c>
      <c r="K23" s="264">
        <f>Games!L56</f>
        <v>0.91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0.67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Central Arkansas</v>
      </c>
      <c r="M27" s="247" t="e" vm="76">
        <f>_xlfn.XLOOKUP(L27,Teams!$C:$C,Teams!$E:$E,,0,1)</f>
        <v>#VALUE!</v>
      </c>
      <c r="N27" s="277">
        <f>Games!N64</f>
        <v>0.64</v>
      </c>
      <c r="O27" s="25"/>
      <c r="P27" s="25"/>
      <c r="Q27" s="50"/>
      <c r="R27" s="279" t="str">
        <f>Games!O69</f>
        <v>Central Arkansas</v>
      </c>
      <c r="S27" s="262"/>
      <c r="T27" s="262"/>
      <c r="U27" s="289" t="e" vm="76">
        <f>_xlfn.XLOOKUP(R27,Teams!$C:$C,Teams!$E:$E,,0,1)</f>
        <v>#VALUE!</v>
      </c>
      <c r="V27" s="267">
        <f>Games!L72</f>
        <v>0.65</v>
      </c>
      <c r="W27" s="24"/>
      <c r="X27" s="25"/>
      <c r="Y27" s="56"/>
      <c r="AA27" s="25"/>
      <c r="AB27" s="269">
        <f>Games!N66</f>
        <v>0.77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0.99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Central Michigan</v>
      </c>
      <c r="J31" s="247" t="e" vm="78">
        <f>_xlfn.XLOOKUP(I31,Teams!$C:$C,Teams!$E:$E,,0,1)</f>
        <v>#VALUE!</v>
      </c>
      <c r="K31" s="277">
        <f>Games!N56</f>
        <v>0.09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1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0.01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1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1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0.42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0.12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0.75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</v>
      </c>
      <c r="F39" s="282">
        <f>IF($AU$5=TRUE,F31+1,"")</f>
        <v>37</v>
      </c>
      <c r="G39" s="14"/>
      <c r="H39" s="49"/>
      <c r="I39" s="279" t="str">
        <f>Games!O42</f>
        <v>Baylor</v>
      </c>
      <c r="J39" s="247" t="e" vm="84">
        <f>_xlfn.XLOOKUP(I39,Teams!$C:$C,Teams!$E:$E,,0,1)</f>
        <v>#VALUE!</v>
      </c>
      <c r="K39" s="264">
        <f>Games!L57</f>
        <v>0.59</v>
      </c>
      <c r="L39" s="25"/>
      <c r="M39" s="25"/>
      <c r="O39" s="25"/>
      <c r="P39" s="25"/>
      <c r="Q39" s="50"/>
      <c r="R39" s="25"/>
      <c r="S39" s="25"/>
      <c r="T39" s="267">
        <f>Games!N72</f>
        <v>0.35</v>
      </c>
      <c r="U39" s="293" t="e" vm="10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0.44</v>
      </c>
      <c r="AF39" s="249" t="e" vm="115">
        <f>_xlfn.XLOOKUP(AG39,Teams!$C:$C,Teams!$E:$E,,0,1)</f>
        <v>#VALUE!</v>
      </c>
      <c r="AG39" s="262" t="str">
        <f>Games!O50</f>
        <v>Cincinnati</v>
      </c>
      <c r="AH39" s="55"/>
      <c r="AI39" s="51"/>
      <c r="AJ39" s="282">
        <f>IF($AU$5=TRUE,AJ31+1,"")</f>
        <v>45</v>
      </c>
      <c r="AK39" s="59">
        <f>Games!N29</f>
        <v>0.25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0.57999999999999996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0.88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Baylor</v>
      </c>
      <c r="M43" s="247" t="e" vm="84">
        <f>_xlfn.XLOOKUP(L43,Teams!$C:$C,Teams!$E:$E,,0,1)</f>
        <v>#VALUE!</v>
      </c>
      <c r="N43" s="264">
        <f>Games!L65</f>
        <v>0.15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1</v>
      </c>
      <c r="AC43" s="249" t="e" vm="120">
        <f>_xlfn.XLOOKUP(AD43,Teams!$C:$C,Teams!$E:$E,,0,1)</f>
        <v>#VALUE!</v>
      </c>
      <c r="AD43" s="291" t="str">
        <f>Games!O61</f>
        <v>College of Charleston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0.91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0.4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Belmont</v>
      </c>
      <c r="J47" s="247" t="e" vm="86">
        <f>_xlfn.XLOOKUP(I47,Teams!$C:$C,Teams!$E:$E,,0,1)</f>
        <v>#VALUE!</v>
      </c>
      <c r="K47" s="277">
        <f>Games!N57</f>
        <v>0.41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0.56000000000000005</v>
      </c>
      <c r="AF47" s="249" t="e" vm="120">
        <f>_xlfn.XLOOKUP(AG47,Teams!$C:$C,Teams!$E:$E,,0,1)</f>
        <v>#VALUE!</v>
      </c>
      <c r="AG47" s="262" t="str">
        <f>Games!O51</f>
        <v>College of Charleston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1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0.09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0.6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0.21</v>
      </c>
      <c r="R51" s="25"/>
      <c r="S51" s="25"/>
      <c r="T51" s="25"/>
      <c r="U51" s="75"/>
      <c r="V51" s="25"/>
      <c r="W51" s="25"/>
      <c r="X51" s="25"/>
      <c r="Y51" s="269">
        <f>Games!N70</f>
        <v>7.0000000000000007E-2</v>
      </c>
      <c r="Z51" s="249" t="e" vm="120">
        <f>_xlfn.XLOOKUP(AA51,Teams!$C:$C,Teams!$E:$E,,0,1)</f>
        <v>#VALUE!</v>
      </c>
      <c r="AA51" s="262" t="str">
        <f>Games!O67</f>
        <v>College of Charleston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1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0.01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0.18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0.87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0.82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0.85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0.13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1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2026-03-06T05:24:15Z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