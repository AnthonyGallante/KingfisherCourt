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1377E6E-BBDF-4618-B2C7-E7E7954EF94C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<sst xmlns="http://schemas.openxmlformats.org/spreadsheetml/2006/main" count="1526" uniqueCount="1194">
  <si>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</si>
  <si>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</si>
  <si>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</si>
  <si>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</si>
  <si>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</si>
  <si>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</si>
  <si>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</si>
  <si>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</si>
  <si>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</si>
  <si>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</si>
  <si>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</si>
  <si>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</si>
  <si>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</si>
  <si>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</si>
  <si>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</si>
  <si>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</si>
  <si>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</si>
  <si>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</si>
  <si>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</si>
  <si>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</si>
  <si>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</si>
  <si>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</si>
  <si>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</si>
  <si>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</si>
  <si>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</si>
  <si>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</si>
  <si>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</si>
  <si>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</si>
  <si>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</si>
  <si>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</si>
  <si>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</si>
  <si>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</si>
  <si>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</si>
  <si>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</si>
  <si>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</si>
  <si>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</si>
  <si>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</si>
  <si>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</si>
  <si>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</si>
  <si>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</si>
  <si>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</si>
  <si>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</si>
  <si>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</si>
  <si>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</si>
  <si>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</si>
  <si>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</si>
  <si>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</si>
  <si>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</si>
  <si>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</si>
  <si>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</si>
  <si>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</si>
  <si>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</si>
  <si>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</si>
  <si>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</si>
  <si>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</si>
  <si>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</si>
  <si>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</si>
  <si>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</si>
  <si>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</si>
  <si>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</si>
  <si>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</si>
  <si>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</si>
  <si>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</si>
  <si>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</si>
  <si>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</si>
  <si>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</si>
  <si>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</si>
  <si>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</si>
  <si>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</si>
  <si>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</si>
  <si>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</si>
  <si>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</si>
  <si>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</si>
  <si>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</si>
  <si>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</si>
  <si>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</si>
  <si>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</si>
  <si>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</si>
  <si>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</si>
  <si>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</si>
  <si>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</si>
  <si>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</si>
  <si>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</si>
  <si>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</si>
  <si>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</si>
  <si>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</si>
  <si>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</si>
  <si>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</si>
  <si>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</si>
  <si>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</si>
  <si>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</si>
  <si>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</si>
  <si>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</si>
  <si>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</si>
  <si>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</si>
  <si>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</si>
  <si>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</si>
  <si>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</si>
  <si>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</si>
  <si>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</si>
  <si>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</si>
  <si>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</si>
  <si>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</si>
  <si>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</si>
  <si>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</si>
  <si>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</si>
  <si>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</si>
  <si>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</si>
  <si>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</si>
  <si>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</si>
  <si>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</si>
  <si>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</si>
  <si>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</si>
  <si>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</si>
  <si>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</si>
  <si>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</si>
  <si>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</si>
  <si>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</si>
  <si>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</si>
  <si>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</si>
  <si>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</si>
  <si>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</si>
  <si>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</si>
  <si>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</si>
  <si>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</si>
  <si>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</si>
  <si>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</si>
  <si>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</si>
  <si>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</si>
  <si>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</si>
  <si>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</si>
  <si>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</si>
  <si>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</si>
  <si>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</si>
  <si>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</si>
  <si>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</si>
  <si>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</si>
  <si>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</si>
  <si>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</si>
  <si>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</si>
  <si>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</si>
  <si>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</si>
  <si>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</si>
  <si>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</si>
  <si>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</si>
  <si>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</si>
  <si>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</si>
  <si>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</si>
  <si>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</si>
  <si>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</si>
  <si>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</si>
  <si>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</si>
  <si>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</si>
  <si>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</si>
  <si>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</si>
  <si>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</si>
  <si>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</si>
  <si>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</si>
  <si>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</si>
  <si>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</si>
  <si>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</si>
  <si>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</si>
  <si>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</si>
  <si>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</si>
  <si>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</si>
  <si>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</si>
  <si>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</si>
  <si>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</si>
  <si>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</si>
  <si>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</si>
  <si>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</si>
  <si>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</si>
  <si>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</si>
  <si>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</si>
  <si>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</si>
  <si>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</si>
  <si>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</si>
  <si>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</si>
  <si>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</si>
  <si>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</si>
  <si>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</si>
  <si>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</si>
  <si>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</si>
  <si>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</si>
  <si>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</si>
  <si>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</si>
  <si>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</si>
  <si>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</si>
  <si>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</si>
  <si>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</si>
  <si>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</si>
  <si>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</si>
  <si>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</si>
  <si>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</si>
  <si>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</si>
  <si>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</si>
  <si>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</si>
  <si>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</si>
  <si>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</si>
  <si>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</si>
  <si>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</si>
  <si>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</si>
  <si>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</si>
  <si>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</si>
  <si>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</si>
  <si>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</si>
  <si>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</si>
  <si>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</si>
  <si>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</si>
  <si>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</si>
  <si>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</si>
  <si>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</si>
  <si>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</si>
  <si>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</si>
  <si>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</si>
  <si>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</si>
  <si>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</si>
  <si>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</si>
  <si>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</si>
  <si>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</si>
  <si>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</si>
  <si>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</si>
  <si>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</si>
  <si>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</si>
  <si>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</si>
  <si>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</si>
  <si>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</si>
  <si>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</si>
  <si>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</si>
  <si>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</si>
  <si>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</si>
  <si>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</si>
  <si>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</si>
  <si>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</si>
  <si>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</si>
  <si>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</si>
  <si>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</si>
  <si>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</si>
  <si>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</si>
  <si>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</si>
  <si>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</si>
  <si>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</si>
  <si>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</si>
  <si>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</si>
  <si>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</si>
  <si>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</si>
  <si>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</si>
  <si>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</si>
  <si>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</si>
  <si>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</si>
  <si>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</si>
  <si>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</si>
  <si>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</si>
  <si>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</si>
  <si>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</si>
  <si>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</si>
  <si>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</si>
  <si>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</si>
  <si>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</si>
  <si>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</si>
  <si>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</si>
  <si>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</si>
  <si>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</si>
  <si>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</si>
  <si>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</si>
  <si>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</si>
  <si>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</si>
  <si>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</si>
  <si>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</si>
  <si>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</si>
  <si>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</si>
  <si>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</si>
  <si>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</si>
  <si>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</si>
  <si>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</si>
  <si>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</si>
  <si>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</si>
  <si>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</si>
  <si>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</si>
  <si>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</si>
  <si>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</si>
  <si>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</si>
  <si>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</si>
  <si>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</si>
  <si>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</si>
  <si>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</si>
  <si>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</si>
  <si>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</si>
  <si>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</si>
  <si>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</si>
  <si>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</si>
  <si>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</si>
  <si>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</si>
  <si>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</si>
  <si>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</si>
  <si>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</si>
  <si>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</si>
  <si>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</si>
  <si>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</si>
  <si>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</si>
  <si>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</si>
  <si>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</si>
  <si>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</si>
  <si>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</si>
  <si>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</si>
  <si>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</si>
  <si>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</si>
  <si>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</si>
  <si>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</si>
  <si>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</si>
  <si>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</si>
  <si>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</si>
  <si>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</si>
  <si>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</si>
  <si>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</si>
  <si>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</si>
  <si>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</si>
  <si>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</si>
  <si>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</si>
  <si>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</si>
  <si>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</si>
  <si>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</si>
  <si>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</si>
  <si>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</si>
  <si>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</si>
  <si>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</si>
  <si>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</si>
  <si>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</si>
  <si>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</si>
  <si>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</si>
  <si>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</si>
  <si>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</si>
  <si>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</si>
  <si>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</si>
  <si>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</si>
  <si>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</si>
  <si>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</si>
  <si>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</si>
  <si>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</si>
  <si>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</si>
  <si>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</si>
  <si>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</si>
  <si>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</si>
  <si>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</si>
  <si>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</si>
  <si>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</si>
  <si>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</si>
  <si>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</si>
  <si>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</si>
  <si>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</si>
  <si>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</si>
  <si>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</si>
  <si>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</si>
  <si>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</si>
  <si>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</si>
  <si>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</si>
  <si>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</si>
  <si>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</si>
  <si>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</si>
  <si>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</si>
  <si>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</si>
  <si>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</si>
  <si>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</si>
  <si>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</si>
  <si>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</si>
  <si>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</si>
  <si>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</si>
  <si>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</si>
  <si>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</si>
  <si>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</si>
  <si>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</si>
  <si>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</si>
  <si>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</si>
  <si>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</si>
  <si>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</si>
  <si>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</si>
  <si>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</si>
  <si>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</si>
  <si>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</si>
  <si>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</si>
  <si>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</si>
  <si>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</si>
  <si>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</si>
  <si>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</si>
  <si>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</si>
  <si>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</si>
  <si>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</si>
  <si>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</si>
  <si>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</si>
  <si>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</si>
  <si>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</si>
  <si>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</si>
  <si>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</si>
  <si>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</si>
  <si>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</si>
  <si>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</si>
  <si>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</si>
  <si>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</si>
  <si>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</si>
  <si>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</si>
  <si>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</si>
  <si>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</si>
  <si>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</si>
  <si>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</si>
  <si>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</si>
  <si>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</si>
  <si>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</si>
  <si>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</si>
  <si>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</si>
  <si>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</si>
  <si>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</si>
  <si>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</si>
  <si>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</si>
  <si>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</si>
  <si>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</si>
  <si>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</si>
  <si>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</si>
  <si>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</si>
  <si>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</si>
  <si>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</si>
  <si>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</si>
  <si>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</si>
  <si>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</si>
  <si>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</si>
  <si>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</si>
  <si>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</si>
  <si>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</si>
  <si>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</si>
  <si>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</si>
  <si>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</si>
  <si>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</si>
  <si>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</si>
  <si>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</si>
  <si>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</si>
  <si>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</si>
  <si>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</si>
  <si>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</si>
  <si>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</si>
  <si>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</si>
  <si>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</si>
  <si>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</si>
  <si>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</si>
  <si>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</si>
  <si>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</si>
  <si>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</si>
  <si>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</si>
  <si>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</si>
  <si>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</si>
  <si>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</si>
  <si>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</si>
  <si>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</si>
  <si>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</si>
  <si>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</si>
  <si>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</si>
  <si>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</si>
  <si>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</si>
  <si>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</si>
  <si>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</si>
  <si>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</si>
  <si>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</si>
  <si>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</si>
  <si>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</si>
  <si>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</si>
  <si>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</si>
  <si>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</si>
  <si>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</si>
  <si>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</si>
  <si>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</si>
  <si>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</si>
  <si>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</si>
  <si>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</si>
  <si>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</si>
  <si>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</si>
  <si>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</si>
  <si>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</si>
  <si>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</si>
  <si>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</si>
  <si>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</si>
  <si>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</si>
  <si>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</si>
  <si>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</si>
  <si>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</si>
  <si>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</si>
  <si>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</si>
  <si>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</si>
  <si>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</si>
  <si>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</si>
  <si>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</si>
  <si>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</si>
  <si>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</si>
  <si>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</si>
  <si>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</si>
  <si>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</si>
  <si>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</si>
  <si>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</si>
  <si>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</si>
  <si>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</si>
  <si>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</si>
  <si>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</si>
  <si>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</si>
  <si>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</si>
  <si>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</si>
  <si>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</si>
  <si>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</si>
  <si>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</si>
  <si>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</si>
  <si>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</si>
  <si>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</si>
  <si>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</si>
  <si>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</si>
  <si>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</si>
  <si>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</si>
  <si>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</si>
  <si>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</si>
  <si>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</si>
  <si>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</si>
  <si>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</si>
  <si>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</si>
  <si>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</si>
  <si>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</si>
  <si>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</si>
  <si>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</si>
  <si>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</si>
  <si>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</si>
  <si>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</si>
  <si>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</si>
  <si>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</si>
  <si>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</si>
  <si>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</si>
  <si>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</si>
  <si>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</si>
  <si>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</si>
  <si>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</si>
  <si>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</si>
  <si>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</si>
  <si>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</si>
  <si>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</si>
  <si>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</si>
  <si>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</si>
  <si>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</si>
  <si>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</si>
  <si>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</si>
  <si>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</si>
  <si>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</si>
  <si>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</si>
  <si>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</si>
  <si>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</si>
  <si>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</si>
  <si>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</si>
  <si>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</si>
  <si>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</si>
  <si>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</si>
  <si>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</si>
  <si>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</si>
  <si>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</si>
  <si>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</si>
  <si>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</si>
  <si>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</si>
  <si>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</si>
  <si>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</si>
  <si>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</si>
  <si>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</si>
  <si>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</si>
  <si>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</si>
  <si>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</si>
  <si>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</si>
  <si>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</si>
  <si>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</si>
  <si>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</si>
  <si>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</si>
  <si>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</si>
  <si>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</si>
  <si>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</si>
  <si>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</si>
  <si>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</si>
  <si>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</si>
  <si>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</si>
  <si>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</si>
  <si>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</si>
  <si>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</si>
  <si>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</si>
  <si>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</si>
  <si>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</si>
  <si>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</si>
  <si>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</si>
  <si>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</si>
  <si>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</si>
  <si>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</si>
  <si>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</si>
  <si>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</si>
  <si>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</si>
  <si>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</si>
  <si>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</si>
  <si>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</si>
  <si>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</si>
  <si>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</si>
  <si>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</si>
  <si>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</si>
  <si>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</si>
  <si>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</si>
  <si>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</si>
  <si>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</si>
  <si>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</si>
  <si>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</si>
  <si>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</si>
  <si>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</si>
  <si>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</si>
  <si>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</si>
  <si>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</si>
  <si>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</si>
  <si>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</si>
  <si>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</si>
  <si>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</si>
  <si>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</si>
  <si>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</si>
  <si>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</si>
  <si>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</si>
  <si>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</si>
  <si>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</si>
  <si>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</si>
  <si>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</si>
  <si>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</si>
  <si>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</si>
  <si>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</si>
  <si>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</si>
  <si>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</si>
  <si>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</si>
  <si>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</si>
  <si>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</si>
  <si>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</si>
  <si>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</si>
  <si>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</si>
  <si>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</si>
  <si>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</si>
  <si>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</si>
  <si>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</si>
  <si>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</si>
  <si>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</si>
  <si>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</si>
  <si>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</si>
  <si>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</si>
  <si>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</si>
  <si>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</si>
  <si>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</si>
  <si>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</si>
  <si>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</si>
  <si>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</si>
  <si>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</si>
  <si>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</si>
  <si>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</si>
  <si>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</si>
  <si>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</si>
  <si>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</si>
  <si>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</si>
  <si>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</si>
  <si>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</si>
  <si>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</si>
  <si>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</si>
  <si>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</si>
  <si>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</si>
  <si>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</si>
  <si>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</si>
  <si>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</si>
  <si>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</si>
  <si>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</si>
  <si>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</si>
  <si>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</si>
  <si>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</si>
  <si>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</si>
  <si>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</si>
  <si>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</si>
  <si>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</si>
  <si>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</si>
  <si>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</si>
  <si>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</si>
  <si>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</si>
  <si>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</si>
  <si>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</si>
  <si>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</si>
  <si>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</si>
  <si>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</si>
  <si>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</si>
  <si>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</si>
  <si>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</si>
  <si>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</si>
  <si>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</si>
  <si>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</si>
  <si>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</si>
  <si>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</si>
  <si>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</si>
  <si>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</si>
  <si>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</si>
  <si>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</si>
  <si>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</si>
  <si>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</si>
  <si>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</si>
  <si>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</si>
  <si>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</si>
  <si>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</si>
  <si>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</si>
  <si>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</si>
  <si>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</si>
  <si>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</si>
  <si>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</si>
  <si>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</si>
  <si>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</si>
  <si>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</si>
  <si>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</si>
  <si>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</si>
  <si>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</si>
  <si>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</si>
  <si>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</si>
  <si>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</si>
  <si>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</si>
  <si>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</si>
  <si>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</si>
  <si>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</si>
  <si>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</si>
  <si>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</si>
  <si>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</si>
  <si>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</si>
  <si>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</si>
  <si>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</si>
  <si>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</si>
  <si>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</si>
  <si>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</si>
  <si>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</si>
  <si>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</si>
  <si>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</si>
  <si>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</si>
  <si>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</si>
  <si>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</si>
  <si>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</si>
  <si>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</si>
  <si>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</si>
  <si>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</si>
  <si>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</si>
  <si>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</si>
  <si>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</si>
  <si>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</si>
  <si>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</si>
  <si>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</si>
  <si>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</si>
  <si>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</si>
  <si>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</si>
  <si>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</si>
  <si>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</si>
  <si>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</si>
  <si>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</si>
  <si>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</si>
  <si>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</si>
  <si>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</si>
  <si>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</si>
  <si>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</si>
  <si>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</si>
  <si>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</si>
  <si>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</si>
  <si>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</si>
  <si>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</si>
  <si>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</si>
  <si>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</si>
  <si>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</si>
  <si>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</si>
  <si>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</si>
  <si>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</si>
  <si>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</si>
  <si>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</si>
  <si>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</si>
  <si>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</si>
  <si>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</si>
  <si>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</si>
  <si>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</si>
  <si>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</si>
  <si>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</si>
  <si>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</si>
  <si>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</si>
  <si>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</si>
  <si>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</si>
  <si>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</si>
  <si>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</si>
  <si>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</si>
  <si>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</si>
  <si>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</si>
  <si>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</si>
  <si>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</si>
  <si>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</si>
  <si>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</si>
  <si>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</si>
  <si>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</si>
  <si>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</si>
  <si>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</si>
  <si>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</si>
  <si>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</si>
  <si>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</si>
  <si>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</si>
  <si>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</si>
  <si>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</si>
  <si>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</si>
  <si>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</si>
  <si>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</si>
  <si>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</si>
  <si>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</si>
  <si>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</si>
  <si>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</si>
  <si>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</si>
  <si>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</si>
  <si>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</si>
  <si>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</si>
  <si>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</si>
  <si>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</si>
  <si>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</si>
  <si>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</si>
  <si>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</si>
  <si>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</si>
  <si>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</si>
  <si>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</si>
  <si>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</si>
  <si>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</si>
  <si>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</si>
  <si>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</si>
  <si>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</si>
  <si>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</si>
  <si>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</si>
  <si>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</si>
  <si>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</si>
  <si>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</si>
  <si>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</si>
  <si>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</si>
  <si>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</si>
  <si>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</si>
  <si>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</si>
  <si>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</si>
  <si>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</si>
  <si>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</si>
  <si>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</si>
  <si>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</si>
  <si>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</si>
  <si>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</si>
  <si>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</si>
  <si>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</si>
  <si>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</si>
  <si>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</si>
  <si>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</si>
  <si>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</si>
  <si>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</si>
  <si>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</si>
  <si>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</si>
  <si>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</si>
  <si>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</si>
  <si>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</si>
  <si>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</si>
  <si>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</si>
  <si>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</si>
  <si>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</si>
  <si>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</si>
  <si>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</si>
  <si>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</si>
  <si>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</si>
  <si>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</si>
  <si>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</si>
  <si>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</si>
  <si>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</si>
  <si>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</si>
  <si>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</si>
  <si>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</si>
  <si>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</si>
  <si>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</si>
  <si>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</si>
  <si>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</si>
  <si>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</si>
  <si>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</si>
  <si>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</si>
  <si>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</si>
  <si>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</si>
  <si>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</si>
  <si>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</si>
  <si>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</si>
  <si>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</si>
  <si>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</si>
  <si>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</si>
  <si>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</si>
  <si>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</si>
  <si>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</si>
  <si>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</si>
  <si>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</si>
  <si>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</si>
  <si>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</si>
  <si>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</si>
  <si>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</si>
  <si>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</si>
  <si>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</si>
  <si>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</si>
  <si>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</si>
  <si>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</si>
  <si>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</si>
  <si>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</si>
  <si>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</si>
  <si>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</si>
  <si>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</si>
  <si>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</si>
  <si>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</si>
  <si>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</si>
  <si>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</si>
  <si>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</si>
  <si>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</si>
  <si>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</si>
  <si>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</si>
  <si>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</si>
  <si>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</si>
  <si>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</si>
  <si>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</si>
  <si>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</si>
  <si>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</si>
  <si>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</si>
  <si>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</si>
  <si>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</si>
  <si>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</si>
  <si>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</si>
  <si>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</si>
  <si>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</si>
  <si>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</si>
  <si>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</si>
  <si>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</si>
  <si>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</si>
  <si>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</si>
  <si>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</si>
  <si>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</si>
  <si>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</si>
  <si>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</si>
  <si>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</si>
  <si>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</si>
  <si>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</si>
  <si>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</si>
  <si>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</si>
  <si>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</si>
  <si>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</si>
  <si>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</si>
  <si>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</si>
  <si>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</si>
  <si>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</si>
  <si>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</si>
  <si>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</si>
  <si>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</si>
  <si>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</si>
  <si>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</si>
  <si>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</si>
  <si>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</si>
  <si>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</si>
  <si>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</si>
  <si>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</si>
  <si>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</si>
  <si>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</si>
  <si>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</si>
  <si>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</si>
  <si>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</si>
  <si>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</si>
  <si>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</si>
  <si>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</si>
  <si>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</si>
  <si>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</si>
  <si>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</si>
  <si>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</si>
  <si>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</si>
  <si>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</si>
  <si>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</si>
  <si>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</si>
  <si>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</si>
  <si>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</si>
  <si>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</si>
  <si>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</si>
  <si>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</si>
  <si>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</si>
  <si>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</si>
  <si>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</si>
  <si>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</si>
  <si>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</si>
  <si>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</si>
  <si>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</si>
  <si>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</si>
  <si>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</si>
  <si>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</si>
  <si>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</si>
  <si>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</si>
  <si>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</si>
  <si>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</si>
  <si>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</si>
  <si>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</si>
  <si>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</si>
  <si>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</si>
  <si>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</si>
  <si>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</si>
  <si>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</si>
  <si>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</si>
  <si>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</si>
  <si>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</si>
  <si>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</si>
  <si>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</si>
  <si>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</si>
  <si>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</si>
  <si>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</si>
  <si>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</si>
  <si>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</si>
  <si>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</si>
  <si>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</si>
  <si>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</si>
  <si>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</si>
  <si>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</si>
  <si>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</si>
  <si>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</si>
  <si>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</si>
  <si>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</si>
  <si>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</si>
  <si>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</si>
  <si>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</si>
  <si>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</si>
  <si>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</si>
  <si>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</si>
  <si>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</si>
  <si>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</si>
  <si>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</si>
  <si>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</si>
  <si>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</si>
  <si>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</si>
  <si>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</si>
  <si>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</si>
  <si>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</si>
  <si>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</si>
  <si>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</si>
  <si>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</si>
  <si>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</si>
  <si>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</si>
  <si>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</si>
  <si>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</si>
  <si>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</si>
  <si>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</si>
  <si>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</si>
  <si>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</si>
  <si>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</si>
  <si>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</si>
  <si>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</si>
  <si>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</si>
  <si>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</si>
  <si>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</si>
  <si>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</si>
  <si>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</si>
  <si>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</si>
  <si>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</si>
  <si>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</si>
  <si>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</si>
  <si>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</si>
  <si>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</si>
  <si>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</si>
  <si>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</si>
  <si>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</si>
  <si>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</si>
  <si>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</si>
  <si>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</si>
  <si>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</si>
  <si>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</si>
  <si>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</si>
  <si>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</si>
  <si>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</si>
  <si>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</si>
  <si>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</si>
  <si>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</si>
  <si>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</si>
  <si>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</si>
  <si>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</si>
  <si>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</si>
  <si>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</si>
  <si>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</si>
  <si>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</si>
  <si>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</si>
  <si>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</si>
  <si>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</si>
  <si>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</si>
  <si>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</si>
  <si>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</si>
  <si>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</si>
  <si>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</si>
  <si>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</si>
  <si>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</si>
  <si>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</si>
  <si>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</si>
  <si>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</si>
  <si>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</si>
  <si>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</si>
  <si>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</si>
  <si>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</si>
  <si>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</si>
  <si>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</si>
  <si>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</si>
  <si>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</si>
  <si>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</si>
  <si>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</si>
  <si>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</si>
  <si>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</si>
  <si>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</si>
  <si>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</si>
  <si>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</si>
  <si>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</si>
  <si>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</si>
  <si>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</si>
  <si>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</si>
  <si>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</si>
  <si>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</si>
  <si>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</si>
  <si>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</si>
  <si>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</si>
  <si>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</si>
  <si>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</si>
  <si>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</si>
  <si>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</si>
  <si>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</si>
  <si>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</si>
  <si>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</si>
  <si>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</si>
  <si>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</si>
  <si>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</si>
  <si>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</si>
  <si>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</si>
  <si>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</si>
  <si>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</si>
  <si>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</si>
  <si>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</si>
  <si>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</si>
  <si>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</si>
  <si>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</si>
  <si>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</si>
  <si>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</si>
  <si>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</si>
  <si>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</si>
  <si>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UPSET! Normal winner is 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</si>
  <si>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</si>
  <si>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</si>
  <si>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</si>
  <si>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</si>
  <si>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</si>
  <si>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</si>
  <si>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</si>
  <si>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</si>
  <si>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</si>
  <si>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</si>
  <si>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</si>
  <si>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</si>
  <si>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</si>
  <si>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</si>
  <si>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</si>
  <si>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</si>
  <si>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</si>
  <si>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</si>
  <si>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</si>
  <si>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</si>
  <si>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</si>
  <si>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</si>
  <si>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</si>
  <si>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UPSET! Normal winner is 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</si>
  <si>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</si>
  <si>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</si>
  <si>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</si>
  <si>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</si>
  <si>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</si>
  <si>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</si>
  <si>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446 - 55 :Ohio State</t>
  </si>
  <si>
    <t>St. John's (NY): 205 - 296 :Kansas</t>
  </si>
  <si>
    <t>South Florida: 215 - 286 :Michigan State</t>
  </si>
  <si>
    <t>UPSET! Normal winner is 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</si>
  <si>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</si>
  <si>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</si>
  <si>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</si>
  <si>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</si>
  <si>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403 - 98 :Villanova</t>
  </si>
  <si>
    <t>Wisconsin: 184 - 317 :Arkansas</t>
  </si>
  <si>
    <t>UPSET! Normal winner is Gonzaga</t>
  </si>
  <si>
    <t>Miami (FL): 235 - 266 :Purdue</t>
  </si>
  <si>
    <t>Michigan: 390 - 111 :Georgia</t>
  </si>
  <si>
    <t>Texas Tech: 345 - 156 :Alabama</t>
  </si>
  <si>
    <t>Miami (OH): 325 - 176 :Virginia</t>
  </si>
  <si>
    <t>Kentucky: 126 - 375 :Iowa State</t>
  </si>
  <si>
    <t>Duke: 303 - 198 :Kansas</t>
  </si>
  <si>
    <t>Michigan State: 271 - 230 :UCF</t>
  </si>
  <si>
    <t>Florida: 394 - 107 :Nebraska</t>
  </si>
  <si>
    <t>Illinois: 238 - 263 :Saint Mary's (CA)</t>
  </si>
  <si>
    <t>Arizona: 405 - 96 :Arkansas</t>
  </si>
  <si>
    <t>Brigham Young: 237 - 264 :Purdue</t>
  </si>
  <si>
    <t>Michigan: 177 - 324 :Texas Tech</t>
  </si>
  <si>
    <t>Miami (OH): 227 - 274 :Iowa State</t>
  </si>
  <si>
    <t>UPSET! Normal winner is Duke</t>
  </si>
  <si>
    <t>Florida: 344 - 157 :Saint Mary's (CA)</t>
  </si>
  <si>
    <t>Arizona: 398 - 103 :Purdue</t>
  </si>
  <si>
    <t>Texas Tech: 365 - 136 :Iowa State</t>
  </si>
  <si>
    <t>Michigan State: 64 - 437 :Florida</t>
  </si>
  <si>
    <t>Arizona: 316 - 185 :Texas Tech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</si>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</sst>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TCU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</v>
      </c>
      <c r="M6" s="82" t="e" vm="68">
        <f>_xlfn.XLOOKUP(I6,Teams!$C:$C,Teams!$E:$E,,0,1)</f>
        <v>#VALUE!</v>
      </c>
      <c r="N6" s="82">
        <v>0.4</v>
      </c>
      <c r="O6" s="189" t="str">
        <f t="shared" si="3"/>
        <v>Ohio State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Saint Louis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Georgia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Ohio State</v>
      </c>
      <c r="C38" s="91" t="str">
        <f t="shared" ref="C38:C53" si="7">IF(O38="","",IF(A38=O38,B38,A38))</f>
        <v>Ohio State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732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0.89</v>
      </c>
      <c r="M38" s="84" t="e" vm="67">
        <f>_xlfn.XLOOKUP(I38,Teams!$C:$C,Teams!$E:$E,,0,1)</f>
        <v>#VALUE!</v>
      </c>
      <c r="N38" s="84">
        <v>0.11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Connecticut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0.61</v>
      </c>
      <c r="M41" s="139" t="e" vm="79">
        <f>_xlfn.XLOOKUP(I41,Teams!$C:$C,Teams!$E:$E,,0,1)</f>
        <v>#VALUE!</v>
      </c>
      <c r="N41" s="139">
        <v>0.39</v>
      </c>
      <c r="O41" s="195" t="str">
        <f t="shared" si="9"/>
        <v>UCF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Gonzaga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0.62</v>
      </c>
      <c r="M48" s="82" t="e" vm="107">
        <f>_xlfn.XLOOKUP(I48,Teams!$C:$C,Teams!$E:$E,,0,1)</f>
        <v>#VALUE!</v>
      </c>
      <c r="N48" s="82">
        <v>0.38</v>
      </c>
      <c r="O48" s="189" t="str">
        <f t="shared" si="9"/>
        <v>Brigham Young</v>
      </c>
      <c r="P48" s="204" t="e" vm="105">
        <f>_xlfn.XLOOKUP(O48,Teams!$C:$C,Teams!$E:$E,,0,1)</f>
        <v>#VALUE!</v>
      </c>
      <c r="Q48" s="223" t="s">
        <v>1173</v>
      </c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Georgia</v>
      </c>
      <c r="C50" s="91" t="str">
        <f t="shared" si="7"/>
        <v>Georgia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136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0.78</v>
      </c>
      <c r="M50" s="145" t="e" vm="115">
        <f>_xlfn.XLOOKUP(I50,Teams!$C:$C,Teams!$E:$E,,0,1)</f>
        <v>#VALUE!</v>
      </c>
      <c r="N50" s="145">
        <v>0.22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UCF</v>
      </c>
      <c r="C56" s="91" t="str">
        <f t="shared" si="12"/>
        <v>UCF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1015</v>
      </c>
      <c r="J56" s="138" cm="1">
        <f t="array" ref="J56">_xlfn.XLOOKUP(I56,Teams[[#All],[Team]],Teams[[#All],[Seed]],0,0,1)</f>
        <v>10</v>
      </c>
      <c r="K56" s="139" t="e" vm="75">
        <f>_xlfn.XLOOKUP(G56,Teams!$C:$C,Teams!$E:$E,,0,1)</f>
        <v>#VALUE!</v>
      </c>
      <c r="L56" s="139">
        <v>0.54</v>
      </c>
      <c r="M56" s="139" t="e" vm="78">
        <f>_xlfn.XLOOKUP(I56,Teams!$C:$C,Teams!$E:$E,,0,1)</f>
        <v>#VALUE!</v>
      </c>
      <c r="N56" s="139">
        <v>0.46</v>
      </c>
      <c r="O56" s="195" t="str">
        <f t="shared" si="14"/>
        <v>Michigan State</v>
      </c>
      <c r="P56" s="210" t="e" vm="75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Brigham Young</v>
      </c>
      <c r="B60" s="152" t="str">
        <f t="shared" si="16"/>
        <v>Purdue</v>
      </c>
      <c r="C60" s="152" t="str">
        <f t="shared" si="12"/>
        <v>Brigham Young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58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5">
        <f>_xlfn.XLOOKUP(G60,Teams!$C:$C,Teams!$E:$E,,0,1)</f>
        <v>#VALUE!</v>
      </c>
      <c r="L60" s="139">
        <v>0.47</v>
      </c>
      <c r="M60" s="139" t="e" vm="111">
        <f>_xlfn.XLOOKUP(I60,Teams!$C:$C,Teams!$E:$E,,0,1)</f>
        <v>#VALUE!</v>
      </c>
      <c r="N60" s="139">
        <v>0.53</v>
      </c>
      <c r="O60" s="195" t="str">
        <f t="shared" si="14"/>
        <v>Purdue</v>
      </c>
      <c r="P60" s="210" t="e" vm="111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Michigan State</v>
      </c>
      <c r="C64" s="91" t="str">
        <f>IF(O64="","",IF(A64=O64,B64,A64))</f>
        <v>Duke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117</v>
      </c>
      <c r="J64" s="157" cm="1">
        <f t="array" ref="J64">_xlfn.XLOOKUP(I64,Teams[[#All],[Team]],Teams[[#All],[Seed]],0,0,1)</f>
        <v>3</v>
      </c>
      <c r="K64" s="158" t="e" vm="65">
        <f>_xlfn.XLOOKUP(G64,Teams!$C:$C,Teams!$E:$E,,0,1)</f>
        <v>#VALUE!</v>
      </c>
      <c r="L64" s="158">
        <v>0.21</v>
      </c>
      <c r="M64" s="158" t="e" vm="75">
        <f>_xlfn.XLOOKUP(I64,Teams!$C:$C,Teams!$E:$E,,0,1)</f>
        <v>#VALUE!</v>
      </c>
      <c r="N64" s="158">
        <v>0.79</v>
      </c>
      <c r="O64" s="198" t="str">
        <f>IF(L64&gt;N64,G64,I64)</f>
        <v>Michigan State</v>
      </c>
      <c r="P64" s="204" t="e" vm="75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Purdue</v>
      </c>
      <c r="C66" s="91" t="str">
        <f>IF(O66="","",IF(A66=O66,B66,A66))</f>
        <v>Purdue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132</v>
      </c>
      <c r="J66" s="157" cm="1">
        <f t="array" ref="J66">_xlfn.XLOOKUP(I66,Teams[[#All],[Team]],Teams[[#All],[Seed]],0,0,1)</f>
        <v>2</v>
      </c>
      <c r="K66" s="158" t="e" vm="97">
        <f>_xlfn.XLOOKUP(G66,Teams!$C:$C,Teams!$E:$E,,0,1)</f>
        <v>#VALUE!</v>
      </c>
      <c r="L66" s="158">
        <v>0.79</v>
      </c>
      <c r="M66" s="158" t="e" vm="111">
        <f>_xlfn.XLOOKUP(I66,Teams!$C:$C,Teams!$E:$E,,0,1)</f>
        <v>#VALUE!</v>
      </c>
      <c r="N66" s="158">
        <v>0.21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Michigan State</v>
      </c>
      <c r="B69" s="91" t="str">
        <f>I69</f>
        <v>Florida</v>
      </c>
      <c r="C69" s="91" t="str">
        <f>IF(O69="","",IF(A69=O69,B69,A69))</f>
        <v>Michigan State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3</v>
      </c>
      <c r="G69" s="167" t="s">
        <v>117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5">
        <f>_xlfn.XLOOKUP(G69,Teams!$C:$C,Teams!$E:$E,,0,1)</f>
        <v>#VALUE!</v>
      </c>
      <c r="L69" s="170">
        <v>0.13</v>
      </c>
      <c r="M69" s="170" t="e" vm="81">
        <f>_xlfn.XLOOKUP(I69,Teams!$C:$C,Teams!$E:$E,,0,1)</f>
        <v>#VALUE!</v>
      </c>
      <c r="N69" s="170">
        <v>0.87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0.6</v>
      </c>
      <c r="F9" s="262" t="str">
        <f>Games!O6</f>
        <v>Ohio State</v>
      </c>
      <c r="G9" s="247" t="e" vm="67">
        <f>_xlfn.XLOOKUP(F9,Teams!$C:$C,Teams!$E:$E,,0,1)</f>
        <v>#VALUE!</v>
      </c>
      <c r="H9" s="277">
        <f>Games!N38</f>
        <v>0.11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0.4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0.21</v>
      </c>
      <c r="O11" s="25"/>
      <c r="P11" s="25"/>
      <c r="R11" s="25"/>
      <c r="S11" s="25"/>
      <c r="T11" s="251" t="e" vm="9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0.79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Michigan State</v>
      </c>
      <c r="P19" s="247" t="e" vm="75">
        <f>_xlfn.XLOOKUP(O19,Teams!$C:$C,Teams!$E:$E,,0,1)</f>
        <v>#VALUE!</v>
      </c>
      <c r="Q19" s="264">
        <f>Games!L69</f>
        <v>0.13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0.62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0.54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0.47</v>
      </c>
      <c r="AF23" s="249" t="e" vm="105">
        <f>_xlfn.XLOOKUP(AG23,Teams!$C:$C,Teams!$E:$E,,0,1)</f>
        <v>#VALUE!</v>
      </c>
      <c r="AG23" s="262" t="str">
        <f>Games!O48</f>
        <v>Brigham Young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0.38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Michigan State</v>
      </c>
      <c r="M27" s="247" t="e" vm="75">
        <f>_xlfn.XLOOKUP(L27,Teams!$C:$C,Teams!$E:$E,,0,1)</f>
        <v>#VALUE!</v>
      </c>
      <c r="N27" s="277">
        <f>Games!N64</f>
        <v>0.79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0.43</v>
      </c>
      <c r="W27" s="24"/>
      <c r="X27" s="25"/>
      <c r="Y27" s="56"/>
      <c r="AA27" s="25"/>
      <c r="AB27" s="269">
        <f>Games!N66</f>
        <v>0.21</v>
      </c>
      <c r="AC27" s="249" t="e" vm="111">
        <f>_xlfn.XLOOKUP(AD27,Teams!$C:$C,Teams!$E:$E,,0,1)</f>
        <v>#VALUE!</v>
      </c>
      <c r="AD27" s="262" t="str">
        <f>Games!O60</f>
        <v>Purdue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0.61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UCF</v>
      </c>
      <c r="J31" s="247" t="e" vm="78">
        <f>_xlfn.XLOOKUP(I31,Teams!$C:$C,Teams!$E:$E,,0,1)</f>
        <v>#VALUE!</v>
      </c>
      <c r="K31" s="277">
        <f>Games!N56</f>
        <v>0.46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0.53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0.39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0.78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0.56999999999999995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0.22</v>
      </c>
      <c r="AI41" s="249" t="e" vm="115">
        <f>_xlfn.XLOOKUP(AJ41,Teams!$C:$C,Teams!$E:$E,,0,1)</f>
        <v>#VALUE!</v>
      </c>
      <c r="AJ41" s="262" t="str">
        <f>Games!O30</f>
        <v>Georgia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0.87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0.65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0.45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0.35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0.55000000000000004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