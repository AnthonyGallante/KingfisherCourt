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CAB1097D-1416-4D56-A21D-9BC39CCE21E3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/>
  <c r="E34" i="6" a="1"/>
  <c r="E34" i="6"/>
  <c r="E35" i="6" a="1"/>
  <c r="E35" i="6"/>
  <c r="E36" i="6" a="1"/>
  <c r="E36" i="6"/>
  <c r="E37" i="6" a="1"/>
  <c r="E37" i="6"/>
  <c r="E38" i="6" a="1"/>
  <c r="E38" i="6"/>
  <c r="E39" i="6" a="1"/>
  <c r="E39" i="6"/>
  <c r="E40" i="6" a="1"/>
  <c r="E40" i="6"/>
  <c r="E41" i="6" a="1"/>
  <c r="E41" i="6"/>
  <c r="E42" i="6" a="1"/>
  <c r="E42" i="6"/>
  <c r="E43" i="6" a="1"/>
  <c r="E43" i="6"/>
  <c r="E44" i="6" a="1"/>
  <c r="E44" i="6"/>
  <c r="E45" i="6" a="1"/>
  <c r="E45" i="6"/>
  <c r="E46" i="6" a="1"/>
  <c r="E46" i="6"/>
  <c r="E47" i="6" a="1"/>
  <c r="E47" i="6"/>
  <c r="E48" i="6" a="1"/>
  <c r="E48" i="6"/>
  <c r="E49" i="6" a="1"/>
  <c r="E49" i="6"/>
  <c r="E50" i="6" a="1"/>
  <c r="E50" i="6"/>
  <c r="E51" i="6" a="1"/>
  <c r="E51" i="6"/>
  <c r="E52" i="6" a="1"/>
  <c r="E52" i="6"/>
  <c r="E53" i="6" a="1"/>
  <c r="E53" i="6"/>
  <c r="E54" i="6" a="1"/>
  <c r="E54" i="6"/>
  <c r="E55" i="6" a="1"/>
  <c r="E55" i="6"/>
  <c r="E56" i="6" a="1"/>
  <c r="E56" i="6"/>
  <c r="E57" i="6" a="1"/>
  <c r="E57" i="6"/>
  <c r="E58" i="6" a="1"/>
  <c r="E58" i="6"/>
  <c r="E59" i="6" a="1"/>
  <c r="E59" i="6"/>
  <c r="E60" i="6" a="1"/>
  <c r="E60" i="6"/>
  <c r="E61" i="6" a="1"/>
  <c r="E61" i="6"/>
  <c r="E62" i="6" a="1"/>
  <c r="E62" i="6"/>
  <c r="E63" i="6" a="1"/>
  <c r="E63" i="6" s="1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/>
  <c r="E114" i="6" a="1"/>
  <c r="E114" i="6"/>
  <c r="E115" i="6" a="1"/>
  <c r="E115" i="6"/>
  <c r="E116" i="6" a="1"/>
  <c r="E116" i="6" s="1"/>
  <c r="E117" i="6" a="1"/>
  <c r="E117" i="6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/>
  <c r="E134" i="6" a="1"/>
  <c r="E134" i="6"/>
  <c r="E135" i="6" a="1"/>
  <c r="E135" i="6"/>
  <c r="E136" i="6" a="1"/>
  <c r="E136" i="6"/>
  <c r="E137" i="6" a="1"/>
  <c r="E137" i="6"/>
  <c r="E138" i="6" a="1"/>
  <c r="E138" i="6"/>
  <c r="E139" i="6" a="1"/>
  <c r="E139" i="6"/>
  <c r="E140" i="6" a="1"/>
  <c r="E140" i="6"/>
  <c r="E141" i="6" a="1"/>
  <c r="E141" i="6"/>
  <c r="E142" i="6" a="1"/>
  <c r="E142" i="6"/>
  <c r="E143" i="6" a="1"/>
  <c r="E143" i="6"/>
  <c r="E144" i="6" a="1"/>
  <c r="E144" i="6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/>
  <c r="E156" i="6" a="1"/>
  <c r="E156" i="6"/>
  <c r="E157" i="6" a="1"/>
  <c r="E157" i="6"/>
  <c r="E158" i="6" a="1"/>
  <c r="E158" i="6"/>
  <c r="E159" i="6" a="1"/>
  <c r="E159" i="6"/>
  <c r="E160" i="6" a="1"/>
  <c r="E160" i="6"/>
  <c r="E161" i="6" a="1"/>
  <c r="E161" i="6"/>
  <c r="E162" i="6" a="1"/>
  <c r="E162" i="6"/>
  <c r="E163" i="6" a="1"/>
  <c r="E163" i="6"/>
  <c r="E164" i="6" a="1"/>
  <c r="E164" i="6"/>
  <c r="E165" i="6" a="1"/>
  <c r="E165" i="6"/>
  <c r="E166" i="6" a="1"/>
  <c r="E166" i="6"/>
  <c r="E167" i="6" a="1"/>
  <c r="E167" i="6"/>
  <c r="E168" i="6" a="1"/>
  <c r="E168" i="6"/>
  <c r="E169" i="6" a="1"/>
  <c r="E169" i="6"/>
  <c r="E170" i="6" a="1"/>
  <c r="E170" i="6"/>
  <c r="E171" i="6" a="1"/>
  <c r="E171" i="6"/>
  <c r="E172" i="6" a="1"/>
  <c r="E172" i="6"/>
  <c r="E173" i="6" a="1"/>
  <c r="E173" i="6"/>
  <c r="E174" i="6" a="1"/>
  <c r="E174" i="6"/>
  <c r="E175" i="6" a="1"/>
  <c r="E175" i="6"/>
  <c r="E176" i="6" a="1"/>
  <c r="E176" i="6"/>
  <c r="E177" i="6" a="1"/>
  <c r="E177" i="6"/>
  <c r="E178" i="6" a="1"/>
  <c r="E178" i="6"/>
  <c r="E179" i="6" a="1"/>
  <c r="E179" i="6"/>
  <c r="E180" i="6" a="1"/>
  <c r="E180" i="6"/>
  <c r="E181" i="6" a="1"/>
  <c r="E181" i="6"/>
  <c r="E182" i="6" a="1"/>
  <c r="E182" i="6"/>
  <c r="E183" i="6" a="1"/>
  <c r="E183" i="6"/>
  <c r="E184" i="6" a="1"/>
  <c r="E184" i="6"/>
  <c r="E185" i="6" a="1"/>
  <c r="E185" i="6"/>
  <c r="E186" i="6" a="1"/>
  <c r="E186" i="6" s="1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/>
  <c r="E333" i="6" a="1"/>
  <c r="E333" i="6"/>
  <c r="E334" i="6" a="1"/>
  <c r="E334" i="6"/>
  <c r="E335" i="6" a="1"/>
  <c r="E335" i="6"/>
  <c r="E336" i="6" a="1"/>
  <c r="E336" i="6"/>
  <c r="E337" i="6" a="1"/>
  <c r="E337" i="6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/>
  <c r="E364" i="6" a="1"/>
  <c r="E364" i="6"/>
  <c r="E365" i="6" a="1"/>
  <c r="E365" i="6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<sst xmlns="http://schemas.openxmlformats.org/spreadsheetml/2006/main" count="1470" uniqueCount="1132">
  <si>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</si>
  <si>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</si>
  <si>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</si>
  <si>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</si>
  <si>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</si>
  <si>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</si>
  <si>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</si>
  <si>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</si>
  <si>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</si>
  <si>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</si>
  <si>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</si>
  <si>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</si>
  <si>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</si>
  <si>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</si>
  <si>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</si>
  <si>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</si>
  <si>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</si>
  <si>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</si>
  <si>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</si>
  <si>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</si>
  <si>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</si>
  <si>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</si>
  <si>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</si>
  <si>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</si>
  <si>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</si>
  <si>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</si>
  <si>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</si>
  <si>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</si>
  <si>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</si>
  <si>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</si>
  <si>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</si>
  <si>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</si>
  <si>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</si>
  <si>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</si>
  <si>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</si>
  <si>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</si>
  <si>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</si>
  <si>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</si>
  <si>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</si>
  <si>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</si>
  <si>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</si>
  <si>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</si>
  <si>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</si>
  <si>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</si>
  <si>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</si>
  <si>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</si>
  <si>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</si>
  <si>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</si>
  <si>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</si>
  <si>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</si>
  <si>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</si>
  <si>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</si>
  <si>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</si>
  <si>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</si>
  <si>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</si>
  <si>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</si>
  <si>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</si>
  <si>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</si>
  <si>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</si>
  <si>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</si>
  <si>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</si>
  <si>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</si>
  <si>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</si>
  <si>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</si>
  <si>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</si>
  <si>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</si>
  <si>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</si>
  <si>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</si>
  <si>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</si>
  <si>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</si>
  <si>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</si>
  <si>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</si>
  <si>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</si>
  <si>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</si>
  <si>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</si>
  <si>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</si>
  <si>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</si>
  <si>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</si>
  <si>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</si>
  <si>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</si>
  <si>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</si>
  <si>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</si>
  <si>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</si>
  <si>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</si>
  <si>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</si>
  <si>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</si>
  <si>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</si>
  <si>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</si>
  <si>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</si>
  <si>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</si>
  <si>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</si>
  <si>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</si>
  <si>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</si>
  <si>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</si>
  <si>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</si>
  <si>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</si>
  <si>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</si>
  <si>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</si>
  <si>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</si>
  <si>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</si>
  <si>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</si>
  <si>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</si>
  <si>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</si>
  <si>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</si>
  <si>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</si>
  <si>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</si>
  <si>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</si>
  <si>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</si>
  <si>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</si>
  <si>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</si>
  <si>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</si>
  <si>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</si>
  <si>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</si>
  <si>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</si>
  <si>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</si>
  <si>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</si>
  <si>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</si>
  <si>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</si>
  <si>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</si>
  <si>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</si>
  <si>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</si>
  <si>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</si>
  <si>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</si>
  <si>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</si>
  <si>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</si>
  <si>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</si>
  <si>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</si>
  <si>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</si>
  <si>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</si>
  <si>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</si>
  <si>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</si>
  <si>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</si>
  <si>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</si>
  <si>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</si>
  <si>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</si>
  <si>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</si>
  <si>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</si>
  <si>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</si>
  <si>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</si>
  <si>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</si>
  <si>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</si>
  <si>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</si>
  <si>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</si>
  <si>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</si>
  <si>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</si>
  <si>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</si>
  <si>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</si>
  <si>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</si>
  <si>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</si>
  <si>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</si>
  <si>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</si>
  <si>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</si>
  <si>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</si>
  <si>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</si>
  <si>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</si>
  <si>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</si>
  <si>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</si>
  <si>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</si>
  <si>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</si>
  <si>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</si>
  <si>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</si>
  <si>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</si>
  <si>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</si>
  <si>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</si>
  <si>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</si>
  <si>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</si>
  <si>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</si>
  <si>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</si>
  <si>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</si>
  <si>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</si>
  <si>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</si>
  <si>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</si>
  <si>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</si>
  <si>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</si>
  <si>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</si>
  <si>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</si>
  <si>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</si>
  <si>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</si>
  <si>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</si>
  <si>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</si>
  <si>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</si>
  <si>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</si>
  <si>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</si>
  <si>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</si>
  <si>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</si>
  <si>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</si>
  <si>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</si>
  <si>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</si>
  <si>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</si>
  <si>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</si>
  <si>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</si>
  <si>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</si>
  <si>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</si>
  <si>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</si>
  <si>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</si>
  <si>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</si>
  <si>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</si>
  <si>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</si>
  <si>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</si>
  <si>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</si>
  <si>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</si>
  <si>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</si>
  <si>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</si>
  <si>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</si>
  <si>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</si>
  <si>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</si>
  <si>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</si>
  <si>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</si>
  <si>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</si>
  <si>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</si>
  <si>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</si>
  <si>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</si>
  <si>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</si>
  <si>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</si>
  <si>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</si>
  <si>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</si>
  <si>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</si>
  <si>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</si>
  <si>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</si>
  <si>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</si>
  <si>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</si>
  <si>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</si>
  <si>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</si>
  <si>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</si>
  <si>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</si>
  <si>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</si>
  <si>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</si>
  <si>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</si>
  <si>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</si>
  <si>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</si>
  <si>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</si>
  <si>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</si>
  <si>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</si>
  <si>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</si>
  <si>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</si>
  <si>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</si>
  <si>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</si>
  <si>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</si>
  <si>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</si>
  <si>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</si>
  <si>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</si>
  <si>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</si>
  <si>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</si>
  <si>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</si>
  <si>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</si>
  <si>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</si>
  <si>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</si>
  <si>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</si>
  <si>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</si>
  <si>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</si>
  <si>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</si>
  <si>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</si>
  <si>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</si>
  <si>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</si>
  <si>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</si>
  <si>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</si>
  <si>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</si>
  <si>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</si>
  <si>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</si>
  <si>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</si>
  <si>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</si>
  <si>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</si>
  <si>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</si>
  <si>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</si>
  <si>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</si>
  <si>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</si>
  <si>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</si>
  <si>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</si>
  <si>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</si>
  <si>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</si>
  <si>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</si>
  <si>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</si>
  <si>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</si>
  <si>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</si>
  <si>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</si>
  <si>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</si>
  <si>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</si>
  <si>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</si>
  <si>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</si>
  <si>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</si>
  <si>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</si>
  <si>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</si>
  <si>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</si>
  <si>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</si>
  <si>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</si>
  <si>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</si>
  <si>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</si>
  <si>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</si>
  <si>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</si>
  <si>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</si>
  <si>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</si>
  <si>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</si>
  <si>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</si>
  <si>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</si>
  <si>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</si>
  <si>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</si>
  <si>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</si>
  <si>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</si>
  <si>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</si>
  <si>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</si>
  <si>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</si>
  <si>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</si>
  <si>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</si>
  <si>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</si>
  <si>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</si>
  <si>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</si>
  <si>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</si>
  <si>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</si>
  <si>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</si>
  <si>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</si>
  <si>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</si>
  <si>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</si>
  <si>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</si>
  <si>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</si>
  <si>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</si>
  <si>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</si>
  <si>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</si>
  <si>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</si>
  <si>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</si>
  <si>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</si>
  <si>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</si>
  <si>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</si>
  <si>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</si>
  <si>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</si>
  <si>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</si>
  <si>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</si>
  <si>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</si>
  <si>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</si>
  <si>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</si>
  <si>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</si>
  <si>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</si>
  <si>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</si>
  <si>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</si>
  <si>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</si>
  <si>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</si>
  <si>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</si>
  <si>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</si>
  <si>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</si>
  <si>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</si>
  <si>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</si>
  <si>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</si>
  <si>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</si>
  <si>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</si>
  <si>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</si>
  <si>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</si>
  <si>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</si>
  <si>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</si>
  <si>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</si>
  <si>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</si>
  <si>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</si>
  <si>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</si>
  <si>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</si>
  <si>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</si>
  <si>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</si>
  <si>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</si>
  <si>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</si>
  <si>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</si>
  <si>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</si>
  <si>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</si>
  <si>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</si>
  <si>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</si>
  <si>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</si>
  <si>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</si>
  <si>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</si>
  <si>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</si>
  <si>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</si>
  <si>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</si>
  <si>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</si>
  <si>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</si>
  <si>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</si>
  <si>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</si>
  <si>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</si>
  <si>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</si>
  <si>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</si>
  <si>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</si>
  <si>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</si>
  <si>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</si>
  <si>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</si>
  <si>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</si>
  <si>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</si>
  <si>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</si>
  <si>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</si>
  <si>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</si>
  <si>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</si>
  <si>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</si>
  <si>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</si>
  <si>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</si>
  <si>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</si>
  <si>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</si>
  <si>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</si>
  <si>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</si>
  <si>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</si>
  <si>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</si>
  <si>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</si>
  <si>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</si>
  <si>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</si>
  <si>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</si>
  <si>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</si>
  <si>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</si>
  <si>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</si>
  <si>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</si>
  <si>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</si>
  <si>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</si>
  <si>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</si>
  <si>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</si>
  <si>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</si>
  <si>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</si>
  <si>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</si>
  <si>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</si>
  <si>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</si>
  <si>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</si>
  <si>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</si>
  <si>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</si>
  <si>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</si>
  <si>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</si>
  <si>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</si>
  <si>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</si>
  <si>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</si>
  <si>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</si>
  <si>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</si>
  <si>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</si>
  <si>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</si>
  <si>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</si>
  <si>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</si>
  <si>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</si>
  <si>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</si>
  <si>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</si>
  <si>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</si>
  <si>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</si>
  <si>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</si>
  <si>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</si>
  <si>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</si>
  <si>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</si>
  <si>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</si>
  <si>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</si>
  <si>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</si>
  <si>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</si>
  <si>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</si>
  <si>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</si>
  <si>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</si>
  <si>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</si>
  <si>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</si>
  <si>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</si>
  <si>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</si>
  <si>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</si>
  <si>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</si>
  <si>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</si>
  <si>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</si>
  <si>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</si>
  <si>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</si>
  <si>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</si>
  <si>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</si>
  <si>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</si>
  <si>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</si>
  <si>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</si>
  <si>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</si>
  <si>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</si>
  <si>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</si>
  <si>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</si>
  <si>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</si>
  <si>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</si>
  <si>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</si>
  <si>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</si>
  <si>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</si>
  <si>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</si>
  <si>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</si>
  <si>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</si>
  <si>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</si>
  <si>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</si>
  <si>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</si>
  <si>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</si>
  <si>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</si>
  <si>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</si>
  <si>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</si>
  <si>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</si>
  <si>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</si>
  <si>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</si>
  <si>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</si>
  <si>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</si>
  <si>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</si>
  <si>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</si>
  <si>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</si>
  <si>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</si>
  <si>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</si>
  <si>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</si>
  <si>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</si>
  <si>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</si>
  <si>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</si>
  <si>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</si>
  <si>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</si>
  <si>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</si>
  <si>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</si>
  <si>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</si>
  <si>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</si>
  <si>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</si>
  <si>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</si>
  <si>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</si>
  <si>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</si>
  <si>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</si>
  <si>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</si>
  <si>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</si>
  <si>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</si>
  <si>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</si>
  <si>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</si>
  <si>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</si>
  <si>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</si>
  <si>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</si>
  <si>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</si>
  <si>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</si>
  <si>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</si>
  <si>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</si>
  <si>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</si>
  <si>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</si>
  <si>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</si>
  <si>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</si>
  <si>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</si>
  <si>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</si>
  <si>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</si>
  <si>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</si>
  <si>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</si>
  <si>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</si>
  <si>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</si>
  <si>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</si>
  <si>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</si>
  <si>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</si>
  <si>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</si>
  <si>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</si>
  <si>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</si>
  <si>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</si>
  <si>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</si>
  <si>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</si>
  <si>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</si>
  <si>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</si>
  <si>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</si>
  <si>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</si>
  <si>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</si>
  <si>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</si>
  <si>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</si>
  <si>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</si>
  <si>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</si>
  <si>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</si>
  <si>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</si>
  <si>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</si>
  <si>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</si>
  <si>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</si>
  <si>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</si>
  <si>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</si>
  <si>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</si>
  <si>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</si>
  <si>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</si>
  <si>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</si>
  <si>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</si>
  <si>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</si>
  <si>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</si>
  <si>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</si>
  <si>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</si>
  <si>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</si>
  <si>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</si>
  <si>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</si>
  <si>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</si>
  <si>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</si>
  <si>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</si>
  <si>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</si>
  <si>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</si>
  <si>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</si>
  <si>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</si>
  <si>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</si>
  <si>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</si>
  <si>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</si>
  <si>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</si>
  <si>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</si>
  <si>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</si>
  <si>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</si>
  <si>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</si>
  <si>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</si>
  <si>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</si>
  <si>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</si>
  <si>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</si>
  <si>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</si>
  <si>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</si>
  <si>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</si>
  <si>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</si>
  <si>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</si>
  <si>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</si>
  <si>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</si>
  <si>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</si>
  <si>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</si>
  <si>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</si>
  <si>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</si>
  <si>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</si>
  <si>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</si>
  <si>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</si>
  <si>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</si>
  <si>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</si>
  <si>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</si>
  <si>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</si>
  <si>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</si>
  <si>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</si>
  <si>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</si>
  <si>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</si>
  <si>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</si>
  <si>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</si>
  <si>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</si>
  <si>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</si>
  <si>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</si>
  <si>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</si>
  <si>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</si>
  <si>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</si>
  <si>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</si>
  <si>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</si>
  <si>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</si>
  <si>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</si>
  <si>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</si>
  <si>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</si>
  <si>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</si>
  <si>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</si>
  <si>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</si>
  <si>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</si>
  <si>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</si>
  <si>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</si>
  <si>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</si>
  <si>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</si>
  <si>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</si>
  <si>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</si>
  <si>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</si>
  <si>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</si>
  <si>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</si>
  <si>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</si>
  <si>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</si>
  <si>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</si>
  <si>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</si>
  <si>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</si>
  <si>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</si>
  <si>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</si>
  <si>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</si>
  <si>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</si>
  <si>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</si>
  <si>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</si>
  <si>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</si>
  <si>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</si>
  <si>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</si>
  <si>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</si>
  <si>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</si>
  <si>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</si>
  <si>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</si>
  <si>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</si>
  <si>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</si>
  <si>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</si>
  <si>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</si>
  <si>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</si>
  <si>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</si>
  <si>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</si>
  <si>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</si>
  <si>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</si>
  <si>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</si>
  <si>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</si>
  <si>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</si>
  <si>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</si>
  <si>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</si>
  <si>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</si>
  <si>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</si>
  <si>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</si>
  <si>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</si>
  <si>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</si>
  <si>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</si>
  <si>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</si>
  <si>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</si>
  <si>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</si>
  <si>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</si>
  <si>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</si>
  <si>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</si>
  <si>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</si>
  <si>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</si>
  <si>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</si>
  <si>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</si>
  <si>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</si>
  <si>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</si>
  <si>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</si>
  <si>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</si>
  <si>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</si>
  <si>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</si>
  <si>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</si>
  <si>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</si>
  <si>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</si>
  <si>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</si>
  <si>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</si>
  <si>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</si>
  <si>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</si>
  <si>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</si>
  <si>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</si>
  <si>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</si>
  <si>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</si>
  <si>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</si>
  <si>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</si>
  <si>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</si>
  <si>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</si>
  <si>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</si>
  <si>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</si>
  <si>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</si>
  <si>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</si>
  <si>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</si>
  <si>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</si>
  <si>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</si>
  <si>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</si>
  <si>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</si>
  <si>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</si>
  <si>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</si>
  <si>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</si>
  <si>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</si>
  <si>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</si>
  <si>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</si>
  <si>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</si>
  <si>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</si>
  <si>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</si>
  <si>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</si>
  <si>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</si>
  <si>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</si>
  <si>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</si>
  <si>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</si>
  <si>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</si>
  <si>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</si>
  <si>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</si>
  <si>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</si>
  <si>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</si>
  <si>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</si>
  <si>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</si>
  <si>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</si>
  <si>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</si>
  <si>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</si>
  <si>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</si>
  <si>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</si>
  <si>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</si>
  <si>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</si>
  <si>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</si>
  <si>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</si>
  <si>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</si>
  <si>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</si>
  <si>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</si>
  <si>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</si>
  <si>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</si>
  <si>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</si>
  <si>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</si>
  <si>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</si>
  <si>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</si>
  <si>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</si>
  <si>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</si>
  <si>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</si>
  <si>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</si>
  <si>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</si>
  <si>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</si>
  <si>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</si>
  <si>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</si>
  <si>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</si>
  <si>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</si>
  <si>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</si>
  <si>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</si>
  <si>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</si>
  <si>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</si>
  <si>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</si>
  <si>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</si>
  <si>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</si>
  <si>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</si>
  <si>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</si>
  <si>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</si>
  <si>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</si>
  <si>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</si>
  <si>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</si>
  <si>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</si>
  <si>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</si>
  <si>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</si>
  <si>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</si>
  <si>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</si>
  <si>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</si>
  <si>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</si>
  <si>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</si>
  <si>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</si>
  <si>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</si>
  <si>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</si>
  <si>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</si>
  <si>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</si>
  <si>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</si>
  <si>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</si>
  <si>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</si>
  <si>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</si>
  <si>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</si>
  <si>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</si>
  <si>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</si>
  <si>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</si>
  <si>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</si>
  <si>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</si>
  <si>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</si>
  <si>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</si>
  <si>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</si>
  <si>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</si>
  <si>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</si>
  <si>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</si>
  <si>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</si>
  <si>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</si>
  <si>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</si>
  <si>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</si>
  <si>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</si>
  <si>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</si>
  <si>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</si>
  <si>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</si>
  <si>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</si>
  <si>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</si>
  <si>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</si>
  <si>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</si>
  <si>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</si>
  <si>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</si>
  <si>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</si>
  <si>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</si>
  <si>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</si>
  <si>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</si>
  <si>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</si>
  <si>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</si>
  <si>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</si>
  <si>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</si>
  <si>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</si>
  <si>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</si>
  <si>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</si>
  <si>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</si>
  <si>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</si>
  <si>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</si>
  <si>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</si>
  <si>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</si>
  <si>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</si>
  <si>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</si>
  <si>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</si>
  <si>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</si>
  <si>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</si>
  <si>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</si>
  <si>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</si>
  <si>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</si>
  <si>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</si>
  <si>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</si>
  <si>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</si>
  <si>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</si>
  <si>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</si>
  <si>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</si>
  <si>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</si>
  <si>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</si>
  <si>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</si>
  <si>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</si>
  <si>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</si>
  <si>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</si>
  <si>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</si>
  <si>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</si>
  <si>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</si>
  <si>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</si>
  <si>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</si>
  <si>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</si>
  <si>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</si>
  <si>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</si>
  <si>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</si>
  <si>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</si>
  <si>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</si>
  <si>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</si>
  <si>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</si>
  <si>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</si>
  <si>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</si>
  <si>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</si>
  <si>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</si>
  <si>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</si>
  <si>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</si>
  <si>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</si>
  <si>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</si>
  <si>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</si>
  <si>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</si>
  <si>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</si>
  <si>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</si>
  <si>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</si>
  <si>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</si>
  <si>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</si>
  <si>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</si>
  <si>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</si>
  <si>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</si>
  <si>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</si>
  <si>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</si>
  <si>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</si>
  <si>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</si>
  <si>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</si>
  <si>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</si>
  <si>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</si>
  <si>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</si>
  <si>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</si>
  <si>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</si>
  <si>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</si>
  <si>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</si>
  <si>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</si>
  <si>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</si>
  <si>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</si>
  <si>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</si>
  <si>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</si>
  <si>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</si>
  <si>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</si>
  <si>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</si>
  <si>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</si>
  <si>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</si>
  <si>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</si>
  <si>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</si>
  <si>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</si>
  <si>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</si>
  <si>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</si>
  <si>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</si>
  <si>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</si>
  <si>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</si>
  <si>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</si>
  <si>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</si>
  <si>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</si>
  <si>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</si>
  <si>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</si>
  <si>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</si>
  <si>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</si>
  <si>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</si>
  <si>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</si>
  <si>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</si>
  <si>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</si>
  <si>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</si>
  <si>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</si>
  <si>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</si>
  <si>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</si>
  <si>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</si>
  <si>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</si>
  <si>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</si>
  <si>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</si>
  <si>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</si>
  <si>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</si>
  <si>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</si>
  <si>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</si>
  <si>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</si>
  <si>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</si>
  <si>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</si>
  <si>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</si>
  <si>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</si>
  <si>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</si>
  <si>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</si>
  <si>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</si>
  <si>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</si>
  <si>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</si>
  <si>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</si>
  <si>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</si>
  <si>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</si>
  <si>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</si>
  <si>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</si>
  <si>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</si>
  <si>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</si>
  <si>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</si>
  <si>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</si>
  <si>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</si>
  <si>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</si>
  <si>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</si>
  <si>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</si>
  <si>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</si>
  <si>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</si>
  <si>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</si>
  <si>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</si>
  <si>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</si>
  <si>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</si>
  <si>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</si>
  <si>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</si>
  <si>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</si>
  <si>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</si>
  <si>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</si>
  <si>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</si>
  <si>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</si>
  <si>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</si>
  <si>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</si>
  <si>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</si>
  <si>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</si>
  <si>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</si>
  <si>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</si>
  <si>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</si>
  <si>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</si>
  <si>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</si>
  <si>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</si>
  <si>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</si>
  <si>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</si>
  <si>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</si>
  <si>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</si>
  <si>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</si>
  <si>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</si>
  <si>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</si>
  <si>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</si>
  <si>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</si>
  <si>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</si>
  <si>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</si>
  <si>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</si>
  <si>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</si>
  <si>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</si>
  <si>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</si>
  <si>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</si>
  <si>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</si>
  <si>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</si>
  <si>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</si>
  <si>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</si>
  <si>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</si>
  <si>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</si>
  <si>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</si>
  <si>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</si>
  <si>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</si>
  <si>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</si>
  <si>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</si>
  <si>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</si>
  <si>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</si>
  <si>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</si>
  <si>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</si>
  <si>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</si>
  <si>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</si>
  <si>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</si>
  <si>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</si>
  <si>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</si>
  <si>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</si>
  <si>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</si>
  <si>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</si>
  <si>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</si>
  <si>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</si>
  <si>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</si>
  <si>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</si>
  <si>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</si>
  <si>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</si>
  <si>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</si>
  <si>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</si>
  <si>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</si>
  <si>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</si>
  <si>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</si>
  <si>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</si>
  <si>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</si>
  <si>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</si>
  <si>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</si>
  <si>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</si>
  <si>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</si>
  <si>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</si>
  <si>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</si>
  <si>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</si>
  <si>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</si>
  <si>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</si>
  <si>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</si>
  <si>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</si>
  <si>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</si>
  <si>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</si>
  <si>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</si>
  <si>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</si>
  <si>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</si>
  <si>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</si>
  <si>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</si>
  <si>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</si>
  <si>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</si>
  <si>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</si>
  <si>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</si>
  <si>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</si>
  <si>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</si>
  <si>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</si>
  <si>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</si>
  <si>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</si>
  <si>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</si>
  <si>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</si>
  <si>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</si>
  <si>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</si>
  <si>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</si>
  <si>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</si>
  <si>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</si>
  <si>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</si>
  <si>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</si>
  <si>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</si>
  <si>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</si>
  <si>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</si>
  <si>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</si>
  <si>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</si>
  <si>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</si>
  <si>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</si>
  <si>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</si>
  <si>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</si>
  <si>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</si>
  <si>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</si>
  <si>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</si>
  <si>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</si>
  <si>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</si>
  <si>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</si>
  <si>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</si>
  <si>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</si>
  <si>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</si>
  <si>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</si>
  <si>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</si>
  <si>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</si>
  <si>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</si>
  <si>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</si>
  <si>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</si>
  <si>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</si>
  <si>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</si>
  <si>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</si>
  <si>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</si>
  <si>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</si>
  <si>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</si>
  <si>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</si>
  <si>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</si>
  <si>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</si>
  <si>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</si>
  <si>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</si>
  <si>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</si>
  <si>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</si>
  <si>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</si>
  <si>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</si>
  <si>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</si>
  <si>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</si>
  <si>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</si>
  <si>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</si>
  <si>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</si>
  <si>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</si>
  <si>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</si>
  <si>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</si>
  <si>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</si>
  <si>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</si>
  <si>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</si>
  <si>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</si>
  <si>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</si>
  <si>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</si>
  <si>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</si>
  <si>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</si>
  <si>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</si>
  <si>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</si>
  <si>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</si>
  <si>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</si>
  <si>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</si>
  <si>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</si>
  <si>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</si>
  <si>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</si>
  <si>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</si>
  <si>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</si>
  <si>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</si>
  <si>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</si>
  <si>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UPSET!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</si>
</sst>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florida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9"/>
    <tableColumn id="3" xr3:uid="{714CBA45-7DDA-43B9-86A4-4C5947403F44}" uniqueName="3" name="Link" queryTableFieldId="3" dataDxfId="8"/>
    <tableColumn id="4" xr3:uid="{51A37069-17DD-4524-B091-9E772D95E297}" uniqueName="4" name="GameLogs" queryTableFieldId="4" dataDxfId="7"/>
    <tableColumn id="6" xr3:uid="{16FD7BE5-C80E-4178-848D-B547195018E8}" uniqueName="6" name="PartialLink" queryTableFieldId="6" dataDxfId="6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5" tableBorderDxfId="4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3" dataCellStyle="Normal"/>
    <tableColumn id="3" xr3:uid="{4CDAB027-D970-460D-AAC2-EB0B9485FD8C}" name="Region" dataDxfId="2" dataCellStyle="Normal"/>
    <tableColumn id="2" xr3:uid="{E218ED8F-68F8-429A-9939-575EF5D8461D}" name="Team" dataCellStyle="Normal"/>
    <tableColumn id="5" xr3:uid="{5B5B6B66-69E6-43F4-9B60-841171B24FC7}" name="Hyperlink Name" dataDxfId="1">
      <calculatedColumnFormula>_xlfn.XLOOKUP(Teams[[#This Row],[Team]],Team_Links[School],Team_Links[PartialLink],,0,1)</calculatedColumnFormula>
    </tableColumn>
    <tableColumn id="4" xr3:uid="{5DE08296-6B22-41D3-9B0D-54A014588C20}" name="Logo" dataDxfId="0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2" activePane="bottomLeft" state="frozen"/>
      <selection pane="bottomLeft" activeCell="G20" sqref="G20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105</v>
      </c>
      <c r="D28" t="str">
        <f>_xlfn.XLOOKUP(Teams[[#This Row],[Team]],Team_Links[School],Team_Links[PartialLink],,0,1)</f>
        <v>florida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0.02</v>
      </c>
      <c r="M5" s="84" t="e" vm="66">
        <f>_xlfn.XLOOKUP(I5,Teams!$C:$C,Teams!$E:$E,,0,1)</f>
        <v>#VALUE!</v>
      </c>
      <c r="N5" s="84">
        <v>0.98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/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0.69</v>
      </c>
      <c r="M6" s="82" t="e" vm="68">
        <f>_xlfn.XLOOKUP(I6,Teams!$C:$C,Teams!$E:$E,,0,1)</f>
        <v>#VALUE!</v>
      </c>
      <c r="N6" s="82">
        <v>0.31</v>
      </c>
      <c r="O6" s="189" t="str">
        <f t="shared" si="3"/>
        <v>Butler</v>
      </c>
      <c r="P6" s="204" t="e" vm="67">
        <f>_xlfn.XLOOKUP(O6,Teams!$C:$C,Teams!$E:$E,,0,1)</f>
        <v>#VALUE!</v>
      </c>
      <c r="Q6" s="223"/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0.25</v>
      </c>
      <c r="M7" s="82" t="e" vm="70">
        <f>_xlfn.XLOOKUP(I7,Teams!$C:$C,Teams!$E:$E,,0,1)</f>
        <v>#VALUE!</v>
      </c>
      <c r="N7" s="82">
        <v>0.75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/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0.89</v>
      </c>
      <c r="M8" s="82" t="e" vm="72">
        <f>_xlfn.XLOOKUP(I8,Teams!$C:$C,Teams!$E:$E,,0,1)</f>
        <v>#VALUE!</v>
      </c>
      <c r="N8" s="82">
        <v>0.11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/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</v>
      </c>
      <c r="M9" s="82" t="e" vm="74">
        <f>_xlfn.XLOOKUP(I9,Teams!$C:$C,Teams!$E:$E,,0,1)</f>
        <v>#VALUE!</v>
      </c>
      <c r="N9" s="82">
        <v>1</v>
      </c>
      <c r="O9" s="189" t="str">
        <f t="shared" si="3"/>
        <v>Campbell</v>
      </c>
      <c r="P9" s="204" t="e" vm="74">
        <f>_xlfn.XLOOKUP(O9,Teams!$C:$C,Teams!$E:$E,,0,1)</f>
        <v>#VALUE!</v>
      </c>
      <c r="Q9" s="223"/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0.08</v>
      </c>
      <c r="M10" s="82" t="e" vm="76">
        <f>_xlfn.XLOOKUP(I10,Teams!$C:$C,Teams!$E:$E,,0,1)</f>
        <v>#VALUE!</v>
      </c>
      <c r="N10" s="82">
        <v>0.92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/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0.06</v>
      </c>
      <c r="M11" s="82" t="e" vm="78">
        <f>_xlfn.XLOOKUP(I11,Teams!$C:$C,Teams!$E:$E,,0,1)</f>
        <v>#VALUE!</v>
      </c>
      <c r="N11" s="82">
        <v>0.94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/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</v>
      </c>
      <c r="M12" s="109" t="e" vm="80">
        <f>_xlfn.XLOOKUP(I12,Teams!$C:$C,Teams!$E:$E,,0,1)</f>
        <v>#VALUE!</v>
      </c>
      <c r="N12" s="109">
        <v>0.1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/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Auburn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0.28999999999999998</v>
      </c>
      <c r="M13" s="115" t="e" vm="82">
        <f>_xlfn.XLOOKUP(I13,Teams!$C:$C,Teams!$E:$E,,0,1)</f>
        <v>#VALUE!</v>
      </c>
      <c r="N13" s="115">
        <v>0.71</v>
      </c>
      <c r="O13" s="191" t="str">
        <f t="shared" si="3"/>
        <v>Austin Peay</v>
      </c>
      <c r="P13" s="206" t="e" vm="82">
        <f>_xlfn.XLOOKUP(O13,Teams!$C:$C,Teams!$E:$E,,0,1)</f>
        <v>#VALUE!</v>
      </c>
      <c r="Q13" s="225"/>
      <c r="R13" s="6" t="b">
        <f t="shared" si="5"/>
        <v>1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0.34</v>
      </c>
      <c r="M14" s="83" t="e" vm="84">
        <f>_xlfn.XLOOKUP(I14,Teams!$C:$C,Teams!$E:$E,,0,1)</f>
        <v>#VALUE!</v>
      </c>
      <c r="N14" s="83">
        <v>0.66</v>
      </c>
      <c r="O14" s="192" t="str">
        <f t="shared" si="3"/>
        <v>Baylor</v>
      </c>
      <c r="P14" s="207" t="e" vm="84">
        <f>_xlfn.XLOOKUP(O14,Teams!$C:$C,Teams!$E:$E,,0,1)</f>
        <v>#VALUE!</v>
      </c>
      <c r="Q14" s="226"/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0.57999999999999996</v>
      </c>
      <c r="M15" s="83" t="e" vm="86">
        <f>_xlfn.XLOOKUP(I15,Teams!$C:$C,Teams!$E:$E,,0,1)</f>
        <v>#VALUE!</v>
      </c>
      <c r="N15" s="83">
        <v>0.42</v>
      </c>
      <c r="O15" s="192" t="str">
        <f t="shared" si="3"/>
        <v>Bellarmine</v>
      </c>
      <c r="P15" s="207" t="e" vm="85">
        <f>_xlfn.XLOOKUP(O15,Teams!$C:$C,Teams!$E:$E,,0,1)</f>
        <v>#VALUE!</v>
      </c>
      <c r="Q15" s="226"/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Bethune-Cookman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0.49</v>
      </c>
      <c r="M16" s="83" t="e" vm="88">
        <f>_xlfn.XLOOKUP(I16,Teams!$C:$C,Teams!$E:$E,,0,1)</f>
        <v>#VALUE!</v>
      </c>
      <c r="N16" s="83">
        <v>0.51</v>
      </c>
      <c r="O16" s="192" t="str">
        <f t="shared" si="3"/>
        <v>Binghamton</v>
      </c>
      <c r="P16" s="207" t="e" vm="88">
        <f>_xlfn.XLOOKUP(O16,Teams!$C:$C,Teams!$E:$E,,0,1)</f>
        <v>#VALUE!</v>
      </c>
      <c r="Q16" s="226"/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Boise State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0.35</v>
      </c>
      <c r="M17" s="83" t="e" vm="90">
        <f>_xlfn.XLOOKUP(I17,Teams!$C:$C,Teams!$E:$E,,0,1)</f>
        <v>#VALUE!</v>
      </c>
      <c r="N17" s="83">
        <v>0.65</v>
      </c>
      <c r="O17" s="192" t="str">
        <f t="shared" si="3"/>
        <v>Boston College</v>
      </c>
      <c r="P17" s="207" t="e" vm="90">
        <f>_xlfn.XLOOKUP(O17,Teams!$C:$C,Teams!$E:$E,,0,1)</f>
        <v>#VALUE!</v>
      </c>
      <c r="Q17" s="226"/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Florida</v>
      </c>
      <c r="B18" s="91" t="str">
        <f t="shared" si="0"/>
        <v>Duke</v>
      </c>
      <c r="C18" s="91" t="str">
        <f t="shared" si="1"/>
        <v>Duke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105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0.53</v>
      </c>
      <c r="M18" s="83" t="e" vm="92">
        <f>_xlfn.XLOOKUP(I18,Teams!$C:$C,Teams!$E:$E,,0,1)</f>
        <v>#VALUE!</v>
      </c>
      <c r="N18" s="83">
        <v>0.47</v>
      </c>
      <c r="O18" s="192" t="str">
        <f t="shared" si="3"/>
        <v>Florida</v>
      </c>
      <c r="P18" s="207" t="e" vm="91">
        <f>_xlfn.XLOOKUP(O18,Teams!$C:$C,Teams!$E:$E,,0,1)</f>
        <v>#VALUE!</v>
      </c>
      <c r="Q18" s="226" t="s">
        <v>1131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Brigham Young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0.56999999999999995</v>
      </c>
      <c r="M19" s="83" t="e" vm="94">
        <f>_xlfn.XLOOKUP(I19,Teams!$C:$C,Teams!$E:$E,,0,1)</f>
        <v>#VALUE!</v>
      </c>
      <c r="N19" s="83">
        <v>0.43</v>
      </c>
      <c r="O19" s="192" t="str">
        <f t="shared" si="3"/>
        <v>Bradley</v>
      </c>
      <c r="P19" s="207" t="e" vm="93">
        <f>_xlfn.XLOOKUP(O19,Teams!$C:$C,Teams!$E:$E,,0,1)</f>
        <v>#VALUE!</v>
      </c>
      <c r="Q19" s="226" t="s">
        <v>1131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0.69</v>
      </c>
      <c r="M20" s="126" t="e" vm="96">
        <f>_xlfn.XLOOKUP(I20,Teams!$C:$C,Teams!$E:$E,,0,1)</f>
        <v>#VALUE!</v>
      </c>
      <c r="N20" s="126">
        <v>0.31</v>
      </c>
      <c r="O20" s="193" t="str">
        <f t="shared" si="3"/>
        <v>Brown</v>
      </c>
      <c r="P20" s="208" t="e" vm="95">
        <f>_xlfn.XLOOKUP(O20,Teams!$C:$C,Teams!$E:$E,,0,1)</f>
        <v>#VALUE!</v>
      </c>
      <c r="Q20" s="227"/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/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0.45</v>
      </c>
      <c r="M22" s="82" t="e" vm="100">
        <f>_xlfn.XLOOKUP(I22,Teams!$C:$C,Teams!$E:$E,,0,1)</f>
        <v>#VALUE!</v>
      </c>
      <c r="N22" s="82">
        <v>0.55000000000000004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1131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A&amp;M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0.14000000000000001</v>
      </c>
      <c r="M23" s="82" t="e" vm="102">
        <f>_xlfn.XLOOKUP(I23,Teams!$C:$C,Teams!$E:$E,,0,1)</f>
        <v>#VALUE!</v>
      </c>
      <c r="N23" s="82">
        <v>0.86</v>
      </c>
      <c r="O23" s="189" t="str">
        <f t="shared" si="3"/>
        <v>Alabama State</v>
      </c>
      <c r="P23" s="204" t="e" vm="102">
        <f>_xlfn.XLOOKUP(O23,Teams!$C:$C,Teams!$E:$E,,0,1)</f>
        <v>#VALUE!</v>
      </c>
      <c r="Q23" s="223"/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0.5</v>
      </c>
      <c r="M24" s="82" t="e" vm="104">
        <f>_xlfn.XLOOKUP(I24,Teams!$C:$C,Teams!$E:$E,,0,1)</f>
        <v>#VALUE!</v>
      </c>
      <c r="N24" s="82">
        <v>0.5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 t="s">
        <v>1131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Appalachian State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0.56999999999999995</v>
      </c>
      <c r="M25" s="82" t="e" vm="106">
        <f>_xlfn.XLOOKUP(I25,Teams!$C:$C,Teams!$E:$E,,0,1)</f>
        <v>#VALUE!</v>
      </c>
      <c r="N25" s="82">
        <v>0.43</v>
      </c>
      <c r="O25" s="189" t="str">
        <f t="shared" si="3"/>
        <v>American</v>
      </c>
      <c r="P25" s="204" t="e" vm="105">
        <f>_xlfn.XLOOKUP(O25,Teams!$C:$C,Teams!$E:$E,,0,1)</f>
        <v>#VALUE!</v>
      </c>
      <c r="Q25" s="223"/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0.97</v>
      </c>
      <c r="M26" s="82" t="e" vm="108">
        <f>_xlfn.XLOOKUP(I26,Teams!$C:$C,Teams!$E:$E,,0,1)</f>
        <v>#VALUE!</v>
      </c>
      <c r="N26" s="82">
        <v>0.03</v>
      </c>
      <c r="O26" s="189" t="str">
        <f t="shared" si="3"/>
        <v>Arizona</v>
      </c>
      <c r="P26" s="204" t="e" vm="107">
        <f>_xlfn.XLOOKUP(O26,Teams!$C:$C,Teams!$E:$E,,0,1)</f>
        <v>#VALUE!</v>
      </c>
      <c r="Q26" s="223"/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0.91</v>
      </c>
      <c r="M27" s="82" t="e" vm="110">
        <f>_xlfn.XLOOKUP(I27,Teams!$C:$C,Teams!$E:$E,,0,1)</f>
        <v>#VALUE!</v>
      </c>
      <c r="N27" s="82">
        <v>0.09</v>
      </c>
      <c r="O27" s="189" t="str">
        <f t="shared" si="3"/>
        <v>Arkansas</v>
      </c>
      <c r="P27" s="204" t="e" vm="109">
        <f>_xlfn.XLOOKUP(O27,Teams!$C:$C,Teams!$E:$E,,0,1)</f>
        <v>#VALUE!</v>
      </c>
      <c r="Q27" s="223"/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</v>
      </c>
      <c r="M28" s="109" t="e" vm="112">
        <f>_xlfn.XLOOKUP(I28,Teams!$C:$C,Teams!$E:$E,,0,1)</f>
        <v>#VALUE!</v>
      </c>
      <c r="N28" s="109">
        <v>0.3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/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Chattanooga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0.45</v>
      </c>
      <c r="M29" s="115" t="e" vm="114">
        <f>_xlfn.XLOOKUP(I29,Teams!$C:$C,Teams!$E:$E,,0,1)</f>
        <v>#VALUE!</v>
      </c>
      <c r="N29" s="115">
        <v>0.55000000000000004</v>
      </c>
      <c r="O29" s="191" t="str">
        <f t="shared" si="3"/>
        <v>Chicago State</v>
      </c>
      <c r="P29" s="206" t="e" vm="114">
        <f>_xlfn.XLOOKUP(O29,Teams!$C:$C,Teams!$E:$E,,0,1)</f>
        <v>#VALUE!</v>
      </c>
      <c r="Q29" s="225"/>
      <c r="R29" s="6" t="b">
        <f t="shared" si="5"/>
        <v>1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0.67</v>
      </c>
      <c r="M30" s="83" t="e" vm="116">
        <f>_xlfn.XLOOKUP(I30,Teams!$C:$C,Teams!$E:$E,,0,1)</f>
        <v>#VALUE!</v>
      </c>
      <c r="N30" s="83">
        <v>0.33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1131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/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0.84</v>
      </c>
      <c r="M32" s="83" t="e" vm="120">
        <f>_xlfn.XLOOKUP(I32,Teams!$C:$C,Teams!$E:$E,,0,1)</f>
        <v>#VALUE!</v>
      </c>
      <c r="N32" s="83">
        <v>0.16</v>
      </c>
      <c r="O32" s="192" t="str">
        <f t="shared" si="3"/>
        <v>Colgate</v>
      </c>
      <c r="P32" s="207" t="e" vm="119">
        <f>_xlfn.XLOOKUP(O32,Teams!$C:$C,Teams!$E:$E,,0,1)</f>
        <v>#VALUE!</v>
      </c>
      <c r="Q32" s="226"/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0.81</v>
      </c>
      <c r="M33" s="83" t="e" vm="122">
        <f>_xlfn.XLOOKUP(I33,Teams!$C:$C,Teams!$E:$E,,0,1)</f>
        <v>#VALUE!</v>
      </c>
      <c r="N33" s="83">
        <v>0.19</v>
      </c>
      <c r="O33" s="192" t="str">
        <f t="shared" si="3"/>
        <v>Colorado</v>
      </c>
      <c r="P33" s="207" t="e" vm="121">
        <f>_xlfn.XLOOKUP(O33,Teams!$C:$C,Teams!$E:$E,,0,1)</f>
        <v>#VALUE!</v>
      </c>
      <c r="Q33" s="226"/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0.49</v>
      </c>
      <c r="M34" s="83" t="e" vm="124">
        <f>_xlfn.XLOOKUP(I34,Teams!$C:$C,Teams!$E:$E,,0,1)</f>
        <v>#VALUE!</v>
      </c>
      <c r="N34" s="83">
        <v>0.51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/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0.16</v>
      </c>
      <c r="M35" s="83" t="e" vm="126">
        <f>_xlfn.XLOOKUP(I35,Teams!$C:$C,Teams!$E:$E,,0,1)</f>
        <v>#VALUE!</v>
      </c>
      <c r="N35" s="83">
        <v>0.84</v>
      </c>
      <c r="O35" s="192" t="str">
        <f t="shared" si="3"/>
        <v>Cornell</v>
      </c>
      <c r="P35" s="207" t="e" vm="126">
        <f>_xlfn.XLOOKUP(O35,Teams!$C:$C,Teams!$E:$E,,0,1)</f>
        <v>#VALUE!</v>
      </c>
      <c r="Q35" s="226"/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0.57999999999999996</v>
      </c>
      <c r="M36" s="126" t="e" vm="128">
        <f>_xlfn.XLOOKUP(I36,Teams!$C:$C,Teams!$E:$E,,0,1)</f>
        <v>#VALUE!</v>
      </c>
      <c r="N36" s="126">
        <v>0.42</v>
      </c>
      <c r="O36" s="193" t="str">
        <f t="shared" si="3"/>
        <v>Creighton</v>
      </c>
      <c r="P36" s="208" t="e" vm="127">
        <f>_xlfn.XLOOKUP(O36,Teams!$C:$C,Teams!$E:$E,,0,1)</f>
        <v>#VALUE!</v>
      </c>
      <c r="Q36" s="227"/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Bucknell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61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0.52</v>
      </c>
      <c r="M38" s="84" t="e" vm="67">
        <f>_xlfn.XLOOKUP(I38,Teams!$C:$C,Teams!$E:$E,,0,1)</f>
        <v>#VALUE!</v>
      </c>
      <c r="N38" s="84">
        <v>0.48</v>
      </c>
      <c r="O38" s="194" t="str">
        <f t="shared" ref="O38:O53" si="9">IF(L38&gt;N38,G38,I38)</f>
        <v>Bucknell</v>
      </c>
      <c r="P38" s="209" t="e" vm="65">
        <f>_xlfn.XLOOKUP(O38,Teams!$C:$C,Teams!$E:$E,,0,1)</f>
        <v>#VALUE!</v>
      </c>
      <c r="Q38" s="222"/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Bakersfield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0.18</v>
      </c>
      <c r="M39" s="82" t="e" vm="71">
        <f>_xlfn.XLOOKUP(I39,Teams!$C:$C,Teams!$E:$E,,0,1)</f>
        <v>#VALUE!</v>
      </c>
      <c r="N39" s="82">
        <v>0.82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/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California Baptist</v>
      </c>
      <c r="B40" s="91" t="str">
        <f t="shared" si="11"/>
        <v>Canisius</v>
      </c>
      <c r="C40" s="91" t="str">
        <f t="shared" si="7"/>
        <v>California Baptist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69</v>
      </c>
      <c r="H40" s="176" t="s">
        <v>9</v>
      </c>
      <c r="I40" s="102" t="s">
        <v>71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0.1</v>
      </c>
      <c r="M40" s="82" t="e" vm="75">
        <f>_xlfn.XLOOKUP(I40,Teams!$C:$C,Teams!$E:$E,,0,1)</f>
        <v>#VALUE!</v>
      </c>
      <c r="N40" s="82">
        <v>0.9</v>
      </c>
      <c r="O40" s="189" t="str">
        <f t="shared" si="9"/>
        <v>Canisius</v>
      </c>
      <c r="P40" s="204" t="e" vm="75">
        <f>_xlfn.XLOOKUP(O40,Teams!$C:$C,Teams!$E:$E,,0,1)</f>
        <v>#VALUE!</v>
      </c>
      <c r="Q40" s="223"/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Charleston Southern</v>
      </c>
      <c r="C41" s="91" t="str">
        <f t="shared" si="7"/>
        <v>Central Connecticut State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0.01</v>
      </c>
      <c r="M41" s="139" t="e" vm="79">
        <f>_xlfn.XLOOKUP(I41,Teams!$C:$C,Teams!$E:$E,,0,1)</f>
        <v>#VALUE!</v>
      </c>
      <c r="N41" s="139">
        <v>0.99</v>
      </c>
      <c r="O41" s="195" t="str">
        <f t="shared" si="9"/>
        <v>Charleston Southern</v>
      </c>
      <c r="P41" s="210" t="e" vm="79">
        <f>_xlfn.XLOOKUP(O41,Teams!$C:$C,Teams!$E:$E,,0,1)</f>
        <v>#VALUE!</v>
      </c>
      <c r="Q41" s="224"/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Ball State</v>
      </c>
      <c r="C42" s="91" t="str">
        <f t="shared" si="7"/>
        <v>Ball State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47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0.62</v>
      </c>
      <c r="M42" s="145" t="e" vm="83">
        <f>_xlfn.XLOOKUP(I42,Teams!$C:$C,Teams!$E:$E,,0,1)</f>
        <v>#VALUE!</v>
      </c>
      <c r="N42" s="145">
        <v>0.38</v>
      </c>
      <c r="O42" s="196" t="str">
        <f t="shared" si="9"/>
        <v>Auburn</v>
      </c>
      <c r="P42" s="211" t="e" vm="81">
        <f>_xlfn.XLOOKUP(O42,Teams!$C:$C,Teams!$E:$E,,0,1)</f>
        <v>#VALUE!</v>
      </c>
      <c r="Q42" s="225"/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Bethune-Cookman</v>
      </c>
      <c r="C43" s="91" t="str">
        <f t="shared" si="7"/>
        <v>Bellarmine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0.5</v>
      </c>
      <c r="M43" s="83" t="e" vm="87">
        <f>_xlfn.XLOOKUP(I43,Teams!$C:$C,Teams!$E:$E,,0,1)</f>
        <v>#VALUE!</v>
      </c>
      <c r="N43" s="83">
        <v>0.5</v>
      </c>
      <c r="O43" s="192" t="str">
        <f t="shared" si="9"/>
        <v>Bethune-Cookman</v>
      </c>
      <c r="P43" s="207" t="e" vm="87">
        <f>_xlfn.XLOOKUP(O43,Teams!$C:$C,Teams!$E:$E,,0,1)</f>
        <v>#VALUE!</v>
      </c>
      <c r="Q43" s="226"/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Florida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105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0.01</v>
      </c>
      <c r="M44" s="83" t="e" vm="91">
        <f>_xlfn.XLOOKUP(I44,Teams!$C:$C,Teams!$E:$E,,0,1)</f>
        <v>#VALUE!</v>
      </c>
      <c r="N44" s="83">
        <v>0.99</v>
      </c>
      <c r="O44" s="192" t="str">
        <f t="shared" si="9"/>
        <v>Florida</v>
      </c>
      <c r="P44" s="207" t="e" vm="91">
        <f>_xlfn.XLOOKUP(O44,Teams!$C:$C,Teams!$E:$E,,0,1)</f>
        <v>#VALUE!</v>
      </c>
      <c r="Q44" s="226"/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0.7</v>
      </c>
      <c r="M45" s="151" t="e" vm="95">
        <f>_xlfn.XLOOKUP(I45,Teams!$C:$C,Teams!$E:$E,,0,1)</f>
        <v>#VALUE!</v>
      </c>
      <c r="N45" s="151">
        <v>0.3</v>
      </c>
      <c r="O45" s="197" t="str">
        <f t="shared" si="9"/>
        <v>Bradley</v>
      </c>
      <c r="P45" s="212" t="e" vm="93">
        <f>_xlfn.XLOOKUP(O45,Teams!$C:$C,Teams!$E:$E,,0,1)</f>
        <v>#VALUE!</v>
      </c>
      <c r="Q45" s="227"/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Akron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0.01</v>
      </c>
      <c r="M46" s="84" t="e" vm="99">
        <f>_xlfn.XLOOKUP(I46,Teams!$C:$C,Teams!$E:$E,,0,1)</f>
        <v>#VALUE!</v>
      </c>
      <c r="N46" s="84">
        <v>0.99</v>
      </c>
      <c r="O46" s="194" t="str">
        <f t="shared" si="9"/>
        <v>Akron</v>
      </c>
      <c r="P46" s="209" t="e" vm="99">
        <f>_xlfn.XLOOKUP(O46,Teams!$C:$C,Teams!$E:$E,,0,1)</f>
        <v>#VALUE!</v>
      </c>
      <c r="Q46" s="228"/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Albany (NY)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0.85</v>
      </c>
      <c r="M47" s="82" t="e" vm="103">
        <f>_xlfn.XLOOKUP(I47,Teams!$C:$C,Teams!$E:$E,,0,1)</f>
        <v>#VALUE!</v>
      </c>
      <c r="N47" s="82">
        <v>0.15</v>
      </c>
      <c r="O47" s="189" t="str">
        <f t="shared" si="9"/>
        <v>Alabama A&amp;M</v>
      </c>
      <c r="P47" s="204" t="e" vm="101">
        <f>_xlfn.XLOOKUP(O47,Teams!$C:$C,Teams!$E:$E,,0,1)</f>
        <v>#VALUE!</v>
      </c>
      <c r="Q47" s="223" t="s">
        <v>1131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American</v>
      </c>
      <c r="B48" s="152" t="str">
        <f t="shared" si="11"/>
        <v>Arizona</v>
      </c>
      <c r="C48" s="152" t="str">
        <f t="shared" si="7"/>
        <v>American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37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0.01</v>
      </c>
      <c r="M48" s="82" t="e" vm="107">
        <f>_xlfn.XLOOKUP(I48,Teams!$C:$C,Teams!$E:$E,,0,1)</f>
        <v>#VALUE!</v>
      </c>
      <c r="N48" s="82">
        <v>0.99</v>
      </c>
      <c r="O48" s="189" t="str">
        <f t="shared" si="9"/>
        <v>Arizona</v>
      </c>
      <c r="P48" s="204" t="e" vm="107">
        <f>_xlfn.XLOOKUP(O48,Teams!$C:$C,Teams!$E:$E,,0,1)</f>
        <v>#VALUE!</v>
      </c>
      <c r="Q48" s="223"/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0.88</v>
      </c>
      <c r="M49" s="139" t="e" vm="111">
        <f>_xlfn.XLOOKUP(I49,Teams!$C:$C,Teams!$E:$E,,0,1)</f>
        <v>#VALUE!</v>
      </c>
      <c r="N49" s="139">
        <v>0.12</v>
      </c>
      <c r="O49" s="195" t="str">
        <f t="shared" si="9"/>
        <v>Arkansas</v>
      </c>
      <c r="P49" s="210" t="e" vm="109">
        <f>_xlfn.XLOOKUP(O49,Teams!$C:$C,Teams!$E:$E,,0,1)</f>
        <v>#VALUE!</v>
      </c>
      <c r="Q49" s="224"/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Chattanooga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0.24</v>
      </c>
      <c r="M50" s="145" t="e" vm="115">
        <f>_xlfn.XLOOKUP(I50,Teams!$C:$C,Teams!$E:$E,,0,1)</f>
        <v>#VALUE!</v>
      </c>
      <c r="N50" s="145">
        <v>0.76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/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Cleveland State</v>
      </c>
      <c r="B51" s="91" t="str">
        <f t="shared" si="11"/>
        <v>Colgate</v>
      </c>
      <c r="C51" s="91" t="str">
        <f t="shared" si="7"/>
        <v>Cleveland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81</v>
      </c>
      <c r="H51" s="178" t="s">
        <v>9</v>
      </c>
      <c r="I51" s="119" t="s">
        <v>83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0.06</v>
      </c>
      <c r="M51" s="83" t="e" vm="119">
        <f>_xlfn.XLOOKUP(I51,Teams!$C:$C,Teams!$E:$E,,0,1)</f>
        <v>#VALUE!</v>
      </c>
      <c r="N51" s="83">
        <v>0.94</v>
      </c>
      <c r="O51" s="192" t="str">
        <f t="shared" si="9"/>
        <v>Colgate</v>
      </c>
      <c r="P51" s="207" t="e" vm="119">
        <f>_xlfn.XLOOKUP(O51,Teams!$C:$C,Teams!$E:$E,,0,1)</f>
        <v>#VALUE!</v>
      </c>
      <c r="Q51" s="226"/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Columbia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87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0.47</v>
      </c>
      <c r="M52" s="83" t="e" vm="123">
        <f>_xlfn.XLOOKUP(I52,Teams!$C:$C,Teams!$E:$E,,0,1)</f>
        <v>#VALUE!</v>
      </c>
      <c r="N52" s="83">
        <v>0.53</v>
      </c>
      <c r="O52" s="192" t="str">
        <f t="shared" si="9"/>
        <v>Columbia</v>
      </c>
      <c r="P52" s="207" t="e" vm="123">
        <f>_xlfn.XLOOKUP(O52,Teams!$C:$C,Teams!$E:$E,,0,1)</f>
        <v>#VALUE!</v>
      </c>
      <c r="Q52" s="226"/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Coppin State</v>
      </c>
      <c r="B53" s="91" t="str">
        <f t="shared" si="11"/>
        <v>Creighton</v>
      </c>
      <c r="C53" s="91" t="str">
        <f t="shared" si="7"/>
        <v>Coppin State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89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0.05</v>
      </c>
      <c r="M53" s="151" t="e" vm="127">
        <f>_xlfn.XLOOKUP(I53,Teams!$C:$C,Teams!$E:$E,,0,1)</f>
        <v>#VALUE!</v>
      </c>
      <c r="N53" s="151">
        <v>0.95</v>
      </c>
      <c r="O53" s="197" t="str">
        <f t="shared" si="9"/>
        <v>Creighton</v>
      </c>
      <c r="P53" s="212" t="e" vm="127">
        <f>_xlfn.XLOOKUP(O53,Teams!$C:$C,Teams!$E:$E,,0,1)</f>
        <v>#VALUE!</v>
      </c>
      <c r="Q53" s="227"/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Bucknell</v>
      </c>
      <c r="B55" s="91" t="str">
        <f>I55</f>
        <v>Cal State Bakersfield</v>
      </c>
      <c r="C55" s="91" t="str">
        <f t="shared" ref="C55:C62" si="12">IF(O55="","",IF(A55=O55,B55,A55))</f>
        <v>Cal State Bakersfield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61</v>
      </c>
      <c r="H55" s="175" t="s">
        <v>9</v>
      </c>
      <c r="I55" s="95" t="s">
        <v>65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0.73</v>
      </c>
      <c r="M55" s="97" t="e" vm="69">
        <f>_xlfn.XLOOKUP(I55,Teams!$C:$C,Teams!$E:$E,,0,1)</f>
        <v>#VALUE!</v>
      </c>
      <c r="N55" s="97">
        <v>0.27</v>
      </c>
      <c r="O55" s="188" t="str">
        <f t="shared" ref="O55:O62" si="14">IF(L55&gt;N55,G55,I55)</f>
        <v>Bucknell</v>
      </c>
      <c r="P55" s="204" t="e" vm="65">
        <f>_xlfn.XLOOKUP(O55,Teams!$C:$C,Teams!$E:$E,,0,1)</f>
        <v>#VALUE!</v>
      </c>
      <c r="Q55" s="222"/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California Baptist</v>
      </c>
      <c r="B56" s="91" t="str">
        <f t="shared" ref="B56:B62" si="16">I56</f>
        <v>Central Connecticut State</v>
      </c>
      <c r="C56" s="91" t="str">
        <f t="shared" si="12"/>
        <v>California Baptist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69</v>
      </c>
      <c r="H56" s="182" t="s">
        <v>9</v>
      </c>
      <c r="I56" s="137" t="s">
        <v>73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0.25</v>
      </c>
      <c r="M56" s="139" t="e" vm="77">
        <f>_xlfn.XLOOKUP(I56,Teams!$C:$C,Teams!$E:$E,,0,1)</f>
        <v>#VALUE!</v>
      </c>
      <c r="N56" s="139">
        <v>0.75</v>
      </c>
      <c r="O56" s="195" t="str">
        <f t="shared" si="14"/>
        <v>Central Connecticut State</v>
      </c>
      <c r="P56" s="210" t="e" vm="77">
        <f>_xlfn.XLOOKUP(O56,Teams!$C:$C,Teams!$E:$E,,0,1)</f>
        <v>#VALUE!</v>
      </c>
      <c r="Q56" s="224"/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Bellarmine</v>
      </c>
      <c r="C57" s="91" t="str">
        <f t="shared" si="12"/>
        <v>Bellarmine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49</v>
      </c>
      <c r="J57" s="144" cm="1">
        <f t="array" ref="J57">_xlfn.XLOOKUP(I57,Teams[[#All],[Team]],Teams[[#All],[Seed]],0,0,1)</f>
        <v>5</v>
      </c>
      <c r="K57" s="145" t="e" vm="81">
        <f>_xlfn.XLOOKUP(G57,Teams!$C:$C,Teams!$E:$E,,0,1)</f>
        <v>#VALUE!</v>
      </c>
      <c r="L57" s="145">
        <v>0.61</v>
      </c>
      <c r="M57" s="145" t="e" vm="85">
        <f>_xlfn.XLOOKUP(I57,Teams!$C:$C,Teams!$E:$E,,0,1)</f>
        <v>#VALUE!</v>
      </c>
      <c r="N57" s="145">
        <v>0.39</v>
      </c>
      <c r="O57" s="196" t="str">
        <f t="shared" si="14"/>
        <v>Auburn</v>
      </c>
      <c r="P57" s="211" t="e" vm="81">
        <f>_xlfn.XLOOKUP(O57,Teams!$C:$C,Teams!$E:$E,,0,1)</f>
        <v>#VALUE!</v>
      </c>
      <c r="Q57" s="225"/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Boise State</v>
      </c>
      <c r="B58" s="91" t="str">
        <f t="shared" si="16"/>
        <v>Bradley</v>
      </c>
      <c r="C58" s="91" t="str">
        <f t="shared" si="12"/>
        <v>Boise State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53</v>
      </c>
      <c r="H58" s="184" t="s">
        <v>9</v>
      </c>
      <c r="I58" s="149" t="s">
        <v>57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0.18</v>
      </c>
      <c r="M58" s="151" t="e" vm="93">
        <f>_xlfn.XLOOKUP(I58,Teams!$C:$C,Teams!$E:$E,,0,1)</f>
        <v>#VALUE!</v>
      </c>
      <c r="N58" s="151">
        <v>0.82</v>
      </c>
      <c r="O58" s="197" t="str">
        <f t="shared" si="14"/>
        <v>Bradley</v>
      </c>
      <c r="P58" s="212" t="e" vm="93">
        <f>_xlfn.XLOOKUP(O58,Teams!$C:$C,Teams!$E:$E,,0,1)</f>
        <v>#VALUE!</v>
      </c>
      <c r="Q58" s="227"/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Abilene Christian</v>
      </c>
      <c r="B59" s="152" t="str">
        <f t="shared" si="16"/>
        <v>Alabama A&amp;M</v>
      </c>
      <c r="C59" s="152" t="str">
        <f t="shared" si="12"/>
        <v>Abilene Christian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29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0.42</v>
      </c>
      <c r="M59" s="84" t="e" vm="101">
        <f>_xlfn.XLOOKUP(I59,Teams!$C:$C,Teams!$E:$E,,0,1)</f>
        <v>#VALUE!</v>
      </c>
      <c r="N59" s="84">
        <v>0.57999999999999996</v>
      </c>
      <c r="O59" s="194" t="str">
        <f t="shared" si="14"/>
        <v>Alabama A&amp;M</v>
      </c>
      <c r="P59" s="209" t="e" vm="101">
        <f>_xlfn.XLOOKUP(O59,Teams!$C:$C,Teams!$E:$E,,0,1)</f>
        <v>#VALUE!</v>
      </c>
      <c r="Q59" s="228"/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American</v>
      </c>
      <c r="B60" s="152" t="str">
        <f t="shared" si="16"/>
        <v>Arkansas</v>
      </c>
      <c r="C60" s="152" t="str">
        <f t="shared" si="12"/>
        <v>American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6</v>
      </c>
      <c r="G60" s="136" t="s">
        <v>37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5">
        <f>_xlfn.XLOOKUP(G60,Teams!$C:$C,Teams!$E:$E,,0,1)</f>
        <v>#VALUE!</v>
      </c>
      <c r="L60" s="139">
        <v>0.09</v>
      </c>
      <c r="M60" s="139" t="e" vm="109">
        <f>_xlfn.XLOOKUP(I60,Teams!$C:$C,Teams!$E:$E,,0,1)</f>
        <v>#VALUE!</v>
      </c>
      <c r="N60" s="139">
        <v>0.91</v>
      </c>
      <c r="O60" s="195" t="str">
        <f t="shared" si="14"/>
        <v>Arkansas</v>
      </c>
      <c r="P60" s="210" t="e" vm="109">
        <f>_xlfn.XLOOKUP(O60,Teams!$C:$C,Teams!$E:$E,,0,1)</f>
        <v>#VALUE!</v>
      </c>
      <c r="Q60" s="224"/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Cleveland State</v>
      </c>
      <c r="C61" s="91" t="str">
        <f t="shared" si="12"/>
        <v>Chattanooga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81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0.49</v>
      </c>
      <c r="M61" s="145" t="e" vm="117">
        <f>_xlfn.XLOOKUP(I61,Teams!$C:$C,Teams!$E:$E,,0,1)</f>
        <v>#VALUE!</v>
      </c>
      <c r="N61" s="145">
        <v>0.51</v>
      </c>
      <c r="O61" s="196" t="str">
        <f t="shared" si="14"/>
        <v>Cleveland State</v>
      </c>
      <c r="P61" s="211" t="e" vm="117">
        <f>_xlfn.XLOOKUP(O61,Teams!$C:$C,Teams!$E:$E,,0,1)</f>
        <v>#VALUE!</v>
      </c>
      <c r="Q61" s="225" t="s">
        <v>1131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Colorado</v>
      </c>
      <c r="B62" s="91" t="str">
        <f t="shared" si="16"/>
        <v>Coppin State</v>
      </c>
      <c r="C62" s="91" t="str">
        <f t="shared" si="12"/>
        <v>Coppin State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85</v>
      </c>
      <c r="H62" s="184" t="s">
        <v>9</v>
      </c>
      <c r="I62" s="149" t="s">
        <v>89</v>
      </c>
      <c r="J62" s="150" cm="1">
        <f t="array" ref="J62">_xlfn.XLOOKUP(I62,Teams[[#All],[Team]],Teams[[#All],[Seed]],0,0,1)</f>
        <v>7</v>
      </c>
      <c r="K62" s="151" t="e" vm="121">
        <f>_xlfn.XLOOKUP(G62,Teams!$C:$C,Teams!$E:$E,,0,1)</f>
        <v>#VALUE!</v>
      </c>
      <c r="L62" s="151">
        <v>0.97</v>
      </c>
      <c r="M62" s="151" t="e" vm="125">
        <f>_xlfn.XLOOKUP(I62,Teams!$C:$C,Teams!$E:$E,,0,1)</f>
        <v>#VALUE!</v>
      </c>
      <c r="N62" s="151">
        <v>0.03</v>
      </c>
      <c r="O62" s="197" t="str">
        <f t="shared" si="14"/>
        <v>Colorado</v>
      </c>
      <c r="P62" s="212" t="e" vm="121">
        <f>_xlfn.XLOOKUP(O62,Teams!$C:$C,Teams!$E:$E,,0,1)</f>
        <v>#VALUE!</v>
      </c>
      <c r="Q62" s="227"/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Bucknell</v>
      </c>
      <c r="B64" s="91" t="str">
        <f>I64</f>
        <v>California Baptist</v>
      </c>
      <c r="C64" s="91" t="str">
        <f>IF(O64="","",IF(A64=O64,B64,A64))</f>
        <v>California Baptist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61</v>
      </c>
      <c r="H64" s="185" t="s">
        <v>9</v>
      </c>
      <c r="I64" s="156" t="s">
        <v>69</v>
      </c>
      <c r="J64" s="157" cm="1">
        <f t="array" ref="J64">_xlfn.XLOOKUP(I64,Teams[[#All],[Team]],Teams[[#All],[Seed]],0,0,1)</f>
        <v>6</v>
      </c>
      <c r="K64" s="158" t="e" vm="65">
        <f>_xlfn.XLOOKUP(G64,Teams!$C:$C,Teams!$E:$E,,0,1)</f>
        <v>#VALUE!</v>
      </c>
      <c r="L64" s="158">
        <v>1</v>
      </c>
      <c r="M64" s="158" t="e" vm="73">
        <f>_xlfn.XLOOKUP(I64,Teams!$C:$C,Teams!$E:$E,,0,1)</f>
        <v>#VALUE!</v>
      </c>
      <c r="N64" s="158">
        <v>0</v>
      </c>
      <c r="O64" s="198" t="str">
        <f>IF(L64&gt;N64,G64,I64)</f>
        <v>Bucknell</v>
      </c>
      <c r="P64" s="204" t="e" vm="65">
        <f>_xlfn.XLOOKUP(O64,Teams!$C:$C,Teams!$E:$E,,0,1)</f>
        <v>#VALUE!</v>
      </c>
      <c r="Q64" s="230"/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Boise State</v>
      </c>
      <c r="C65" s="91" t="str">
        <f>IF(O65="","",IF(A65=O65,B65,A65))</f>
        <v>Boise State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53</v>
      </c>
      <c r="J65" s="163" cm="1">
        <f t="array" ref="J65">_xlfn.XLOOKUP(I65,Teams[[#All],[Team]],Teams[[#All],[Seed]],0,0,1)</f>
        <v>6</v>
      </c>
      <c r="K65" s="164" t="e" vm="81">
        <f>_xlfn.XLOOKUP(G65,Teams!$C:$C,Teams!$E:$E,,0,1)</f>
        <v>#VALUE!</v>
      </c>
      <c r="L65" s="164">
        <v>0.77</v>
      </c>
      <c r="M65" s="164" t="e" vm="89">
        <f>_xlfn.XLOOKUP(I65,Teams!$C:$C,Teams!$E:$E,,0,1)</f>
        <v>#VALUE!</v>
      </c>
      <c r="N65" s="164">
        <v>0.23</v>
      </c>
      <c r="O65" s="199" t="str">
        <f>IF(L65&gt;N65,G65,I65)</f>
        <v>Auburn</v>
      </c>
      <c r="P65" s="207" t="e" vm="81">
        <f>_xlfn.XLOOKUP(O65,Teams!$C:$C,Teams!$E:$E,,0,1)</f>
        <v>#VALUE!</v>
      </c>
      <c r="Q65" s="231"/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Abilene Christian</v>
      </c>
      <c r="B66" s="91" t="str">
        <f>I66</f>
        <v>American</v>
      </c>
      <c r="C66" s="91" t="str">
        <f>IF(O66="","",IF(A66=O66,B66,A66))</f>
        <v>Abilene Christian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29</v>
      </c>
      <c r="H66" s="185" t="s">
        <v>9</v>
      </c>
      <c r="I66" s="156" t="s">
        <v>37</v>
      </c>
      <c r="J66" s="157" cm="1">
        <f t="array" ref="J66">_xlfn.XLOOKUP(I66,Teams[[#All],[Team]],Teams[[#All],[Seed]],0,0,1)</f>
        <v>6</v>
      </c>
      <c r="K66" s="158" t="e" vm="97">
        <f>_xlfn.XLOOKUP(G66,Teams!$C:$C,Teams!$E:$E,,0,1)</f>
        <v>#VALUE!</v>
      </c>
      <c r="L66" s="158">
        <v>0.17</v>
      </c>
      <c r="M66" s="158" t="e" vm="105">
        <f>_xlfn.XLOOKUP(I66,Teams!$C:$C,Teams!$E:$E,,0,1)</f>
        <v>#VALUE!</v>
      </c>
      <c r="N66" s="158">
        <v>0.83</v>
      </c>
      <c r="O66" s="198" t="str">
        <f>IF(L66&gt;N66,G66,I66)</f>
        <v>American</v>
      </c>
      <c r="P66" s="204" t="e" vm="105">
        <f>_xlfn.XLOOKUP(O66,Teams!$C:$C,Teams!$E:$E,,0,1)</f>
        <v>#VALUE!</v>
      </c>
      <c r="Q66" s="232"/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Chattanooga</v>
      </c>
      <c r="B67" s="91" t="str">
        <f>I67</f>
        <v>Colorado</v>
      </c>
      <c r="C67" s="91" t="str">
        <f>IF(O67="","",IF(A67=O67,B67,A67))</f>
        <v>Chattanooga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77</v>
      </c>
      <c r="H67" s="186" t="s">
        <v>9</v>
      </c>
      <c r="I67" s="162" t="s">
        <v>85</v>
      </c>
      <c r="J67" s="163" cm="1">
        <f t="array" ref="J67">_xlfn.XLOOKUP(I67,Teams[[#All],[Team]],Teams[[#All],[Seed]],0,0,1)</f>
        <v>6</v>
      </c>
      <c r="K67" s="164" t="e" vm="113">
        <f>_xlfn.XLOOKUP(G67,Teams!$C:$C,Teams!$E:$E,,0,1)</f>
        <v>#VALUE!</v>
      </c>
      <c r="L67" s="164">
        <v>0.3</v>
      </c>
      <c r="M67" s="164" t="e" vm="121">
        <f>_xlfn.XLOOKUP(I67,Teams!$C:$C,Teams!$E:$E,,0,1)</f>
        <v>#VALUE!</v>
      </c>
      <c r="N67" s="164">
        <v>0.7</v>
      </c>
      <c r="O67" s="199" t="str">
        <f>IF(L67&gt;N67,G67,I67)</f>
        <v>Colorado</v>
      </c>
      <c r="P67" s="207" t="e" vm="121">
        <f>_xlfn.XLOOKUP(O67,Teams!$C:$C,Teams!$E:$E,,0,1)</f>
        <v>#VALUE!</v>
      </c>
      <c r="Q67" s="231"/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Bucknell</v>
      </c>
      <c r="B69" s="91" t="str">
        <f>I69</f>
        <v>Auburn</v>
      </c>
      <c r="C69" s="91" t="str">
        <f>IF(O69="","",IF(A69=O69,B69,A69))</f>
        <v>Auburn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61</v>
      </c>
      <c r="H69" s="187" t="s">
        <v>9</v>
      </c>
      <c r="I69" s="168" t="s">
        <v>45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0.62</v>
      </c>
      <c r="M69" s="170" t="e" vm="81">
        <f>_xlfn.XLOOKUP(I69,Teams!$C:$C,Teams!$E:$E,,0,1)</f>
        <v>#VALUE!</v>
      </c>
      <c r="N69" s="170">
        <v>0.38</v>
      </c>
      <c r="O69" s="200" t="str">
        <f>IF(L69&gt;N69,G69,I69)</f>
        <v>Bucknell</v>
      </c>
      <c r="P69" s="210" t="e" vm="65">
        <f>_xlfn.XLOOKUP(O69,Teams!$C:$C,Teams!$E:$E,,0,1)</f>
        <v>#VALUE!</v>
      </c>
      <c r="Q69" s="230"/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American</v>
      </c>
      <c r="B70" s="91" t="str">
        <f>I70</f>
        <v>Colorado</v>
      </c>
      <c r="C70" s="91" t="str">
        <f>IF(O70="","",IF(A70=O70,B70,A70))</f>
        <v>Colorado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6</v>
      </c>
      <c r="G70" s="161" t="s">
        <v>37</v>
      </c>
      <c r="H70" s="186" t="s">
        <v>9</v>
      </c>
      <c r="I70" s="162" t="s">
        <v>85</v>
      </c>
      <c r="J70" s="163" cm="1">
        <f t="array" ref="J70">_xlfn.XLOOKUP(I70,Teams[[#All],[Team]],Teams[[#All],[Seed]],0,0,1)</f>
        <v>6</v>
      </c>
      <c r="K70" s="164" t="e" vm="105">
        <f>_xlfn.XLOOKUP(G70,Teams!$C:$C,Teams!$E:$E,,0,1)</f>
        <v>#VALUE!</v>
      </c>
      <c r="L70" s="164">
        <v>0.57999999999999996</v>
      </c>
      <c r="M70" s="164" t="e" vm="121">
        <f>_xlfn.XLOOKUP(I70,Teams!$C:$C,Teams!$E:$E,,0,1)</f>
        <v>#VALUE!</v>
      </c>
      <c r="N70" s="164">
        <v>0.42</v>
      </c>
      <c r="O70" s="199" t="str">
        <f>IF(L70&gt;N70,G70,I70)</f>
        <v>American</v>
      </c>
      <c r="P70" s="213" t="e" vm="105">
        <f>_xlfn.XLOOKUP(O70,Teams!$C:$C,Teams!$E:$E,,0,1)</f>
        <v>#VALUE!</v>
      </c>
      <c r="Q70" s="231"/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Auburn</v>
      </c>
      <c r="B72" s="91" t="str">
        <f>I72</f>
        <v>American</v>
      </c>
      <c r="C72" s="91" t="str">
        <f>IF(O72="","",IF(A72=O72,B72,A72))</f>
        <v>Auburn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45</v>
      </c>
      <c r="H72" s="185" t="s">
        <v>9</v>
      </c>
      <c r="I72" s="156" t="s">
        <v>37</v>
      </c>
      <c r="J72" s="157" cm="1">
        <f t="array" ref="J72">_xlfn.XLOOKUP(I72,Teams[[#All],[Team]],Teams[[#All],[Seed]],0,0,1)</f>
        <v>6</v>
      </c>
      <c r="K72" s="158" t="e" vm="81">
        <f>_xlfn.XLOOKUP(G72,Teams!$C:$C,Teams!$E:$E,,0,1)</f>
        <v>#VALUE!</v>
      </c>
      <c r="L72" s="158">
        <v>0.35</v>
      </c>
      <c r="M72" s="158" t="e" vm="105">
        <f>_xlfn.XLOOKUP(I72,Teams!$C:$C,Teams!$E:$E,,0,1)</f>
        <v>#VALUE!</v>
      </c>
      <c r="N72" s="158">
        <v>0.65</v>
      </c>
      <c r="O72" s="198" t="str">
        <f>IF(L72&gt;N72,G72,I72)</f>
        <v>American</v>
      </c>
      <c r="P72" s="205" t="e" vm="105">
        <f>_xlfn.XLOOKUP(O72,Teams!$C:$C,Teams!$E:$E,,0,1)</f>
        <v>#VALUE!</v>
      </c>
      <c r="Q72" s="233"/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0.02</v>
      </c>
      <c r="F5" s="256" t="str">
        <f>Games!O5</f>
        <v>Buffalo</v>
      </c>
      <c r="G5" s="259" t="e" vm="66">
        <f>_xlfn.XLOOKUP(F5,Teams!$C:$C,Teams!$E:$E,,0,1)</f>
        <v>#VALUE!</v>
      </c>
      <c r="H5" s="280">
        <f>Games!L38</f>
        <v>0.52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0.01</v>
      </c>
      <c r="AI5" s="247" t="e" vm="97">
        <f>_xlfn.XLOOKUP(AJ5,Teams!$C:$C,Teams!$E:$E,,0,1)</f>
        <v>#VALUE!</v>
      </c>
      <c r="AJ5" s="256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0.98</v>
      </c>
      <c r="F7" s="276">
        <f>IF($AU$5=TRUE,AO66+1,"")</f>
        <v>33</v>
      </c>
      <c r="G7" s="14"/>
      <c r="H7" s="49"/>
      <c r="I7" s="265" t="str">
        <f>Games!O38</f>
        <v>Bucknell</v>
      </c>
      <c r="J7" s="259" t="e" vm="65">
        <f>_xlfn.XLOOKUP(I7,Teams!$C:$C,Teams!$E:$E,,0,1)</f>
        <v>#VALUE!</v>
      </c>
      <c r="K7" s="251">
        <f>Games!L55</f>
        <v>0.73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0.42</v>
      </c>
      <c r="AF7" s="247" t="e" vm="99">
        <f>_xlfn.XLOOKUP(AG7,Teams!$C:$C,Teams!$E:$E,,0,1)</f>
        <v>#VALUE!</v>
      </c>
      <c r="AG7" s="256" t="str">
        <f>Games!O46</f>
        <v>Akron</v>
      </c>
      <c r="AH7" s="55"/>
      <c r="AI7" s="51"/>
      <c r="AJ7" s="276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0.69</v>
      </c>
      <c r="F9" s="256" t="str">
        <f>Games!O6</f>
        <v>Butler</v>
      </c>
      <c r="G9" s="259" t="e" vm="67">
        <f>_xlfn.XLOOKUP(F9,Teams!$C:$C,Teams!$E:$E,,0,1)</f>
        <v>#VALUE!</v>
      </c>
      <c r="H9" s="261">
        <f>Games!N38</f>
        <v>0.48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0.99</v>
      </c>
      <c r="AI9" s="247" t="e" vm="100">
        <f>_xlfn.XLOOKUP(AJ9,Teams!$C:$C,Teams!$E:$E,,0,1)</f>
        <v>#VALUE!</v>
      </c>
      <c r="AJ9" s="256" t="str">
        <f>Games!O22</f>
        <v>Alabama</v>
      </c>
      <c r="AK9" s="58">
        <f>Games!L22</f>
        <v>0.45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0.31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Bucknell</v>
      </c>
      <c r="M11" s="259" t="e" vm="65">
        <f>_xlfn.XLOOKUP(L11,Teams!$C:$C,Teams!$E:$E,,0,1)</f>
        <v>#VALUE!</v>
      </c>
      <c r="N11" s="251">
        <f>Games!L64</f>
        <v>1</v>
      </c>
      <c r="O11" s="25"/>
      <c r="P11" s="25"/>
      <c r="R11" s="25"/>
      <c r="S11" s="25"/>
      <c r="T11" s="282" t="e" vm="105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0.17</v>
      </c>
      <c r="AC11" s="249" t="e" vm="101">
        <f>_xlfn.XLOOKUP(AD11,Teams!$C:$C,Teams!$E:$E,,0,1)</f>
        <v>#VALUE!</v>
      </c>
      <c r="AD11" s="256" t="str">
        <f>Games!O59</f>
        <v>Alabama A&amp;M</v>
      </c>
      <c r="AE11" s="56"/>
      <c r="AG11" s="255">
        <f>IF($AU$5=TRUE,I59+1,"")</f>
        <v>53</v>
      </c>
      <c r="AJ11" s="24"/>
      <c r="AK11" s="59">
        <f>Games!N22</f>
        <v>0.55000000000000004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0.25</v>
      </c>
      <c r="F13" s="256" t="str">
        <f>Games!O7</f>
        <v>Cal State Fullerton</v>
      </c>
      <c r="G13" s="259" t="e" vm="70">
        <f>_xlfn.XLOOKUP(F13,Teams!$C:$C,Teams!$E:$E,,0,1)</f>
        <v>#VALUE!</v>
      </c>
      <c r="H13" s="251">
        <f>Games!L39</f>
        <v>0.18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0.85</v>
      </c>
      <c r="AI13" s="249" t="e" vm="102">
        <f>_xlfn.XLOOKUP(AJ13,Teams!$C:$C,Teams!$E:$E,,0,1)</f>
        <v>#VALUE!</v>
      </c>
      <c r="AJ13" s="256" t="str">
        <f>Games!O23</f>
        <v>Alabama State</v>
      </c>
      <c r="AK13" s="58">
        <f>Games!L23</f>
        <v>0.14000000000000001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0.75</v>
      </c>
      <c r="F15" s="276">
        <f>IF($AU$5=TRUE,F7+1,"")</f>
        <v>34</v>
      </c>
      <c r="G15" s="14"/>
      <c r="H15" s="49"/>
      <c r="I15" s="265" t="str">
        <f>Games!O39</f>
        <v>Cal State Northridge</v>
      </c>
      <c r="J15" s="259" t="e" vm="71">
        <f>_xlfn.XLOOKUP(I15,Teams!$C:$C,Teams!$E:$E,,0,1)</f>
        <v>#VALUE!</v>
      </c>
      <c r="K15" s="261">
        <f>Games!N55</f>
        <v>0.27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0.57999999999999996</v>
      </c>
      <c r="AF15" s="249" t="e" vm="101">
        <f>_xlfn.XLOOKUP(AG15,Teams!$C:$C,Teams!$E:$E,,0,1)</f>
        <v>#VALUE!</v>
      </c>
      <c r="AG15" s="256" t="str">
        <f>Games!O47</f>
        <v>Alabama A&amp;M</v>
      </c>
      <c r="AH15" s="55"/>
      <c r="AI15" s="51"/>
      <c r="AJ15" s="276">
        <f>IF($AU$5=TRUE,AJ7+1,"")</f>
        <v>42</v>
      </c>
      <c r="AK15" s="59">
        <f>Games!N23</f>
        <v>0.86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0.89</v>
      </c>
      <c r="F17" s="256" t="str">
        <f>Games!O8</f>
        <v>Cal State Northridge</v>
      </c>
      <c r="G17" s="259" t="e" vm="71">
        <f>_xlfn.XLOOKUP(F17,Teams!$C:$C,Teams!$E:$E,,0,1)</f>
        <v>#VALUE!</v>
      </c>
      <c r="H17" s="261">
        <f>Games!N39</f>
        <v>0.82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0.15</v>
      </c>
      <c r="AI17" s="249" t="e" vm="104">
        <f>_xlfn.XLOOKUP(AJ17,Teams!$C:$C,Teams!$E:$E,,0,1)</f>
        <v>#VALUE!</v>
      </c>
      <c r="AJ17" s="256" t="str">
        <f>Games!O24</f>
        <v>Alcorn State</v>
      </c>
      <c r="AK17" s="58">
        <f>Games!L24</f>
        <v>0.5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0.11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Bucknell</v>
      </c>
      <c r="P19" s="259" t="e" vm="65">
        <f>_xlfn.XLOOKUP(O19,Teams!$C:$C,Teams!$E:$E,,0,1)</f>
        <v>#VALUE!</v>
      </c>
      <c r="Q19" s="251">
        <f>Games!L69</f>
        <v>0.62</v>
      </c>
      <c r="R19" s="25"/>
      <c r="S19" s="25"/>
      <c r="T19" s="288"/>
      <c r="U19" s="289"/>
      <c r="V19" s="290"/>
      <c r="W19" s="25"/>
      <c r="X19" s="25"/>
      <c r="Y19" s="251">
        <f>Games!L70</f>
        <v>0.57999999999999996</v>
      </c>
      <c r="Z19" s="249" t="e" vm="105">
        <f>_xlfn.XLOOKUP(AA19,Teams!$C:$C,Teams!$E:$E,,0,1)</f>
        <v>#VALUE!</v>
      </c>
      <c r="AA19" s="256" t="str">
        <f>Games!O66</f>
        <v>American</v>
      </c>
      <c r="AB19" s="56"/>
      <c r="AD19" s="258" t="s">
        <v>3</v>
      </c>
      <c r="AE19" s="258"/>
      <c r="AF19" s="20"/>
      <c r="AG19" s="24"/>
      <c r="AJ19" s="24"/>
      <c r="AK19" s="59">
        <f>Games!N24</f>
        <v>0.5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</v>
      </c>
      <c r="F21" s="256" t="str">
        <f>Games!O9</f>
        <v>Campbell</v>
      </c>
      <c r="G21" s="259" t="e" vm="74">
        <f>_xlfn.XLOOKUP(F21,Teams!$C:$C,Teams!$E:$E,,0,1)</f>
        <v>#VALUE!</v>
      </c>
      <c r="H21" s="251">
        <f>Games!L40</f>
        <v>0.1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0.01</v>
      </c>
      <c r="AI21" s="249" t="e" vm="105">
        <f>_xlfn.XLOOKUP(AJ21,Teams!$C:$C,Teams!$E:$E,,0,1)</f>
        <v>#VALUE!</v>
      </c>
      <c r="AJ21" s="256" t="str">
        <f>Games!O25</f>
        <v>American</v>
      </c>
      <c r="AK21" s="58">
        <f>Games!L25</f>
        <v>0.56999999999999995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1</v>
      </c>
      <c r="F23" s="276">
        <f>IF($AU$5=TRUE,F15+1,"")</f>
        <v>35</v>
      </c>
      <c r="G23" s="14"/>
      <c r="H23" s="49"/>
      <c r="I23" s="265" t="str">
        <f>Games!O40</f>
        <v>Canisius</v>
      </c>
      <c r="J23" s="259" t="e" vm="75">
        <f>_xlfn.XLOOKUP(I23,Teams!$C:$C,Teams!$E:$E,,0,1)</f>
        <v>#VALUE!</v>
      </c>
      <c r="K23" s="251">
        <f>Games!L56</f>
        <v>0.25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0.09</v>
      </c>
      <c r="AF23" s="249" t="e" vm="107">
        <f>_xlfn.XLOOKUP(AG23,Teams!$C:$C,Teams!$E:$E,,0,1)</f>
        <v>#VALUE!</v>
      </c>
      <c r="AG23" s="256" t="str">
        <f>Games!O48</f>
        <v>Arizona</v>
      </c>
      <c r="AH23" s="55"/>
      <c r="AI23" s="51"/>
      <c r="AJ23" s="276">
        <f>IF($AU$5=TRUE,AJ15+1,"")</f>
        <v>43</v>
      </c>
      <c r="AK23" s="59">
        <f>Games!N25</f>
        <v>0.43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0.08</v>
      </c>
      <c r="F25" s="256" t="str">
        <f>Games!O10</f>
        <v>Central Arkansas</v>
      </c>
      <c r="G25" s="259" t="e" vm="76">
        <f>_xlfn.XLOOKUP(F25,Teams!$C:$C,Teams!$E:$E,,0,1)</f>
        <v>#VALUE!</v>
      </c>
      <c r="H25" s="261">
        <f>Games!N40</f>
        <v>0.9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0.99</v>
      </c>
      <c r="AI25" s="249" t="e" vm="107">
        <f>_xlfn.XLOOKUP(AJ25,Teams!$C:$C,Teams!$E:$E,,0,1)</f>
        <v>#VALUE!</v>
      </c>
      <c r="AJ25" s="256" t="str">
        <f>Games!O26</f>
        <v>Arizona</v>
      </c>
      <c r="AK25" s="58">
        <f>Games!L26</f>
        <v>0.97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0.92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Central Connecticut State</v>
      </c>
      <c r="M27" s="259" t="e" vm="77">
        <f>_xlfn.XLOOKUP(L27,Teams!$C:$C,Teams!$E:$E,,0,1)</f>
        <v>#VALUE!</v>
      </c>
      <c r="N27" s="261">
        <f>Games!N64</f>
        <v>0</v>
      </c>
      <c r="O27" s="25"/>
      <c r="P27" s="25"/>
      <c r="Q27" s="50"/>
      <c r="R27" s="265" t="str">
        <f>Games!O69</f>
        <v>Bucknell</v>
      </c>
      <c r="S27" s="256"/>
      <c r="T27" s="256"/>
      <c r="U27" s="271" t="e" vm="65">
        <f>_xlfn.XLOOKUP(R27,Teams!$C:$C,Teams!$E:$E,,0,1)</f>
        <v>#VALUE!</v>
      </c>
      <c r="V27" s="273">
        <f>Games!L72</f>
        <v>0.35</v>
      </c>
      <c r="W27" s="24"/>
      <c r="X27" s="25"/>
      <c r="Y27" s="56"/>
      <c r="AA27" s="25"/>
      <c r="AB27" s="253">
        <f>Games!N66</f>
        <v>0.83</v>
      </c>
      <c r="AC27" s="249" t="e" vm="109">
        <f>_xlfn.XLOOKUP(AD27,Teams!$C:$C,Teams!$E:$E,,0,1)</f>
        <v>#VALUE!</v>
      </c>
      <c r="AD27" s="256" t="str">
        <f>Games!O60</f>
        <v>Arkansas</v>
      </c>
      <c r="AE27" s="56"/>
      <c r="AG27" s="255">
        <f>IF($AU$5=TRUE,AG11+1,"")</f>
        <v>54</v>
      </c>
      <c r="AJ27" s="24"/>
      <c r="AK27" s="59">
        <f>Games!N26</f>
        <v>0.03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0.06</v>
      </c>
      <c r="F29" s="256" t="str">
        <f>Games!O11</f>
        <v>Central Michigan</v>
      </c>
      <c r="G29" s="259" t="e" vm="78">
        <f>_xlfn.XLOOKUP(F29,Teams!$C:$C,Teams!$E:$E,,0,1)</f>
        <v>#VALUE!</v>
      </c>
      <c r="H29" s="251">
        <f>Games!L41</f>
        <v>0.01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0.88</v>
      </c>
      <c r="AI29" s="249" t="e" vm="109">
        <f>_xlfn.XLOOKUP(AJ29,Teams!$C:$C,Teams!$E:$E,,0,1)</f>
        <v>#VALUE!</v>
      </c>
      <c r="AJ29" s="256" t="str">
        <f>Games!O27</f>
        <v>Arkansas</v>
      </c>
      <c r="AK29" s="58">
        <f>Games!L27</f>
        <v>0.91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0.94</v>
      </c>
      <c r="F31" s="276">
        <f>IF($AU$5=TRUE,F23+1,"")</f>
        <v>36</v>
      </c>
      <c r="G31" s="14"/>
      <c r="H31" s="49"/>
      <c r="I31" s="265" t="str">
        <f>Games!O41</f>
        <v>Charleston Southern</v>
      </c>
      <c r="J31" s="259" t="e" vm="79">
        <f>_xlfn.XLOOKUP(I31,Teams!$C:$C,Teams!$E:$E,,0,1)</f>
        <v>#VALUE!</v>
      </c>
      <c r="K31" s="261">
        <f>Games!N56</f>
        <v>0.75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0.91</v>
      </c>
      <c r="AF31" s="249" t="e" vm="109">
        <f>_xlfn.XLOOKUP(AG31,Teams!$C:$C,Teams!$E:$E,,0,1)</f>
        <v>#VALUE!</v>
      </c>
      <c r="AG31" s="256" t="str">
        <f>Games!O49</f>
        <v>Arkansas</v>
      </c>
      <c r="AH31" s="55"/>
      <c r="AI31" s="51"/>
      <c r="AJ31" s="276">
        <f>IF($AU$5=TRUE,AJ23+1,"")</f>
        <v>44</v>
      </c>
      <c r="AK31" s="59">
        <f>Games!N27</f>
        <v>0.09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American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0.9</v>
      </c>
      <c r="F33" s="256" t="str">
        <f>Games!O12</f>
        <v>Charleston Southern</v>
      </c>
      <c r="G33" s="259" t="e" vm="79">
        <f>_xlfn.XLOOKUP(F33,Teams!$C:$C,Teams!$E:$E,,0,1)</f>
        <v>#VALUE!</v>
      </c>
      <c r="H33" s="261">
        <f>Games!N41</f>
        <v>0.99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0.12</v>
      </c>
      <c r="AI33" s="249" t="e" vm="111">
        <f>_xlfn.XLOOKUP(AJ33,Teams!$C:$C,Teams!$E:$E,,0,1)</f>
        <v>#VALUE!</v>
      </c>
      <c r="AJ33" s="256" t="str">
        <f>Games!O28</f>
        <v>Arkansas-Pine Bluff</v>
      </c>
      <c r="AK33" s="58">
        <f>Games!L28</f>
        <v>0.7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0.1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0.3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0.28999999999999998</v>
      </c>
      <c r="F37" s="256" t="str">
        <f>Games!O13</f>
        <v>Austin Peay</v>
      </c>
      <c r="G37" s="259" t="e" vm="82">
        <f>_xlfn.XLOOKUP(F37,Teams!$C:$C,Teams!$E:$E,,0,1)</f>
        <v>#VALUE!</v>
      </c>
      <c r="H37" s="251">
        <f>Games!L42</f>
        <v>0.62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0.24</v>
      </c>
      <c r="AI37" s="249" t="e" vm="114">
        <f>_xlfn.XLOOKUP(AJ37,Teams!$C:$C,Teams!$E:$E,,0,1)</f>
        <v>#VALUE!</v>
      </c>
      <c r="AJ37" s="256" t="str">
        <f>Games!O29</f>
        <v>Chicago State</v>
      </c>
      <c r="AK37" s="58">
        <f>Games!L29</f>
        <v>0.45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0.71</v>
      </c>
      <c r="F39" s="276">
        <f>IF($AU$5=TRUE,F31+1,"")</f>
        <v>37</v>
      </c>
      <c r="G39" s="14"/>
      <c r="H39" s="49"/>
      <c r="I39" s="265" t="str">
        <f>Games!O42</f>
        <v>Auburn</v>
      </c>
      <c r="J39" s="259" t="e" vm="81">
        <f>_xlfn.XLOOKUP(I39,Teams!$C:$C,Teams!$E:$E,,0,1)</f>
        <v>#VALUE!</v>
      </c>
      <c r="K39" s="251">
        <f>Games!L57</f>
        <v>0.61</v>
      </c>
      <c r="L39" s="25"/>
      <c r="M39" s="25"/>
      <c r="O39" s="25"/>
      <c r="P39" s="25"/>
      <c r="Q39" s="50"/>
      <c r="R39" s="25"/>
      <c r="S39" s="25"/>
      <c r="T39" s="273">
        <f>Games!N72</f>
        <v>0.65</v>
      </c>
      <c r="U39" s="267" t="e" vm="105">
        <f>_xlfn.XLOOKUP(V39,Teams!$C:$C,Teams!$E:$E,,0,1)</f>
        <v>#VALUE!</v>
      </c>
      <c r="V39" s="256" t="str">
        <f>Games!O70</f>
        <v>American</v>
      </c>
      <c r="W39" s="256"/>
      <c r="X39" s="269"/>
      <c r="Y39" s="56"/>
      <c r="AA39" s="25"/>
      <c r="AD39" s="25"/>
      <c r="AE39" s="253">
        <f>Games!L61</f>
        <v>0.49</v>
      </c>
      <c r="AF39" s="249" t="e" vm="115">
        <f>_xlfn.XLOOKUP(AG39,Teams!$C:$C,Teams!$E:$E,,0,1)</f>
        <v>#VALUE!</v>
      </c>
      <c r="AG39" s="256" t="str">
        <f>Games!O50</f>
        <v>Cincinnati</v>
      </c>
      <c r="AH39" s="55"/>
      <c r="AI39" s="51"/>
      <c r="AJ39" s="276">
        <f>IF($AU$5=TRUE,AJ31+1,"")</f>
        <v>45</v>
      </c>
      <c r="AK39" s="59">
        <f>Games!N29</f>
        <v>0.55000000000000004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0.34</v>
      </c>
      <c r="F41" s="256" t="str">
        <f>Games!O14</f>
        <v>Baylor</v>
      </c>
      <c r="G41" s="259" t="e" vm="84">
        <f>_xlfn.XLOOKUP(F41,Teams!$C:$C,Teams!$E:$E,,0,1)</f>
        <v>#VALUE!</v>
      </c>
      <c r="H41" s="261">
        <f>Games!N42</f>
        <v>0.38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0.76</v>
      </c>
      <c r="AI41" s="249" t="e" vm="115">
        <f>_xlfn.XLOOKUP(AJ41,Teams!$C:$C,Teams!$E:$E,,0,1)</f>
        <v>#VALUE!</v>
      </c>
      <c r="AJ41" s="256" t="str">
        <f>Games!O30</f>
        <v>Cincinnati</v>
      </c>
      <c r="AK41" s="58">
        <f>Games!L30</f>
        <v>0.67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0.66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Auburn</v>
      </c>
      <c r="M43" s="259" t="e" vm="81">
        <f>_xlfn.XLOOKUP(L43,Teams!$C:$C,Teams!$E:$E,,0,1)</f>
        <v>#VALUE!</v>
      </c>
      <c r="N43" s="251">
        <f>Games!L65</f>
        <v>0.77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0.3</v>
      </c>
      <c r="AC43" s="249" t="e" vm="117">
        <f>_xlfn.XLOOKUP(AD43,Teams!$C:$C,Teams!$E:$E,,0,1)</f>
        <v>#VALUE!</v>
      </c>
      <c r="AD43" s="263" t="str">
        <f>Games!O61</f>
        <v>Cleveland State</v>
      </c>
      <c r="AE43" s="56"/>
      <c r="AG43" s="255">
        <f>IF($AU$5=TRUE,AG27+1,"")</f>
        <v>55</v>
      </c>
      <c r="AJ43" s="24"/>
      <c r="AK43" s="59">
        <f>Games!N30</f>
        <v>0.33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0.57999999999999996</v>
      </c>
      <c r="F45" s="256" t="str">
        <f>Games!O15</f>
        <v>Bellarmine</v>
      </c>
      <c r="G45" s="259" t="e" vm="85">
        <f>_xlfn.XLOOKUP(F45,Teams!$C:$C,Teams!$E:$E,,0,1)</f>
        <v>#VALUE!</v>
      </c>
      <c r="H45" s="251">
        <f>Games!L43</f>
        <v>0.5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0.06</v>
      </c>
      <c r="AI45" s="249" t="e" vm="118">
        <f>_xlfn.XLOOKUP(AJ45,Teams!$C:$C,Teams!$E:$E,,0,1)</f>
        <v>#VALUE!</v>
      </c>
      <c r="AJ45" s="256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0.42</v>
      </c>
      <c r="F47" s="276">
        <f>IF($AU$5=TRUE,F39+1,"")</f>
        <v>38</v>
      </c>
      <c r="G47" s="14"/>
      <c r="H47" s="49"/>
      <c r="I47" s="265" t="str">
        <f>Games!O43</f>
        <v>Bethune-Cookman</v>
      </c>
      <c r="J47" s="259" t="e" vm="87">
        <f>_xlfn.XLOOKUP(I47,Teams!$C:$C,Teams!$E:$E,,0,1)</f>
        <v>#VALUE!</v>
      </c>
      <c r="K47" s="261">
        <f>Games!N57</f>
        <v>0.39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0.51</v>
      </c>
      <c r="AF47" s="249" t="e" vm="119">
        <f>_xlfn.XLOOKUP(AG47,Teams!$C:$C,Teams!$E:$E,,0,1)</f>
        <v>#VALUE!</v>
      </c>
      <c r="AG47" s="256" t="str">
        <f>Games!O51</f>
        <v>Colgate</v>
      </c>
      <c r="AH47" s="55"/>
      <c r="AI47" s="51"/>
      <c r="AJ47" s="276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0.49</v>
      </c>
      <c r="F49" s="256" t="str">
        <f>Games!O16</f>
        <v>Binghamton</v>
      </c>
      <c r="G49" s="259" t="e" vm="88">
        <f>_xlfn.XLOOKUP(F49,Teams!$C:$C,Teams!$E:$E,,0,1)</f>
        <v>#VALUE!</v>
      </c>
      <c r="H49" s="261">
        <f>Games!N43</f>
        <v>0.5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0.94</v>
      </c>
      <c r="AI49" s="249" t="e" vm="119">
        <f>_xlfn.XLOOKUP(AJ49,Teams!$C:$C,Teams!$E:$E,,0,1)</f>
        <v>#VALUE!</v>
      </c>
      <c r="AJ49" s="256" t="str">
        <f>Games!O32</f>
        <v>Colgate</v>
      </c>
      <c r="AK49" s="58">
        <f>Games!L32</f>
        <v>0.84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0.51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Auburn</v>
      </c>
      <c r="P51" s="259" t="e" vm="81">
        <f>_xlfn.XLOOKUP(O51,Teams!$C:$C,Teams!$E:$E,,0,1)</f>
        <v>#VALUE!</v>
      </c>
      <c r="Q51" s="261">
        <f>Games!N69</f>
        <v>0.38</v>
      </c>
      <c r="R51" s="25"/>
      <c r="S51" s="25"/>
      <c r="T51" s="25"/>
      <c r="U51" s="75"/>
      <c r="V51" s="25"/>
      <c r="W51" s="25"/>
      <c r="X51" s="25"/>
      <c r="Y51" s="253">
        <f>Games!N70</f>
        <v>0.42</v>
      </c>
      <c r="Z51" s="249" t="e" vm="121">
        <f>_xlfn.XLOOKUP(AA51,Teams!$C:$C,Teams!$E:$E,,0,1)</f>
        <v>#VALUE!</v>
      </c>
      <c r="AA51" s="256" t="str">
        <f>Games!O67</f>
        <v>Colorado</v>
      </c>
      <c r="AB51" s="56"/>
      <c r="AD51" s="258" t="s">
        <v>14</v>
      </c>
      <c r="AE51" s="258"/>
      <c r="AF51" s="20"/>
      <c r="AG51" s="24"/>
      <c r="AJ51" s="24"/>
      <c r="AK51" s="59">
        <f>Games!N32</f>
        <v>0.16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0.35</v>
      </c>
      <c r="F53" s="256" t="str">
        <f>Games!O17</f>
        <v>Boston College</v>
      </c>
      <c r="G53" s="259" t="e" vm="90">
        <f>_xlfn.XLOOKUP(F53,Teams!$C:$C,Teams!$E:$E,,0,1)</f>
        <v>#VALUE!</v>
      </c>
      <c r="H53" s="251">
        <f>Games!L44</f>
        <v>0.01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0.47</v>
      </c>
      <c r="AI53" s="249" t="e" vm="121">
        <f>_xlfn.XLOOKUP(AJ53,Teams!$C:$C,Teams!$E:$E,,0,1)</f>
        <v>#VALUE!</v>
      </c>
      <c r="AJ53" s="256" t="str">
        <f>Games!O33</f>
        <v>Colorado</v>
      </c>
      <c r="AK53" s="58">
        <f>Games!L33</f>
        <v>0.81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0.65</v>
      </c>
      <c r="F55" s="276">
        <f>IF($AU$5=TRUE,F47+1,"")</f>
        <v>39</v>
      </c>
      <c r="G55" s="14"/>
      <c r="H55" s="49"/>
      <c r="I55" s="265" t="str">
        <f>Games!O44</f>
        <v>Florida</v>
      </c>
      <c r="J55" s="259" t="e" vm="91">
        <f>_xlfn.XLOOKUP(I55,Teams!$C:$C,Teams!$E:$E,,0,1)</f>
        <v>#VALUE!</v>
      </c>
      <c r="K55" s="251">
        <f>Games!L58</f>
        <v>0.18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0.97</v>
      </c>
      <c r="AF55" s="249" t="e" vm="123">
        <f>_xlfn.XLOOKUP(AG55,Teams!$C:$C,Teams!$E:$E,,0,1)</f>
        <v>#VALUE!</v>
      </c>
      <c r="AG55" s="256" t="str">
        <f>Games!O52</f>
        <v>Columbia</v>
      </c>
      <c r="AH55" s="55"/>
      <c r="AI55" s="51"/>
      <c r="AJ55" s="276">
        <f>IF($AU$5=TRUE,AJ47+1,"")</f>
        <v>47</v>
      </c>
      <c r="AK55" s="59">
        <f>Games!N33</f>
        <v>0.19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Florida</v>
      </c>
      <c r="D57" s="70" t="e" vm="91">
        <f>_xlfn.XLOOKUP(C57,Teams!$C:$C,Teams!$E:$E,,0,1)</f>
        <v>#VALUE!</v>
      </c>
      <c r="E57" s="46">
        <f>Games!L18</f>
        <v>0.53</v>
      </c>
      <c r="F57" s="256" t="str">
        <f>Games!O18</f>
        <v>Florida</v>
      </c>
      <c r="G57" s="259" t="e" vm="91">
        <f>_xlfn.XLOOKUP(F57,Teams!$C:$C,Teams!$E:$E,,0,1)</f>
        <v>#VALUE!</v>
      </c>
      <c r="H57" s="261">
        <f>Games!N44</f>
        <v>0.99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0.53</v>
      </c>
      <c r="AI57" s="249" t="e" vm="124">
        <f>_xlfn.XLOOKUP(AJ57,Teams!$C:$C,Teams!$E:$E,,0,1)</f>
        <v>#VALUE!</v>
      </c>
      <c r="AJ57" s="256" t="str">
        <f>Games!O34</f>
        <v>Connecticut</v>
      </c>
      <c r="AK57" s="58">
        <f>Games!L34</f>
        <v>0.49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0.47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Bradley</v>
      </c>
      <c r="M59" s="259" t="e" vm="93">
        <f>_xlfn.XLOOKUP(L59,Teams!$C:$C,Teams!$E:$E,,0,1)</f>
        <v>#VALUE!</v>
      </c>
      <c r="N59" s="261">
        <f>Games!N65</f>
        <v>0.23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0.7</v>
      </c>
      <c r="AC59" s="249" t="e" vm="121">
        <f>_xlfn.XLOOKUP(AD59,Teams!$C:$C,Teams!$E:$E,,0,1)</f>
        <v>#VALUE!</v>
      </c>
      <c r="AD59" s="256" t="str">
        <f>Games!O62</f>
        <v>Colorado</v>
      </c>
      <c r="AE59" s="56"/>
      <c r="AG59" s="255">
        <f>IF($AU$5=TRUE,AG43+1,"")</f>
        <v>56</v>
      </c>
      <c r="AJ59" s="24"/>
      <c r="AK59" s="59">
        <f>Games!N34</f>
        <v>0.51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0.56999999999999995</v>
      </c>
      <c r="F61" s="256" t="str">
        <f>Games!O19</f>
        <v>Bradley</v>
      </c>
      <c r="G61" s="259" t="e" vm="93">
        <f>_xlfn.XLOOKUP(F61,Teams!$C:$C,Teams!$E:$E,,0,1)</f>
        <v>#VALUE!</v>
      </c>
      <c r="H61" s="251">
        <f>Games!L45</f>
        <v>0.7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0.05</v>
      </c>
      <c r="AI61" s="249" t="e" vm="126">
        <f>_xlfn.XLOOKUP(AJ61,Teams!$C:$C,Teams!$E:$E,,0,1)</f>
        <v>#VALUE!</v>
      </c>
      <c r="AJ61" s="256" t="str">
        <f>Games!O35</f>
        <v>Cornell</v>
      </c>
      <c r="AK61" s="58">
        <f>Games!L35</f>
        <v>0.16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0.43</v>
      </c>
      <c r="F63" s="276">
        <f>IF($AU$5=TRUE,F55+1,"")</f>
        <v>40</v>
      </c>
      <c r="G63" s="14"/>
      <c r="H63" s="49"/>
      <c r="I63" s="265" t="str">
        <f>Games!O45</f>
        <v>Bradley</v>
      </c>
      <c r="J63" s="259" t="e" vm="93">
        <f>_xlfn.XLOOKUP(I63,Teams!$C:$C,Teams!$E:$E,,0,1)</f>
        <v>#VALUE!</v>
      </c>
      <c r="K63" s="261">
        <f>Games!N58</f>
        <v>0.82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0.03</v>
      </c>
      <c r="AF63" s="249" t="e" vm="127">
        <f>_xlfn.XLOOKUP(AG63,Teams!$C:$C,Teams!$E:$E,,0,1)</f>
        <v>#VALUE!</v>
      </c>
      <c r="AG63" s="256" t="str">
        <f>Games!O53</f>
        <v>Creighton</v>
      </c>
      <c r="AH63" s="55"/>
      <c r="AI63" s="51"/>
      <c r="AJ63" s="276">
        <f>IF($AU$5=TRUE,AJ55+1,"")</f>
        <v>48</v>
      </c>
      <c r="AK63" s="59">
        <f>Games!N35</f>
        <v>0.84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0.69</v>
      </c>
      <c r="F65" s="256" t="str">
        <f>Games!O20</f>
        <v>Brown</v>
      </c>
      <c r="G65" s="259" t="e" vm="95">
        <f>_xlfn.XLOOKUP(F65,Teams!$C:$C,Teams!$E:$E,,0,1)</f>
        <v>#VALUE!</v>
      </c>
      <c r="H65" s="261">
        <f>Games!N45</f>
        <v>0.3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0.95</v>
      </c>
      <c r="AI65" s="249" t="e" vm="127">
        <f>_xlfn.XLOOKUP(AJ65,Teams!$C:$C,Teams!$E:$E,,0,1)</f>
        <v>#VALUE!</v>
      </c>
      <c r="AJ65" s="256" t="str">
        <f>Games!O36</f>
        <v>Creighton</v>
      </c>
      <c r="AK65" s="58">
        <f>Games!L36</f>
        <v>0.57999999999999996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0.31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0.42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2026-03-01T16:28:15Z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