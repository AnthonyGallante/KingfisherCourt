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DE2EC327-8489-4A39-B402-CA8D7940460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<sst xmlns="http://schemas.openxmlformats.org/spreadsheetml/2006/main" count="1526" uniqueCount="1194">
  <si>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</si>
  <si>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</si>
  <si>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</si>
  <si>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</si>
  <si>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</si>
  <si>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</si>
  <si>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</si>
  <si>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</si>
  <si>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</si>
  <si>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</si>
  <si>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</si>
  <si>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</si>
  <si>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</si>
  <si>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</si>
  <si>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</si>
  <si>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</si>
  <si>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</si>
  <si>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</si>
  <si>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</si>
  <si>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</si>
  <si>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</si>
  <si>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</si>
  <si>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</si>
  <si>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</si>
  <si>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</si>
  <si>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</si>
  <si>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</si>
  <si>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</si>
  <si>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</si>
  <si>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</si>
  <si>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</si>
  <si>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</si>
  <si>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</si>
  <si>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</si>
  <si>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</si>
  <si>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</si>
  <si>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</si>
  <si>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</si>
  <si>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</si>
  <si>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</si>
  <si>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</si>
  <si>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</si>
  <si>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</si>
  <si>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</si>
  <si>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</si>
  <si>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</si>
  <si>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</si>
  <si>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</si>
  <si>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</si>
  <si>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</si>
  <si>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</si>
  <si>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</si>
  <si>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</si>
  <si>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</si>
  <si>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</si>
  <si>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</si>
  <si>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</si>
  <si>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</si>
  <si>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</si>
  <si>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</si>
  <si>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</si>
  <si>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</si>
  <si>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</si>
  <si>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</si>
  <si>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</si>
  <si>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</si>
  <si>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</si>
  <si>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</si>
  <si>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</si>
  <si>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</si>
  <si>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</si>
  <si>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</si>
  <si>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</si>
  <si>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</si>
  <si>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</si>
  <si>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</si>
  <si>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</si>
  <si>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</si>
  <si>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</si>
  <si>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</si>
  <si>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</si>
  <si>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</si>
  <si>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</si>
  <si>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</si>
  <si>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</si>
  <si>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</si>
  <si>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</si>
  <si>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</si>
  <si>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</si>
  <si>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</si>
  <si>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</si>
  <si>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</si>
  <si>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</si>
  <si>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</si>
  <si>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</si>
  <si>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</si>
  <si>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</si>
  <si>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</si>
  <si>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</si>
  <si>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</si>
  <si>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</si>
  <si>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</si>
  <si>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</si>
  <si>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</si>
  <si>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</si>
  <si>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</si>
  <si>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</si>
  <si>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</si>
  <si>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</si>
  <si>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</si>
  <si>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</si>
  <si>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</si>
  <si>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</si>
  <si>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</si>
  <si>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</si>
  <si>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</si>
  <si>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</si>
  <si>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</si>
  <si>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</si>
  <si>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</si>
  <si>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</si>
  <si>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</si>
  <si>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</si>
  <si>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</si>
  <si>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</si>
  <si>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</si>
  <si>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</si>
  <si>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</si>
  <si>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</si>
  <si>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</si>
  <si>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</si>
  <si>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</si>
  <si>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</si>
  <si>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</si>
  <si>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</si>
  <si>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</si>
  <si>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</si>
  <si>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</si>
  <si>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</si>
  <si>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</si>
  <si>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</si>
  <si>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</si>
  <si>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</si>
  <si>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</si>
  <si>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</si>
  <si>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</si>
  <si>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</si>
  <si>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</si>
  <si>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</si>
  <si>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</si>
  <si>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</si>
  <si>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</si>
  <si>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</si>
  <si>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</si>
  <si>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</si>
  <si>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</si>
  <si>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</si>
  <si>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</si>
  <si>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</si>
  <si>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</si>
  <si>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</si>
  <si>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</si>
  <si>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</si>
  <si>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</si>
  <si>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</si>
  <si>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</si>
  <si>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</si>
  <si>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</si>
  <si>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</si>
  <si>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</si>
  <si>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</si>
  <si>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</si>
  <si>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</si>
  <si>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</si>
  <si>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</si>
  <si>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</si>
  <si>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</si>
  <si>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</si>
  <si>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</si>
  <si>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</si>
  <si>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</si>
  <si>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</si>
  <si>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</si>
  <si>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</si>
  <si>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</si>
  <si>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</si>
  <si>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</si>
  <si>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</si>
  <si>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</si>
  <si>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</si>
  <si>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</si>
  <si>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</si>
  <si>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</si>
  <si>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</si>
  <si>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</si>
  <si>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</si>
  <si>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</si>
  <si>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</si>
  <si>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</si>
  <si>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</si>
  <si>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</si>
  <si>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</si>
  <si>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</si>
  <si>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</si>
  <si>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</si>
  <si>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</si>
  <si>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</si>
  <si>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</si>
  <si>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</si>
  <si>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</si>
  <si>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</si>
  <si>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</si>
  <si>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</si>
  <si>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</si>
  <si>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</si>
  <si>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</si>
  <si>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</si>
  <si>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</si>
  <si>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</si>
  <si>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</si>
  <si>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</si>
  <si>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</si>
  <si>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</si>
  <si>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</si>
  <si>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</si>
  <si>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</si>
  <si>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</si>
  <si>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</si>
  <si>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</si>
  <si>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</si>
  <si>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</si>
  <si>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</si>
  <si>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</si>
  <si>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</si>
  <si>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</si>
  <si>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</si>
  <si>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</si>
  <si>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</si>
  <si>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</si>
  <si>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</si>
  <si>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</si>
  <si>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</si>
  <si>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</si>
  <si>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</si>
  <si>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</si>
  <si>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</si>
  <si>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</si>
  <si>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</si>
  <si>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</si>
  <si>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</si>
  <si>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</si>
  <si>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</si>
  <si>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</si>
  <si>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</si>
  <si>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</si>
  <si>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</si>
  <si>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</si>
  <si>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</si>
  <si>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</si>
  <si>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</si>
  <si>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</si>
  <si>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</si>
  <si>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</si>
  <si>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</si>
  <si>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</si>
  <si>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</si>
  <si>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</si>
  <si>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</si>
  <si>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</si>
  <si>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</si>
  <si>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</si>
  <si>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</si>
  <si>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</si>
  <si>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</si>
  <si>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</si>
  <si>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</si>
  <si>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</si>
  <si>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</si>
  <si>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</si>
  <si>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</si>
  <si>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</si>
  <si>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</si>
  <si>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</si>
  <si>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</si>
  <si>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</si>
  <si>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</si>
  <si>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</si>
  <si>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</si>
  <si>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</si>
  <si>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</si>
  <si>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</si>
  <si>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</si>
  <si>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</si>
  <si>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</si>
  <si>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</si>
  <si>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</si>
  <si>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</si>
  <si>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</si>
  <si>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</si>
  <si>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</si>
  <si>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</si>
  <si>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</si>
  <si>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</si>
  <si>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</si>
  <si>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</si>
  <si>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</si>
  <si>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</si>
  <si>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</si>
  <si>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</si>
  <si>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</si>
  <si>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</si>
  <si>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</si>
  <si>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</si>
  <si>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</si>
  <si>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</si>
  <si>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</si>
  <si>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</si>
  <si>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</si>
  <si>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</si>
  <si>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</si>
  <si>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</si>
  <si>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</si>
  <si>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</si>
  <si>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</si>
  <si>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</si>
  <si>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</si>
  <si>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</si>
  <si>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</si>
  <si>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</si>
  <si>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</si>
  <si>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</si>
  <si>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</si>
  <si>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</si>
  <si>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</si>
  <si>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</si>
  <si>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</si>
  <si>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</si>
  <si>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</si>
  <si>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</si>
  <si>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</si>
  <si>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</si>
  <si>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</si>
  <si>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</si>
  <si>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</si>
  <si>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</si>
  <si>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</si>
  <si>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</si>
  <si>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</si>
  <si>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</si>
  <si>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</si>
  <si>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</si>
  <si>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</si>
  <si>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</si>
  <si>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</si>
  <si>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</si>
  <si>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</si>
  <si>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</si>
  <si>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</si>
  <si>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</si>
  <si>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</si>
  <si>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</si>
  <si>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</si>
  <si>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</si>
  <si>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</si>
  <si>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</si>
  <si>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</si>
  <si>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</si>
  <si>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</si>
  <si>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</si>
  <si>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</si>
  <si>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</si>
  <si>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</si>
  <si>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</si>
  <si>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</si>
  <si>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</si>
  <si>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</si>
  <si>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</si>
  <si>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</si>
  <si>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</si>
  <si>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</si>
  <si>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</si>
  <si>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</si>
  <si>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</si>
  <si>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</si>
  <si>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</si>
  <si>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</si>
  <si>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</si>
  <si>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</si>
  <si>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</si>
  <si>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</si>
  <si>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</si>
  <si>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</si>
  <si>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</si>
  <si>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</si>
  <si>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</si>
  <si>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</si>
  <si>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</si>
  <si>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</si>
  <si>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</si>
  <si>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</si>
  <si>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</si>
  <si>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</si>
  <si>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</si>
  <si>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</si>
  <si>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</si>
  <si>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</si>
  <si>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</si>
  <si>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</si>
  <si>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</si>
  <si>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</si>
  <si>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</si>
  <si>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</si>
  <si>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</si>
  <si>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</si>
  <si>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</si>
  <si>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</si>
  <si>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</si>
  <si>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</si>
  <si>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</si>
  <si>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</si>
  <si>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</si>
  <si>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</si>
  <si>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</si>
  <si>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</si>
  <si>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</si>
  <si>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</si>
  <si>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</si>
  <si>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</si>
  <si>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</si>
  <si>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</si>
  <si>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</si>
  <si>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</si>
  <si>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</si>
  <si>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</si>
  <si>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</si>
  <si>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</si>
  <si>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</si>
  <si>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</si>
  <si>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</si>
  <si>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</si>
  <si>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</si>
  <si>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</si>
  <si>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</si>
  <si>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</si>
  <si>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</si>
  <si>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</si>
  <si>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</si>
  <si>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</si>
  <si>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</si>
  <si>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</si>
  <si>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</si>
  <si>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</si>
  <si>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</si>
  <si>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</si>
  <si>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</si>
  <si>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</si>
  <si>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</si>
  <si>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</si>
  <si>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</si>
  <si>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</si>
  <si>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</si>
  <si>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</si>
  <si>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</si>
  <si>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</si>
  <si>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</si>
  <si>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</si>
  <si>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</si>
  <si>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</si>
  <si>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</si>
  <si>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</si>
  <si>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</si>
  <si>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</si>
  <si>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</si>
  <si>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</si>
  <si>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</si>
  <si>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</si>
  <si>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</si>
  <si>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</si>
  <si>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</si>
  <si>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</si>
  <si>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</si>
  <si>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</si>
  <si>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</si>
  <si>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</si>
  <si>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</si>
  <si>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</si>
  <si>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</si>
  <si>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</si>
  <si>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</si>
  <si>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</si>
  <si>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</si>
  <si>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</si>
  <si>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</si>
  <si>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</si>
  <si>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</si>
  <si>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</si>
  <si>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</si>
  <si>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</si>
  <si>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</si>
  <si>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</si>
  <si>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</si>
  <si>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</si>
  <si>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</si>
  <si>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</si>
  <si>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</si>
  <si>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</si>
  <si>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</si>
  <si>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</si>
  <si>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</si>
  <si>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</si>
  <si>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</si>
  <si>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</si>
  <si>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</si>
  <si>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</si>
  <si>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</si>
  <si>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</si>
  <si>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</si>
  <si>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</si>
  <si>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</si>
  <si>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</si>
  <si>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</si>
  <si>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</si>
  <si>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</si>
  <si>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</si>
  <si>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</si>
  <si>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</si>
  <si>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</si>
  <si>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</si>
  <si>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</si>
  <si>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</si>
  <si>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</si>
  <si>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</si>
  <si>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</si>
  <si>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</si>
  <si>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</si>
  <si>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</si>
  <si>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</si>
  <si>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</si>
  <si>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</si>
  <si>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</si>
  <si>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</si>
  <si>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</si>
  <si>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</si>
  <si>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</si>
  <si>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</si>
  <si>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</si>
  <si>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</si>
  <si>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</si>
  <si>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</si>
  <si>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</si>
  <si>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</si>
  <si>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</si>
  <si>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</si>
  <si>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</si>
  <si>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</si>
  <si>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</si>
  <si>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</si>
  <si>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</si>
  <si>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</si>
  <si>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</si>
  <si>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</si>
  <si>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</si>
  <si>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</si>
  <si>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</si>
  <si>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</si>
  <si>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</si>
  <si>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</si>
  <si>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</si>
  <si>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</si>
  <si>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</si>
  <si>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</si>
  <si>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</si>
  <si>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</si>
  <si>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</si>
  <si>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</si>
  <si>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</si>
  <si>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</si>
  <si>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</si>
  <si>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</si>
  <si>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</si>
  <si>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</si>
  <si>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</si>
  <si>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</si>
  <si>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</si>
  <si>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</si>
  <si>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</si>
  <si>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</si>
  <si>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</si>
  <si>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</si>
  <si>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</si>
  <si>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</si>
  <si>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</si>
  <si>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</si>
  <si>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</si>
  <si>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</si>
  <si>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</si>
  <si>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</si>
  <si>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</si>
  <si>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</si>
  <si>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</si>
  <si>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</si>
  <si>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</si>
  <si>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</si>
  <si>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</si>
  <si>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</si>
  <si>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</si>
  <si>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</si>
  <si>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</si>
  <si>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</si>
  <si>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</si>
  <si>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</si>
  <si>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</si>
  <si>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</si>
  <si>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</si>
  <si>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</si>
  <si>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</si>
  <si>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</si>
  <si>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</si>
  <si>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</si>
  <si>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</si>
  <si>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</si>
  <si>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</si>
  <si>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</si>
  <si>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</si>
  <si>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</si>
  <si>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</si>
  <si>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</si>
  <si>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</si>
  <si>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</si>
  <si>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</si>
  <si>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</si>
  <si>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</si>
  <si>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</si>
  <si>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</si>
  <si>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</si>
  <si>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</si>
  <si>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</si>
  <si>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</si>
  <si>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</si>
  <si>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</si>
  <si>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</si>
  <si>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</si>
  <si>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</si>
  <si>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</si>
  <si>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</si>
  <si>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</si>
  <si>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</si>
  <si>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</si>
  <si>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</si>
  <si>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</si>
  <si>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</si>
  <si>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</si>
  <si>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</si>
  <si>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</si>
  <si>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</si>
  <si>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</si>
  <si>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</si>
  <si>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</si>
  <si>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</si>
  <si>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</si>
  <si>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</si>
  <si>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</si>
  <si>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</si>
  <si>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</si>
  <si>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</si>
  <si>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</si>
  <si>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</si>
  <si>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</si>
  <si>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</si>
  <si>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</si>
  <si>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</si>
  <si>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</si>
  <si>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</si>
  <si>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</si>
  <si>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</si>
  <si>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</si>
  <si>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</si>
  <si>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</si>
  <si>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</si>
  <si>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</si>
  <si>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</si>
  <si>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</si>
  <si>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</si>
  <si>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</si>
  <si>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</si>
  <si>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</si>
  <si>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</si>
  <si>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</si>
  <si>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</si>
  <si>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</si>
  <si>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</si>
  <si>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</si>
  <si>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</si>
  <si>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</si>
  <si>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</si>
  <si>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</si>
  <si>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</si>
  <si>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</si>
  <si>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</si>
  <si>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</si>
  <si>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</si>
  <si>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</si>
  <si>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</si>
  <si>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</si>
  <si>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</si>
  <si>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</si>
  <si>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</si>
  <si>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</si>
  <si>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</si>
  <si>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</si>
  <si>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</si>
  <si>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</si>
  <si>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</si>
  <si>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</si>
  <si>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</si>
  <si>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</si>
  <si>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</si>
  <si>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</si>
  <si>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</si>
  <si>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</si>
  <si>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</si>
  <si>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</si>
  <si>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</si>
  <si>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</si>
  <si>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</si>
  <si>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</si>
  <si>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</si>
  <si>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</si>
  <si>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</si>
  <si>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</si>
  <si>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</si>
  <si>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</si>
  <si>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</si>
  <si>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</si>
  <si>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</si>
  <si>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</si>
  <si>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</si>
  <si>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</si>
  <si>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</si>
  <si>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</si>
  <si>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</si>
  <si>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</si>
  <si>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</si>
  <si>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</si>
  <si>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</si>
  <si>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</si>
  <si>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</si>
  <si>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</si>
  <si>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</si>
  <si>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</si>
  <si>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</si>
  <si>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</si>
  <si>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</si>
  <si>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</si>
  <si>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</si>
  <si>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</si>
  <si>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</si>
  <si>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</si>
  <si>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</si>
  <si>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</si>
  <si>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</si>
  <si>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</si>
  <si>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</si>
  <si>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</si>
  <si>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</si>
  <si>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</si>
  <si>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</si>
  <si>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</si>
  <si>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</si>
  <si>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</si>
  <si>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</si>
  <si>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</si>
  <si>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</si>
  <si>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</si>
  <si>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</si>
  <si>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</si>
  <si>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</si>
  <si>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</si>
  <si>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</si>
  <si>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</si>
  <si>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</si>
  <si>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</si>
  <si>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</si>
  <si>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</si>
  <si>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</si>
  <si>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</si>
  <si>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</si>
  <si>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</si>
  <si>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</si>
  <si>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</si>
  <si>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</si>
  <si>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</si>
  <si>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</si>
  <si>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</si>
  <si>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</si>
  <si>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</si>
  <si>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</si>
  <si>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</si>
  <si>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</si>
  <si>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</si>
  <si>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</si>
  <si>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</si>
  <si>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</si>
  <si>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</si>
  <si>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</si>
  <si>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</si>
  <si>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</si>
  <si>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</si>
  <si>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</si>
  <si>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</si>
  <si>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</si>
  <si>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</si>
  <si>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</si>
  <si>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</si>
  <si>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</si>
  <si>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</si>
  <si>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</si>
  <si>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</si>
  <si>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</si>
  <si>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</si>
  <si>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</si>
  <si>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</si>
  <si>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</si>
  <si>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</si>
  <si>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</si>
  <si>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</si>
  <si>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</si>
  <si>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</si>
  <si>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</si>
  <si>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</si>
  <si>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</si>
  <si>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</si>
  <si>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</si>
  <si>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</si>
  <si>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</si>
  <si>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</si>
  <si>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</si>
  <si>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</si>
  <si>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</si>
  <si>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</si>
  <si>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</si>
  <si>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</si>
  <si>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</si>
  <si>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</si>
  <si>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</si>
  <si>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</si>
  <si>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</si>
  <si>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</si>
  <si>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</si>
  <si>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</si>
  <si>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</si>
  <si>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</si>
  <si>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</si>
  <si>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</si>
  <si>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</si>
  <si>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</si>
  <si>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</si>
  <si>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</si>
  <si>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</si>
  <si>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</si>
  <si>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</si>
  <si>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</si>
  <si>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</si>
  <si>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</si>
  <si>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</si>
  <si>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</si>
  <si>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</si>
  <si>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</si>
  <si>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</si>
  <si>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</si>
  <si>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</si>
  <si>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</si>
  <si>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</si>
  <si>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</si>
  <si>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</si>
  <si>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</si>
  <si>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</si>
  <si>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</si>
  <si>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</si>
  <si>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</si>
  <si>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</si>
  <si>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</si>
  <si>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</si>
  <si>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</si>
  <si>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</si>
  <si>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</si>
  <si>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</si>
  <si>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</si>
  <si>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</si>
  <si>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</si>
  <si>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</si>
  <si>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</si>
  <si>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</si>
  <si>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</si>
  <si>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</si>
  <si>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</si>
  <si>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</si>
  <si>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</si>
  <si>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</si>
  <si>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</si>
  <si>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</si>
  <si>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</si>
  <si>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</si>
  <si>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</si>
  <si>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</si>
  <si>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</si>
  <si>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</si>
  <si>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</si>
  <si>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</si>
  <si>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</si>
  <si>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</si>
  <si>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</si>
  <si>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</si>
  <si>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</si>
  <si>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</si>
  <si>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</si>
  <si>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</si>
  <si>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</si>
  <si>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</si>
  <si>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</si>
  <si>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</si>
  <si>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</si>
  <si>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</si>
  <si>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</si>
  <si>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</si>
  <si>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</si>
  <si>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</si>
  <si>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</si>
  <si>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</si>
  <si>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</si>
  <si>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</si>
  <si>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</si>
  <si>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</si>
  <si>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</si>
  <si>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</si>
  <si>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</si>
  <si>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</si>
  <si>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</si>
  <si>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</si>
  <si>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</si>
  <si>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</si>
  <si>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</si>
  <si>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</si>
  <si>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</si>
  <si>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</si>
  <si>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</si>
  <si>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</si>
  <si>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</si>
  <si>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</si>
  <si>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</si>
  <si>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</si>
  <si>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</si>
  <si>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</si>
  <si>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</si>
  <si>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</si>
  <si>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</si>
  <si>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</si>
  <si>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</si>
  <si>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</si>
  <si>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</si>
  <si>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</si>
  <si>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</si>
  <si>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</si>
  <si>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</si>
  <si>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</si>
  <si>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</si>
  <si>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</si>
  <si>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</si>
  <si>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</si>
  <si>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</si>
  <si>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</si>
  <si>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</si>
  <si>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</si>
  <si>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</si>
  <si>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</si>
  <si>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</si>
  <si>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</si>
  <si>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</si>
  <si>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</si>
  <si>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</si>
  <si>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</si>
  <si>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</si>
  <si>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</si>
  <si>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</si>
  <si>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</si>
  <si>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</si>
  <si>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</si>
  <si>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</si>
  <si>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</si>
  <si>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</si>
  <si>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</si>
  <si>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</si>
  <si>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</si>
  <si>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</si>
  <si>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</si>
  <si>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</si>
  <si>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</si>
  <si>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</si>
  <si>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</si>
  <si>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</si>
  <si>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</si>
  <si>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</si>
  <si>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</si>
  <si>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</si>
  <si>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</si>
  <si>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</si>
  <si>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</si>
  <si>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</si>
  <si>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</si>
  <si>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</si>
  <si>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</si>
  <si>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</si>
  <si>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</si>
  <si>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</si>
  <si>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</si>
  <si>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</si>
  <si>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</si>
  <si>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</si>
  <si>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</si>
  <si>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</si>
  <si>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</si>
  <si>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</si>
  <si>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</si>
  <si>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</si>
  <si>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</si>
  <si>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</si>
  <si>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</si>
  <si>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</si>
  <si>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</si>
  <si>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</si>
  <si>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</si>
  <si>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</si>
  <si>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</si>
  <si>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</si>
  <si>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</si>
  <si>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</si>
  <si>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</si>
  <si>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</si>
  <si>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</si>
  <si>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</si>
  <si>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</si>
  <si>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</si>
  <si>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</si>
  <si>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</si>
  <si>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</si>
  <si>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</si>
  <si>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</si>
  <si>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</si>
  <si>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</si>
  <si>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</si>
  <si>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</si>
  <si>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</si>
  <si>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</si>
  <si>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</si>
  <si>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</si>
  <si>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</si>
  <si>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</si>
  <si>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</si>
  <si>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</si>
  <si>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</si>
  <si>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</si>
  <si>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</si>
  <si>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</si>
  <si>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</si>
  <si>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</si>
  <si>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</si>
  <si>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</si>
  <si>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</si>
  <si>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</si>
  <si>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</si>
  <si>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</si>
  <si>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</si>
  <si>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</si>
  <si>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</si>
  <si>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</si>
  <si>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</si>
  <si>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</si>
  <si>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</si>
  <si>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</si>
  <si>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</si>
  <si>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</si>
  <si>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</si>
  <si>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</si>
  <si>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</si>
  <si>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</si>
  <si>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</si>
  <si>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</si>
  <si>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</si>
  <si>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</si>
  <si>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</si>
  <si>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</si>
  <si>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</si>
  <si>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</si>
  <si>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</si>
  <si>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</si>
  <si>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</si>
  <si>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</si>
  <si>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</si>
  <si>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</si>
  <si>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</si>
  <si>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</si>
  <si>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</si>
  <si>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</si>
  <si>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</si>
  <si>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</si>
  <si>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</si>
  <si>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</si>
  <si>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</si>
  <si>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</si>
  <si>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</si>
  <si>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</si>
  <si>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</si>
  <si>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</si>
  <si>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</si>
  <si>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</si>
  <si>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</si>
  <si>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</si>
  <si>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</si>
  <si>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</si>
  <si>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</si>
  <si>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</si>
  <si>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</si>
  <si>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</si>
  <si>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</si>
  <si>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</si>
  <si>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</si>
  <si>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</si>
  <si>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</si>
  <si>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</si>
  <si>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</si>
  <si>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</si>
  <si>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</si>
  <si>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</si>
  <si>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UPSET! Normal winner is Cal State Fullerton</t>
  </si>
  <si>
    <t>Cal State Northridge: 260 - 241 :California</t>
  </si>
  <si>
    <t>California Baptist: 178 - 323 :Campbell</t>
  </si>
  <si>
    <t>Canisius: 19 - 482 :Central Arkansas</t>
  </si>
  <si>
    <t>UPSET! Normal winner is Central Michigan</t>
  </si>
  <si>
    <t>Charleston Southern: 278 - 223 :Charlotte</t>
  </si>
  <si>
    <t>UPSET! Normal winner is Auburn</t>
  </si>
  <si>
    <t>Ball State: 69 - 432 :Baylor</t>
  </si>
  <si>
    <t>Bellarmine: 79 - 422 :Belmont</t>
  </si>
  <si>
    <t>UPSET! Normal winner is Bethune-Cookman</t>
  </si>
  <si>
    <t>UPSET! Normal winner is Boise State</t>
  </si>
  <si>
    <t>Drake: 4 - 497 :Duke</t>
  </si>
  <si>
    <t>UPSET! Normal winner is Brigham Young</t>
  </si>
  <si>
    <t>Brown: 301 - 200 :Bryant</t>
  </si>
  <si>
    <t>UPSET! Normal winner is Abilene Christian</t>
  </si>
  <si>
    <t>Akron: 154 - 347 :Alabama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</si>
  <si>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</si>
  <si>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</si>
  <si>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</si>
  <si>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</si>
  <si>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Arkansas: 453 - 48 :Arkansas State</t>
  </si>
  <si>
    <t>UPSET! Normal winner is Arkansas-Pine Bluff</t>
  </si>
  <si>
    <t>Chattanooga: 375 - 126 :Chicago State</t>
  </si>
  <si>
    <t>Cincinnati: 303 - 198 :Clemson</t>
  </si>
  <si>
    <t>Cleveland State: 59 - 442 :Coastal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</si>
  <si>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</si>
  <si>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</si>
  <si>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</si>
  <si>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</si>
  <si>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</si>
  <si>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Buffalo: 246 - 255 :Butler</t>
  </si>
  <si>
    <t>Cal State Bakersfield: 30 - 471 :Cal State Northridge</t>
  </si>
  <si>
    <t>Campbell: 164 - 337 :Central Arkansas</t>
  </si>
  <si>
    <t>Central Connecticut State: 149 - 352 :Charleston Southern</t>
  </si>
  <si>
    <t>Austin Peay: 212 - 289 :Baylor</t>
  </si>
  <si>
    <t>Belmont: 455 - 46 :Binghamton</t>
  </si>
  <si>
    <t>Boston College: 4 - 497 :Duke</t>
  </si>
  <si>
    <t>Bradley: 424 - 77 :Brown</t>
  </si>
  <si>
    <t>Air Force: 0 - 501 :Alabama</t>
  </si>
  <si>
    <t>UPSET! Normal winner is Albany (NY)</t>
  </si>
  <si>
    <t>Appalachian State: 23 - 478 :Arizona</t>
  </si>
  <si>
    <t>Arkansas: 496 - 5 :Army</t>
  </si>
  <si>
    <t>Chattanooga: 58 - 443 :Cincinnati</t>
  </si>
  <si>
    <t>UPSET! Normal winner is College of Charleston</t>
  </si>
  <si>
    <t>Colorado: 91 - 410 :Connecticut</t>
  </si>
  <si>
    <t>UPSET! Normal winner is Creighton</t>
  </si>
  <si>
    <t>Butler: 221 - 280 :Cal State Northridge</t>
  </si>
  <si>
    <t>Central Arkansas: 416 - 85 :Charleston Southern</t>
  </si>
  <si>
    <t>Baylor: 298 - 203 :Belmont</t>
  </si>
  <si>
    <t>Duke: 463 - 38 :Bradley</t>
  </si>
  <si>
    <t>Alabama: 494 - 7 :Alabama A&amp;M</t>
  </si>
  <si>
    <t>Arizona: 413 - 88 :Arkansas</t>
  </si>
  <si>
    <t>Cincinnati: 285 - 216 :Coastal Carolina</t>
  </si>
  <si>
    <t>Connecticut: 461 - 40 :Cornell</t>
  </si>
  <si>
    <t>Cal State Northridge: 182 - 319 :Central Arkansas</t>
  </si>
  <si>
    <t>UPSET! Normal winner is Duke</t>
  </si>
  <si>
    <t>UPSET! Normal winner is Arizona</t>
  </si>
  <si>
    <t>Cincinnati: 167 - 334 :Connecticut</t>
  </si>
  <si>
    <t>Baylor: 261 - 240 :Central Arkansas</t>
  </si>
  <si>
    <t>Alabama: 339 - 162 :Connecticut</t>
  </si>
  <si>
    <t>Alabama: 414 - 87 :Baylor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</si>
</sst>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Fullerton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0.8</v>
      </c>
      <c r="M7" s="82" t="e" vm="70">
        <f>_xlfn.XLOOKUP(I7,Teams!$C:$C,Teams!$E:$E,,0,1)</f>
        <v>#VALUE!</v>
      </c>
      <c r="N7" s="82">
        <v>0.2</v>
      </c>
      <c r="O7" s="189" t="str">
        <f t="shared" si="3"/>
        <v>Cal State Bakersfield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Michigan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0.57999999999999996</v>
      </c>
      <c r="M11" s="82" t="e" vm="78">
        <f>_xlfn.XLOOKUP(I11,Teams!$C:$C,Teams!$E:$E,,0,1)</f>
        <v>#VALUE!</v>
      </c>
      <c r="N11" s="82">
        <v>0.42</v>
      </c>
      <c r="O11" s="189" t="str">
        <f t="shared" si="3"/>
        <v>Central Connecticut State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Auburn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0.46</v>
      </c>
      <c r="M13" s="115" t="e" vm="82">
        <f>_xlfn.XLOOKUP(I13,Teams!$C:$C,Teams!$E:$E,,0,1)</f>
        <v>#VALUE!</v>
      </c>
      <c r="N13" s="115">
        <v>0.54</v>
      </c>
      <c r="O13" s="191" t="str">
        <f t="shared" si="3"/>
        <v>Austin Peay</v>
      </c>
      <c r="P13" s="206" t="e" vm="82">
        <f>_xlfn.XLOOKUP(O13,Teams!$C:$C,Teams!$E:$E,,0,1)</f>
        <v>#VALUE!</v>
      </c>
      <c r="Q13" s="225" t="s">
        <v>1139</v>
      </c>
      <c r="R13" s="6" t="b">
        <f t="shared" si="5"/>
        <v>1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Bethune-Cookman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0.17</v>
      </c>
      <c r="M16" s="83" t="e" vm="88">
        <f>_xlfn.XLOOKUP(I16,Teams!$C:$C,Teams!$E:$E,,0,1)</f>
        <v>#VALUE!</v>
      </c>
      <c r="N16" s="83">
        <v>0.83</v>
      </c>
      <c r="O16" s="192" t="str">
        <f t="shared" si="3"/>
        <v>Binghamton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0.18</v>
      </c>
      <c r="M17" s="83" t="e" vm="90">
        <f>_xlfn.XLOOKUP(I17,Teams!$C:$C,Teams!$E:$E,,0,1)</f>
        <v>#VALUE!</v>
      </c>
      <c r="N17" s="83">
        <v>0.82</v>
      </c>
      <c r="O17" s="192" t="str">
        <f t="shared" si="3"/>
        <v>Boston College</v>
      </c>
      <c r="P17" s="207" t="e" vm="90">
        <f>_xlfn.XLOOKUP(O17,Teams!$C:$C,Teams!$E:$E,,0,1)</f>
        <v>#VALUE!</v>
      </c>
      <c r="Q17" s="226" t="s">
        <v>1143</v>
      </c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Brigham Young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0.83</v>
      </c>
      <c r="M19" s="83" t="e" vm="94">
        <f>_xlfn.XLOOKUP(I19,Teams!$C:$C,Teams!$E:$E,,0,1)</f>
        <v>#VALUE!</v>
      </c>
      <c r="N19" s="83">
        <v>0.17</v>
      </c>
      <c r="O19" s="192" t="str">
        <f t="shared" si="3"/>
        <v>Bradley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Abilene Christian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0.12</v>
      </c>
      <c r="M21" s="97" t="e" vm="98">
        <f>_xlfn.XLOOKUP(I21,Teams!$C:$C,Teams!$E:$E,,0,1)</f>
        <v>#VALUE!</v>
      </c>
      <c r="N21" s="97">
        <v>0.88</v>
      </c>
      <c r="O21" s="188" t="str">
        <f t="shared" si="3"/>
        <v>Air Force</v>
      </c>
      <c r="P21" s="203" t="e" vm="98">
        <f>_xlfn.XLOOKUP(O21,Teams!$C:$C,Teams!$E:$E,,0,1)</f>
        <v>#VALUE!</v>
      </c>
      <c r="Q21" s="228" t="s">
        <v>1147</v>
      </c>
      <c r="R21" s="6" t="b">
        <f t="shared" si="5"/>
        <v>1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Arkansas-Pine Bluff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0.26</v>
      </c>
      <c r="M28" s="109" t="e" vm="112">
        <f>_xlfn.XLOOKUP(I28,Teams!$C:$C,Teams!$E:$E,,0,1)</f>
        <v>#VALUE!</v>
      </c>
      <c r="N28" s="109">
        <v>0.74</v>
      </c>
      <c r="O28" s="190" t="str">
        <f t="shared" si="3"/>
        <v>Army</v>
      </c>
      <c r="P28" s="205" t="e" vm="112">
        <f>_xlfn.XLOOKUP(O28,Teams!$C:$C,Teams!$E:$E,,0,1)</f>
        <v>#VALUE!</v>
      </c>
      <c r="Q28" s="224" t="s">
        <v>1154</v>
      </c>
      <c r="R28" s="6" t="b">
        <f t="shared" si="5"/>
        <v>1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0.06</v>
      </c>
      <c r="M39" s="82" t="e" vm="71">
        <f>_xlfn.XLOOKUP(I39,Teams!$C:$C,Teams!$E:$E,,0,1)</f>
        <v>#VALUE!</v>
      </c>
      <c r="N39" s="82">
        <v>0.94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Campbell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0.33</v>
      </c>
      <c r="M40" s="82" t="e" vm="76">
        <f>_xlfn.XLOOKUP(I40,Teams!$C:$C,Teams!$E:$E,,0,1)</f>
        <v>#VALUE!</v>
      </c>
      <c r="N40" s="82">
        <v>0.67</v>
      </c>
      <c r="O40" s="189" t="str">
        <f t="shared" si="9"/>
        <v>Central Arkansas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Central Connecticut State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0.3</v>
      </c>
      <c r="M41" s="139" t="e" vm="79">
        <f>_xlfn.XLOOKUP(I41,Teams!$C:$C,Teams!$E:$E,,0,1)</f>
        <v>#VALUE!</v>
      </c>
      <c r="N41" s="139">
        <v>0.7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Austin Peay</v>
      </c>
      <c r="B42" s="91" t="str">
        <f t="shared" si="11"/>
        <v>Baylor</v>
      </c>
      <c r="C42" s="91" t="str">
        <f t="shared" si="7"/>
        <v>Austin Peay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16</v>
      </c>
      <c r="G42" s="142" t="s">
        <v>46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2">
        <f>_xlfn.XLOOKUP(G42,Teams!$C:$C,Teams!$E:$E,,0,1)</f>
        <v>#VALUE!</v>
      </c>
      <c r="L42" s="145">
        <v>0.42</v>
      </c>
      <c r="M42" s="145" t="e" vm="84">
        <f>_xlfn.XLOOKUP(I42,Teams!$C:$C,Teams!$E:$E,,0,1)</f>
        <v>#VALUE!</v>
      </c>
      <c r="N42" s="145">
        <v>0.57999999999999996</v>
      </c>
      <c r="O42" s="196" t="str">
        <f t="shared" si="9"/>
        <v>Baylor</v>
      </c>
      <c r="P42" s="211" t="e" vm="84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Binghamton</v>
      </c>
      <c r="C43" s="91" t="str">
        <f t="shared" si="7"/>
        <v>Binghamton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52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0.91</v>
      </c>
      <c r="M43" s="83" t="e" vm="88">
        <f>_xlfn.XLOOKUP(I43,Teams!$C:$C,Teams!$E:$E,,0,1)</f>
        <v>#VALUE!</v>
      </c>
      <c r="N43" s="83">
        <v>0.09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Boston College</v>
      </c>
      <c r="B44" s="91" t="str">
        <f t="shared" si="11"/>
        <v>Duke</v>
      </c>
      <c r="C44" s="91" t="str">
        <f t="shared" si="7"/>
        <v>Boston College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11</v>
      </c>
      <c r="G44" s="118" t="s">
        <v>54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90">
        <f>_xlfn.XLOOKUP(G44,Teams!$C:$C,Teams!$E:$E,,0,1)</f>
        <v>#VALUE!</v>
      </c>
      <c r="L44" s="83">
        <v>0.01</v>
      </c>
      <c r="M44" s="83" t="e" vm="92">
        <f>_xlfn.XLOOKUP(I44,Teams!$C:$C,Teams!$E:$E,,0,1)</f>
        <v>#VALUE!</v>
      </c>
      <c r="N44" s="83">
        <v>0.99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0.85</v>
      </c>
      <c r="M45" s="151" t="e" vm="95">
        <f>_xlfn.XLOOKUP(I45,Teams!$C:$C,Teams!$E:$E,,0,1)</f>
        <v>#VALUE!</v>
      </c>
      <c r="N45" s="151">
        <v>0.15</v>
      </c>
      <c r="O45" s="197" t="str">
        <f t="shared" si="9"/>
        <v>Bradley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Air Force</v>
      </c>
      <c r="B46" s="152" t="str">
        <f t="shared" si="11"/>
        <v>Alabama</v>
      </c>
      <c r="C46" s="152" t="str">
        <f t="shared" si="7"/>
        <v>Air Force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16</v>
      </c>
      <c r="G46" s="131" t="s">
        <v>30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8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Albany (NY)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0.59</v>
      </c>
      <c r="M47" s="82" t="e" vm="103">
        <f>_xlfn.XLOOKUP(I47,Teams!$C:$C,Teams!$E:$E,,0,1)</f>
        <v>#VALUE!</v>
      </c>
      <c r="N47" s="82">
        <v>0.41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Army</v>
      </c>
      <c r="C49" s="152" t="str">
        <f t="shared" si="7"/>
        <v>Army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44</v>
      </c>
      <c r="J49" s="138" cm="1">
        <f t="array" ref="J49">_xlfn.XLOOKUP(I49,Teams[[#All],[Team]],Teams[[#All],[Seed]],0,0,1)</f>
        <v>15</v>
      </c>
      <c r="K49" s="139" t="e" vm="109">
        <f>_xlfn.XLOOKUP(G49,Teams!$C:$C,Teams!$E:$E,,0,1)</f>
        <v>#VALUE!</v>
      </c>
      <c r="L49" s="139">
        <v>0.99</v>
      </c>
      <c r="M49" s="139" t="e" vm="112">
        <f>_xlfn.XLOOKUP(I49,Teams!$C:$C,Teams!$E:$E,,0,1)</f>
        <v>#VALUE!</v>
      </c>
      <c r="N49" s="139">
        <v>0.01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0.12</v>
      </c>
      <c r="M50" s="145" t="e" vm="115">
        <f>_xlfn.XLOOKUP(I50,Teams!$C:$C,Teams!$E:$E,,0,1)</f>
        <v>#VALUE!</v>
      </c>
      <c r="N50" s="145">
        <v>0.88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College of Charleston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0.6</v>
      </c>
      <c r="M51" s="83" t="e" vm="120">
        <f>_xlfn.XLOOKUP(I51,Teams!$C:$C,Teams!$E:$E,,0,1)</f>
        <v>#VALUE!</v>
      </c>
      <c r="N51" s="83">
        <v>0.4</v>
      </c>
      <c r="O51" s="192" t="str">
        <f t="shared" si="9"/>
        <v>Coastal Carolina</v>
      </c>
      <c r="P51" s="207" t="e" vm="118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Creighton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0.64</v>
      </c>
      <c r="M53" s="151" t="e" vm="127">
        <f>_xlfn.XLOOKUP(I53,Teams!$C:$C,Teams!$E:$E,,0,1)</f>
        <v>#VALUE!</v>
      </c>
      <c r="N53" s="151">
        <v>0.36</v>
      </c>
      <c r="O53" s="197" t="str">
        <f t="shared" si="9"/>
        <v>Cornell</v>
      </c>
      <c r="P53" s="212" t="e" vm="126">
        <f>_xlfn.XLOOKUP(O53,Teams!$C:$C,Teams!$E:$E,,0,1)</f>
        <v>#VALUE!</v>
      </c>
      <c r="Q53" s="227" t="s">
        <v>1178</v>
      </c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 State Northridge</v>
      </c>
      <c r="C55" s="91" t="str">
        <f t="shared" ref="C55:C62" si="12">IF(O55="","",IF(A55=O55,B55,A55))</f>
        <v>Butler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7">
        <f>_xlfn.XLOOKUP(G55,Teams!$C:$C,Teams!$E:$E,,0,1)</f>
        <v>#VALUE!</v>
      </c>
      <c r="L55" s="97">
        <v>0.44</v>
      </c>
      <c r="M55" s="97" t="e" vm="71">
        <f>_xlfn.XLOOKUP(I55,Teams!$C:$C,Teams!$E:$E,,0,1)</f>
        <v>#VALUE!</v>
      </c>
      <c r="N55" s="97">
        <v>0.56000000000000005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Central Arkansas</v>
      </c>
      <c r="B56" s="91" t="str">
        <f t="shared" ref="B56:B62" si="16">I56</f>
        <v>Charleston Southern</v>
      </c>
      <c r="C56" s="91" t="str">
        <f t="shared" si="12"/>
        <v>Charleston Southern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72</v>
      </c>
      <c r="H56" s="182" t="s">
        <v>9</v>
      </c>
      <c r="I56" s="137" t="s">
        <v>75</v>
      </c>
      <c r="J56" s="138" cm="1">
        <f t="array" ref="J56">_xlfn.XLOOKUP(I56,Teams[[#All],[Team]],Teams[[#All],[Seed]],0,0,1)</f>
        <v>2</v>
      </c>
      <c r="K56" s="139" t="e" vm="76">
        <f>_xlfn.XLOOKUP(G56,Teams!$C:$C,Teams!$E:$E,,0,1)</f>
        <v>#VALUE!</v>
      </c>
      <c r="L56" s="139">
        <v>0.83</v>
      </c>
      <c r="M56" s="139" t="e" vm="79">
        <f>_xlfn.XLOOKUP(I56,Teams!$C:$C,Teams!$E:$E,,0,1)</f>
        <v>#VALUE!</v>
      </c>
      <c r="N56" s="139">
        <v>0.17</v>
      </c>
      <c r="O56" s="195" t="str">
        <f t="shared" si="14"/>
        <v>Central Arkansas</v>
      </c>
      <c r="P56" s="210" t="e" vm="76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Baylor</v>
      </c>
      <c r="B57" s="91" t="str">
        <f t="shared" si="16"/>
        <v>Belmont</v>
      </c>
      <c r="C57" s="91" t="str">
        <f t="shared" si="12"/>
        <v>Belmont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9</v>
      </c>
      <c r="G57" s="142" t="s">
        <v>48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4">
        <f>_xlfn.XLOOKUP(G57,Teams!$C:$C,Teams!$E:$E,,0,1)</f>
        <v>#VALUE!</v>
      </c>
      <c r="L57" s="145">
        <v>0.59</v>
      </c>
      <c r="M57" s="145" t="e" vm="86">
        <f>_xlfn.XLOOKUP(I57,Teams!$C:$C,Teams!$E:$E,,0,1)</f>
        <v>#VALUE!</v>
      </c>
      <c r="N57" s="145">
        <v>0.41</v>
      </c>
      <c r="O57" s="196" t="str">
        <f t="shared" si="14"/>
        <v>Baylor</v>
      </c>
      <c r="P57" s="211" t="e" vm="84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Bradley</v>
      </c>
      <c r="C58" s="91" t="str">
        <f t="shared" si="12"/>
        <v>Bradley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92">
        <f>_xlfn.XLOOKUP(G58,Teams!$C:$C,Teams!$E:$E,,0,1)</f>
        <v>#VALUE!</v>
      </c>
      <c r="L58" s="151">
        <v>0.92</v>
      </c>
      <c r="M58" s="151" t="e" vm="93">
        <f>_xlfn.XLOOKUP(I58,Teams!$C:$C,Teams!$E:$E,,0,1)</f>
        <v>#VALUE!</v>
      </c>
      <c r="N58" s="151">
        <v>0.08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Alabama A&amp;M</v>
      </c>
      <c r="C59" s="152" t="str">
        <f t="shared" si="12"/>
        <v>Alabama A&amp;M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100">
        <f>_xlfn.XLOOKUP(G59,Teams!$C:$C,Teams!$E:$E,,0,1)</f>
        <v>#VALUE!</v>
      </c>
      <c r="L59" s="84">
        <v>0.99</v>
      </c>
      <c r="M59" s="84" t="e" vm="101">
        <f>_xlfn.XLOOKUP(I59,Teams!$C:$C,Teams!$E:$E,,0,1)</f>
        <v>#VALUE!</v>
      </c>
      <c r="N59" s="84">
        <v>0.01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Coastal Carolina</v>
      </c>
      <c r="C61" s="91" t="str">
        <f t="shared" si="12"/>
        <v>Coastal Carolina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82</v>
      </c>
      <c r="J61" s="144" cm="1">
        <f t="array" ref="J61">_xlfn.XLOOKUP(I61,Teams[[#All],[Team]],Teams[[#All],[Seed]],0,0,1)</f>
        <v>12</v>
      </c>
      <c r="K61" s="145" t="e" vm="115">
        <f>_xlfn.XLOOKUP(G61,Teams!$C:$C,Teams!$E:$E,,0,1)</f>
        <v>#VALUE!</v>
      </c>
      <c r="L61" s="145">
        <v>0.56999999999999995</v>
      </c>
      <c r="M61" s="145" t="e" vm="118">
        <f>_xlfn.XLOOKUP(I61,Teams!$C:$C,Teams!$E:$E,,0,1)</f>
        <v>#VALUE!</v>
      </c>
      <c r="N61" s="145">
        <v>0.43</v>
      </c>
      <c r="O61" s="196" t="str">
        <f t="shared" si="14"/>
        <v>Cincinnati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Cornell</v>
      </c>
      <c r="C62" s="91" t="str">
        <f t="shared" si="12"/>
        <v>Cornell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90</v>
      </c>
      <c r="J62" s="150" cm="1">
        <f t="array" ref="J62">_xlfn.XLOOKUP(I62,Teams[[#All],[Team]],Teams[[#All],[Seed]],0,0,1)</f>
        <v>10</v>
      </c>
      <c r="K62" s="151" t="e" vm="124">
        <f>_xlfn.XLOOKUP(G62,Teams!$C:$C,Teams!$E:$E,,0,1)</f>
        <v>#VALUE!</v>
      </c>
      <c r="L62" s="151">
        <v>0.92</v>
      </c>
      <c r="M62" s="151" t="e" vm="126">
        <f>_xlfn.XLOOKUP(I62,Teams!$C:$C,Teams!$E:$E,,0,1)</f>
        <v>#VALUE!</v>
      </c>
      <c r="N62" s="151">
        <v>0.08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Central Arkansas</v>
      </c>
      <c r="C64" s="91" t="str">
        <f>IF(O64="","",IF(A64=O64,B64,A64))</f>
        <v>Cal State Northridge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72</v>
      </c>
      <c r="J64" s="157" cm="1">
        <f t="array" ref="J64">_xlfn.XLOOKUP(I64,Teams[[#All],[Team]],Teams[[#All],[Seed]],0,0,1)</f>
        <v>14</v>
      </c>
      <c r="K64" s="158" t="e" vm="71">
        <f>_xlfn.XLOOKUP(G64,Teams!$C:$C,Teams!$E:$E,,0,1)</f>
        <v>#VALUE!</v>
      </c>
      <c r="L64" s="158">
        <v>0.36</v>
      </c>
      <c r="M64" s="158" t="e" vm="76">
        <f>_xlfn.XLOOKUP(I64,Teams!$C:$C,Teams!$E:$E,,0,1)</f>
        <v>#VALUE!</v>
      </c>
      <c r="N64" s="158">
        <v>0.64</v>
      </c>
      <c r="O64" s="198" t="str">
        <f>IF(L64&gt;N64,G64,I64)</f>
        <v>Central Arkansas</v>
      </c>
      <c r="P64" s="204" t="e" vm="76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Baylor</v>
      </c>
      <c r="B65" s="91" t="str">
        <f>I65</f>
        <v>Duke</v>
      </c>
      <c r="C65" s="91" t="str">
        <f>IF(O65="","",IF(A65=O65,B65,A65))</f>
        <v>Duke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9</v>
      </c>
      <c r="G65" s="161" t="s">
        <v>48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4">
        <f>_xlfn.XLOOKUP(G65,Teams!$C:$C,Teams!$E:$E,,0,1)</f>
        <v>#VALUE!</v>
      </c>
      <c r="L65" s="164">
        <v>0.85</v>
      </c>
      <c r="M65" s="164" t="e" vm="92">
        <f>_xlfn.XLOOKUP(I65,Teams!$C:$C,Teams!$E:$E,,0,1)</f>
        <v>#VALUE!</v>
      </c>
      <c r="N65" s="164">
        <v>0.15</v>
      </c>
      <c r="O65" s="199" t="str">
        <f>IF(L65&gt;N65,G65,I65)</f>
        <v>Baylor</v>
      </c>
      <c r="P65" s="207" t="e" vm="84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Arizona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0.77</v>
      </c>
      <c r="M66" s="158" t="e" vm="107">
        <f>_xlfn.XLOOKUP(I66,Teams!$C:$C,Teams!$E:$E,,0,1)</f>
        <v>#VALUE!</v>
      </c>
      <c r="N66" s="158">
        <v>0.23</v>
      </c>
      <c r="O66" s="198" t="str">
        <f>IF(L66&gt;N66,G66,I66)</f>
        <v>Alabama</v>
      </c>
      <c r="P66" s="204" t="e" vm="100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Cincinnati</v>
      </c>
      <c r="B67" s="91" t="str">
        <f>I67</f>
        <v>Connecticut</v>
      </c>
      <c r="C67" s="91" t="str">
        <f>IF(O67="","",IF(A67=O67,B67,A67))</f>
        <v>Cincinnati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79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15">
        <f>_xlfn.XLOOKUP(G67,Teams!$C:$C,Teams!$E:$E,,0,1)</f>
        <v>#VALUE!</v>
      </c>
      <c r="L67" s="164">
        <v>0.33</v>
      </c>
      <c r="M67" s="164" t="e" vm="124">
        <f>_xlfn.XLOOKUP(I67,Teams!$C:$C,Teams!$E:$E,,0,1)</f>
        <v>#VALUE!</v>
      </c>
      <c r="N67" s="164">
        <v>0.67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Central Arkansas</v>
      </c>
      <c r="B69" s="91" t="str">
        <f>I69</f>
        <v>Baylor</v>
      </c>
      <c r="C69" s="91" t="str">
        <f>IF(O69="","",IF(A69=O69,B69,A69))</f>
        <v>Central Arkansas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14</v>
      </c>
      <c r="G69" s="167" t="s">
        <v>72</v>
      </c>
      <c r="H69" s="187" t="s">
        <v>9</v>
      </c>
      <c r="I69" s="168" t="s">
        <v>48</v>
      </c>
      <c r="J69" s="169" cm="1">
        <f t="array" ref="J69">_xlfn.XLOOKUP(I69,Teams[[#All],[Team]],Teams[[#All],[Seed]],0,0,1)</f>
        <v>9</v>
      </c>
      <c r="K69" s="170" t="e" vm="76">
        <f>_xlfn.XLOOKUP(G69,Teams!$C:$C,Teams!$E:$E,,0,1)</f>
        <v>#VALUE!</v>
      </c>
      <c r="L69" s="170">
        <v>0.48</v>
      </c>
      <c r="M69" s="170" t="e" vm="84">
        <f>_xlfn.XLOOKUP(I69,Teams!$C:$C,Teams!$E:$E,,0,1)</f>
        <v>#VALUE!</v>
      </c>
      <c r="N69" s="170">
        <v>0.52</v>
      </c>
      <c r="O69" s="200" t="str">
        <f>IF(L69&gt;N69,G69,I69)</f>
        <v>Baylor</v>
      </c>
      <c r="P69" s="210" t="e" vm="84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Alabama</v>
      </c>
      <c r="B70" s="91" t="str">
        <f>I70</f>
        <v>Connecticut</v>
      </c>
      <c r="C70" s="91" t="str">
        <f>IF(O70="","",IF(A70=O70,B70,A70))</f>
        <v>Connecticut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9</v>
      </c>
      <c r="G70" s="161" t="s">
        <v>32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0">
        <f>_xlfn.XLOOKUP(G70,Teams!$C:$C,Teams!$E:$E,,0,1)</f>
        <v>#VALUE!</v>
      </c>
      <c r="L70" s="164">
        <v>0.68</v>
      </c>
      <c r="M70" s="164" t="e" vm="124">
        <f>_xlfn.XLOOKUP(I70,Teams!$C:$C,Teams!$E:$E,,0,1)</f>
        <v>#VALUE!</v>
      </c>
      <c r="N70" s="164">
        <v>0.32</v>
      </c>
      <c r="O70" s="199" t="str">
        <f>IF(L70&gt;N70,G70,I70)</f>
        <v>Alabama</v>
      </c>
      <c r="P70" s="213" t="e" vm="100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Baylor</v>
      </c>
      <c r="B72" s="91" t="str">
        <f>I72</f>
        <v>Alabama</v>
      </c>
      <c r="C72" s="91" t="str">
        <f>IF(O72="","",IF(A72=O72,B72,A72))</f>
        <v>Baylor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9</v>
      </c>
      <c r="G72" s="155" t="s">
        <v>48</v>
      </c>
      <c r="H72" s="185" t="s">
        <v>9</v>
      </c>
      <c r="I72" s="156" t="s">
        <v>32</v>
      </c>
      <c r="J72" s="157" cm="1">
        <f t="array" ref="J72">_xlfn.XLOOKUP(I72,Teams[[#All],[Team]],Teams[[#All],[Seed]],0,0,1)</f>
        <v>9</v>
      </c>
      <c r="K72" s="158" t="e" vm="84">
        <f>_xlfn.XLOOKUP(G72,Teams!$C:$C,Teams!$E:$E,,0,1)</f>
        <v>#VALUE!</v>
      </c>
      <c r="L72" s="158">
        <v>0.17</v>
      </c>
      <c r="M72" s="158" t="e" vm="100">
        <f>_xlfn.XLOOKUP(I72,Teams!$C:$C,Teams!$E:$E,,0,1)</f>
        <v>#VALUE!</v>
      </c>
      <c r="N72" s="158">
        <v>0.83</v>
      </c>
      <c r="O72" s="198" t="str">
        <f>IF(L72&gt;N72,G72,I72)</f>
        <v>Alabama</v>
      </c>
      <c r="P72" s="205" t="e" vm="100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8">
        <f>_xlfn.XLOOKUP(AJ5,Teams!$C:$C,Teams!$E:$E,,0,1)</f>
        <v>#VALUE!</v>
      </c>
      <c r="AJ5" s="262" t="str">
        <f>Games!O21</f>
        <v>Air Force</v>
      </c>
      <c r="AK5" s="58">
        <f>Games!L21</f>
        <v>0.12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0.44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0.99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0.88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0.36</v>
      </c>
      <c r="O11" s="25"/>
      <c r="P11" s="25"/>
      <c r="R11" s="25"/>
      <c r="S11" s="25"/>
      <c r="T11" s="251" t="e" vm="100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0.77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0.8</v>
      </c>
      <c r="F13" s="262" t="str">
        <f>Games!O7</f>
        <v>Cal State Bakersfield</v>
      </c>
      <c r="G13" s="247" t="e" vm="69">
        <f>_xlfn.XLOOKUP(F13,Teams!$C:$C,Teams!$E:$E,,0,1)</f>
        <v>#VALUE!</v>
      </c>
      <c r="H13" s="264">
        <f>Games!L39</f>
        <v>0.06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0.59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0.2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0.56000000000000005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0.01</v>
      </c>
      <c r="AF15" s="249" t="e" vm="101">
        <f>_xlfn.XLOOKUP(AG15,Teams!$C:$C,Teams!$E:$E,,0,1)</f>
        <v>#VALUE!</v>
      </c>
      <c r="AG15" s="262" t="str">
        <f>Games!O47</f>
        <v>Alabama A&amp;M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0.94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0.41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Central Arkansas</v>
      </c>
      <c r="P19" s="247" t="e" vm="76">
        <f>_xlfn.XLOOKUP(O19,Teams!$C:$C,Teams!$E:$E,,0,1)</f>
        <v>#VALUE!</v>
      </c>
      <c r="Q19" s="264">
        <f>Games!L69</f>
        <v>0.48</v>
      </c>
      <c r="R19" s="25"/>
      <c r="S19" s="25"/>
      <c r="T19" s="257"/>
      <c r="U19" s="258"/>
      <c r="V19" s="259"/>
      <c r="W19" s="25"/>
      <c r="X19" s="25"/>
      <c r="Y19" s="264">
        <f>Games!L70</f>
        <v>0.68</v>
      </c>
      <c r="Z19" s="249" t="e" vm="100">
        <f>_xlfn.XLOOKUP(AA19,Teams!$C:$C,Teams!$E:$E,,0,1)</f>
        <v>#VALUE!</v>
      </c>
      <c r="AA19" s="262" t="str">
        <f>Games!O66</f>
        <v>Alabama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0.33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Central Arkansas</v>
      </c>
      <c r="J23" s="247" t="e" vm="76">
        <f>_xlfn.XLOOKUP(I23,Teams!$C:$C,Teams!$E:$E,,0,1)</f>
        <v>#VALUE!</v>
      </c>
      <c r="K23" s="264">
        <f>Games!L56</f>
        <v>0.83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0.67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Central Arkansas</v>
      </c>
      <c r="M27" s="247" t="e" vm="76">
        <f>_xlfn.XLOOKUP(L27,Teams!$C:$C,Teams!$E:$E,,0,1)</f>
        <v>#VALUE!</v>
      </c>
      <c r="N27" s="277">
        <f>Games!N64</f>
        <v>0.64</v>
      </c>
      <c r="O27" s="25"/>
      <c r="P27" s="25"/>
      <c r="Q27" s="50"/>
      <c r="R27" s="279" t="str">
        <f>Games!O69</f>
        <v>Baylor</v>
      </c>
      <c r="S27" s="262"/>
      <c r="T27" s="262"/>
      <c r="U27" s="289" t="e" vm="84">
        <f>_xlfn.XLOOKUP(R27,Teams!$C:$C,Teams!$E:$E,,0,1)</f>
        <v>#VALUE!</v>
      </c>
      <c r="V27" s="267">
        <f>Games!L72</f>
        <v>0.17</v>
      </c>
      <c r="W27" s="24"/>
      <c r="X27" s="25"/>
      <c r="Y27" s="56"/>
      <c r="AA27" s="25"/>
      <c r="AB27" s="269">
        <f>Games!N66</f>
        <v>0.23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0.57999999999999996</v>
      </c>
      <c r="F29" s="262" t="str">
        <f>Games!O11</f>
        <v>Central Connecticut State</v>
      </c>
      <c r="G29" s="247" t="e" vm="77">
        <f>_xlfn.XLOOKUP(F29,Teams!$C:$C,Teams!$E:$E,,0,1)</f>
        <v>#VALUE!</v>
      </c>
      <c r="H29" s="264">
        <f>Games!L41</f>
        <v>0.3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0.99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0.42</v>
      </c>
      <c r="F31" s="282">
        <f>IF($AU$5=TRUE,F23+1,"")</f>
        <v>36</v>
      </c>
      <c r="G31" s="14"/>
      <c r="H31" s="49"/>
      <c r="I31" s="279" t="str">
        <f>Games!O41</f>
        <v>Charleston Southern</v>
      </c>
      <c r="J31" s="247" t="e" vm="79">
        <f>_xlfn.XLOOKUP(I31,Teams!$C:$C,Teams!$E:$E,,0,1)</f>
        <v>#VALUE!</v>
      </c>
      <c r="K31" s="277">
        <f>Games!N56</f>
        <v>0.17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Alabama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0.7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0.01</v>
      </c>
      <c r="AI33" s="249" t="e" vm="112">
        <f>_xlfn.XLOOKUP(AJ33,Teams!$C:$C,Teams!$E:$E,,0,1)</f>
        <v>#VALUE!</v>
      </c>
      <c r="AJ33" s="262" t="str">
        <f>Games!O28</f>
        <v>Army</v>
      </c>
      <c r="AK33" s="58">
        <f>Games!L28</f>
        <v>0.26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0.74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0.46</v>
      </c>
      <c r="F37" s="262" t="str">
        <f>Games!O13</f>
        <v>Austin Peay</v>
      </c>
      <c r="G37" s="247" t="e" vm="82">
        <f>_xlfn.XLOOKUP(F37,Teams!$C:$C,Teams!$E:$E,,0,1)</f>
        <v>#VALUE!</v>
      </c>
      <c r="H37" s="264">
        <f>Games!L42</f>
        <v>0.42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0.12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0.54</v>
      </c>
      <c r="F39" s="282">
        <f>IF($AU$5=TRUE,F31+1,"")</f>
        <v>37</v>
      </c>
      <c r="G39" s="14"/>
      <c r="H39" s="49"/>
      <c r="I39" s="279" t="str">
        <f>Games!O42</f>
        <v>Baylor</v>
      </c>
      <c r="J39" s="247" t="e" vm="84">
        <f>_xlfn.XLOOKUP(I39,Teams!$C:$C,Teams!$E:$E,,0,1)</f>
        <v>#VALUE!</v>
      </c>
      <c r="K39" s="264">
        <f>Games!L57</f>
        <v>0.59</v>
      </c>
      <c r="L39" s="25"/>
      <c r="M39" s="25"/>
      <c r="O39" s="25"/>
      <c r="P39" s="25"/>
      <c r="Q39" s="50"/>
      <c r="R39" s="25"/>
      <c r="S39" s="25"/>
      <c r="T39" s="267">
        <f>Games!N72</f>
        <v>0.83</v>
      </c>
      <c r="U39" s="293" t="e" vm="100">
        <f>_xlfn.XLOOKUP(V39,Teams!$C:$C,Teams!$E:$E,,0,1)</f>
        <v>#VALUE!</v>
      </c>
      <c r="V39" s="262" t="str">
        <f>Games!O70</f>
        <v>Alabama</v>
      </c>
      <c r="W39" s="262"/>
      <c r="X39" s="295"/>
      <c r="Y39" s="56"/>
      <c r="AA39" s="25"/>
      <c r="AD39" s="25"/>
      <c r="AE39" s="269">
        <f>Games!L61</f>
        <v>0.56999999999999995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0.57999999999999996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0.88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Baylor</v>
      </c>
      <c r="M43" s="247" t="e" vm="84">
        <f>_xlfn.XLOOKUP(L43,Teams!$C:$C,Teams!$E:$E,,0,1)</f>
        <v>#VALUE!</v>
      </c>
      <c r="N43" s="264">
        <f>Games!L65</f>
        <v>0.85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0.33</v>
      </c>
      <c r="AC43" s="249" t="e" vm="115">
        <f>_xlfn.XLOOKUP(AD43,Teams!$C:$C,Teams!$E:$E,,0,1)</f>
        <v>#VALUE!</v>
      </c>
      <c r="AD43" s="291" t="str">
        <f>Games!O61</f>
        <v>Cincinnati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0.91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0.41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0.43</v>
      </c>
      <c r="AF47" s="249" t="e" vm="118">
        <f>_xlfn.XLOOKUP(AG47,Teams!$C:$C,Teams!$E:$E,,0,1)</f>
        <v>#VALUE!</v>
      </c>
      <c r="AG47" s="262" t="str">
        <f>Games!O51</f>
        <v>Coastal Carolina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0.17</v>
      </c>
      <c r="F49" s="262" t="str">
        <f>Games!O16</f>
        <v>Binghamton</v>
      </c>
      <c r="G49" s="247" t="e" vm="88">
        <f>_xlfn.XLOOKUP(F49,Teams!$C:$C,Teams!$E:$E,,0,1)</f>
        <v>#VALUE!</v>
      </c>
      <c r="H49" s="277">
        <f>Games!N43</f>
        <v>0.09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0.4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0.83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Baylor</v>
      </c>
      <c r="P51" s="247" t="e" vm="84">
        <f>_xlfn.XLOOKUP(O51,Teams!$C:$C,Teams!$E:$E,,0,1)</f>
        <v>#VALUE!</v>
      </c>
      <c r="Q51" s="277">
        <f>Games!N69</f>
        <v>0.52</v>
      </c>
      <c r="R51" s="25"/>
      <c r="S51" s="25"/>
      <c r="T51" s="25"/>
      <c r="U51" s="75"/>
      <c r="V51" s="25"/>
      <c r="W51" s="25"/>
      <c r="X51" s="25"/>
      <c r="Y51" s="269">
        <f>Games!N70</f>
        <v>0.32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0.18</v>
      </c>
      <c r="F53" s="262" t="str">
        <f>Games!O17</f>
        <v>Boston College</v>
      </c>
      <c r="G53" s="247" t="e" vm="90">
        <f>_xlfn.XLOOKUP(F53,Teams!$C:$C,Teams!$E:$E,,0,1)</f>
        <v>#VALUE!</v>
      </c>
      <c r="H53" s="264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0.82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0.92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0.92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0.15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0.67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0.83</v>
      </c>
      <c r="F61" s="262" t="str">
        <f>Games!O19</f>
        <v>Bradley</v>
      </c>
      <c r="G61" s="247" t="e" vm="93">
        <f>_xlfn.XLOOKUP(F61,Teams!$C:$C,Teams!$E:$E,,0,1)</f>
        <v>#VALUE!</v>
      </c>
      <c r="H61" s="264">
        <f>Games!L45</f>
        <v>0.85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0.64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0.17</v>
      </c>
      <c r="F63" s="282">
        <f>IF($AU$5=TRUE,F55+1,"")</f>
        <v>40</v>
      </c>
      <c r="G63" s="14"/>
      <c r="H63" s="49"/>
      <c r="I63" s="279" t="str">
        <f>Games!O45</f>
        <v>Bradley</v>
      </c>
      <c r="J63" s="247" t="e" vm="93">
        <f>_xlfn.XLOOKUP(I63,Teams!$C:$C,Teams!$E:$E,,0,1)</f>
        <v>#VALUE!</v>
      </c>
      <c r="K63" s="277">
        <f>Games!N58</f>
        <v>0.08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0.08</v>
      </c>
      <c r="AF63" s="249" t="e" vm="126">
        <f>_xlfn.XLOOKUP(AG63,Teams!$C:$C,Teams!$E:$E,,0,1)</f>
        <v>#VALUE!</v>
      </c>
      <c r="AG63" s="262" t="str">
        <f>Games!O53</f>
        <v>Cornell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0.15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0.36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2026-03-10T02:42:29Z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