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C1C7824C-06F6-42AF-A51C-AC0DDAFA9AE6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<sst xmlns="http://schemas.openxmlformats.org/spreadsheetml/2006/main" count="1526" uniqueCount="1194">
  <si>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</si>
  <si>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</si>
  <si>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</si>
  <si>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</si>
  <si>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</si>
  <si>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</si>
  <si>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</si>
  <si>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</si>
  <si>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</si>
  <si>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</si>
  <si>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</si>
  <si>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</si>
  <si>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</si>
  <si>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</si>
  <si>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</si>
  <si>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</si>
  <si>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</si>
  <si>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</si>
  <si>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</si>
  <si>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</si>
  <si>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</si>
  <si>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</si>
  <si>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</si>
  <si>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</si>
  <si>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</si>
  <si>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</si>
  <si>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</si>
  <si>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</si>
  <si>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</si>
  <si>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</si>
  <si>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</si>
  <si>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</si>
  <si>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</si>
  <si>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</si>
  <si>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</si>
  <si>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</si>
  <si>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</si>
  <si>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</si>
  <si>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</si>
  <si>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</si>
  <si>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</si>
  <si>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</si>
  <si>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</si>
  <si>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</si>
  <si>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</si>
  <si>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</si>
  <si>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</si>
  <si>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</si>
  <si>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</si>
  <si>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</si>
  <si>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</si>
  <si>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</si>
  <si>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</si>
  <si>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</si>
  <si>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</si>
  <si>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</si>
  <si>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</si>
  <si>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</si>
  <si>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</si>
  <si>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</si>
  <si>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</si>
  <si>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</si>
  <si>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</si>
  <si>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</si>
  <si>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</si>
  <si>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</si>
  <si>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</si>
  <si>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</si>
  <si>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</si>
  <si>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</si>
  <si>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</si>
  <si>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</si>
  <si>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</si>
  <si>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</si>
  <si>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</si>
  <si>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</si>
  <si>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</si>
  <si>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</si>
  <si>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</si>
  <si>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</si>
  <si>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</si>
  <si>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</si>
  <si>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</si>
  <si>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</si>
  <si>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</si>
  <si>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</si>
  <si>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</si>
  <si>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</si>
  <si>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</si>
  <si>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</si>
  <si>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</si>
  <si>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</si>
  <si>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</si>
  <si>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</si>
  <si>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</si>
  <si>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</si>
  <si>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</si>
  <si>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</si>
  <si>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</si>
  <si>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</si>
  <si>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</si>
  <si>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</si>
  <si>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</si>
  <si>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</si>
  <si>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</si>
  <si>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</si>
  <si>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</si>
  <si>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</si>
  <si>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</si>
  <si>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</si>
  <si>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</si>
  <si>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</si>
  <si>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</si>
  <si>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</si>
  <si>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</si>
  <si>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</si>
  <si>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</si>
  <si>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</si>
  <si>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</si>
  <si>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</si>
  <si>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</si>
  <si>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</si>
  <si>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</si>
  <si>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</si>
  <si>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</si>
  <si>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</si>
  <si>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</si>
  <si>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</si>
  <si>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</si>
  <si>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</si>
  <si>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</si>
  <si>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</si>
  <si>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</si>
  <si>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</si>
  <si>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</si>
  <si>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</si>
  <si>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</si>
  <si>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</si>
  <si>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</si>
  <si>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</si>
  <si>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</si>
  <si>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</si>
  <si>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</si>
  <si>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</si>
  <si>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</si>
  <si>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</si>
  <si>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</si>
  <si>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</si>
  <si>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</si>
  <si>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</si>
  <si>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</si>
  <si>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</si>
  <si>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</si>
  <si>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</si>
  <si>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</si>
  <si>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</si>
  <si>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</si>
  <si>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</si>
  <si>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</si>
  <si>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</si>
  <si>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</si>
  <si>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</si>
  <si>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</si>
  <si>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</si>
  <si>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</si>
  <si>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</si>
  <si>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</si>
  <si>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</si>
  <si>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</si>
  <si>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</si>
  <si>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</si>
  <si>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</si>
  <si>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</si>
  <si>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</si>
  <si>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</si>
  <si>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</si>
  <si>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</si>
  <si>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</si>
  <si>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</si>
  <si>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</si>
  <si>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</si>
  <si>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</si>
  <si>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</si>
  <si>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</si>
  <si>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</si>
  <si>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</si>
  <si>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</si>
  <si>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</si>
  <si>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</si>
  <si>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</si>
  <si>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</si>
  <si>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</si>
  <si>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</si>
  <si>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</si>
  <si>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</si>
  <si>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</si>
  <si>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</si>
  <si>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</si>
  <si>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</si>
  <si>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</si>
  <si>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</si>
  <si>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</si>
  <si>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</si>
  <si>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</si>
  <si>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</si>
  <si>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</si>
  <si>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</si>
  <si>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</si>
  <si>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</si>
  <si>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</si>
  <si>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</si>
  <si>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</si>
  <si>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</si>
  <si>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</si>
  <si>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</si>
  <si>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</si>
  <si>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</si>
  <si>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</si>
  <si>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</si>
  <si>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</si>
  <si>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</si>
  <si>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</si>
  <si>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</si>
  <si>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</si>
  <si>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</si>
  <si>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</si>
  <si>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</si>
  <si>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</si>
  <si>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</si>
  <si>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</si>
  <si>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</si>
  <si>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</si>
  <si>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</si>
  <si>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</si>
  <si>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</si>
  <si>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</si>
  <si>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</si>
  <si>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</si>
  <si>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</si>
  <si>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</si>
  <si>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</si>
  <si>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</si>
  <si>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</si>
  <si>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</si>
  <si>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</si>
  <si>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</si>
  <si>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</si>
  <si>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</si>
  <si>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</si>
  <si>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</si>
  <si>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</si>
  <si>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</si>
  <si>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</si>
  <si>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</si>
  <si>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</si>
  <si>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</si>
  <si>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</si>
  <si>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</si>
  <si>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</si>
  <si>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</si>
  <si>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</si>
  <si>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</si>
  <si>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</si>
  <si>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</si>
  <si>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</si>
  <si>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</si>
  <si>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</si>
  <si>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</si>
  <si>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</si>
  <si>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</si>
  <si>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</si>
  <si>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</si>
  <si>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</si>
  <si>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</si>
  <si>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</si>
  <si>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</si>
  <si>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</si>
  <si>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</si>
  <si>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</si>
  <si>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</si>
  <si>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</si>
  <si>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</si>
  <si>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</si>
  <si>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</si>
  <si>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</si>
  <si>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</si>
  <si>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</si>
  <si>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</si>
  <si>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</si>
  <si>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</si>
  <si>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</si>
  <si>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</si>
  <si>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</si>
  <si>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</si>
  <si>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</si>
  <si>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</si>
  <si>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</si>
  <si>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</si>
  <si>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</si>
  <si>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</si>
  <si>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</si>
  <si>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</si>
  <si>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</si>
  <si>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</si>
  <si>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</si>
  <si>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</si>
  <si>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</si>
  <si>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</si>
  <si>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</si>
  <si>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</si>
  <si>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</si>
  <si>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</si>
  <si>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</si>
  <si>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</si>
  <si>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</si>
  <si>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</si>
  <si>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</si>
  <si>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</si>
  <si>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</si>
  <si>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</si>
  <si>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</si>
  <si>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</si>
  <si>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</si>
  <si>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</si>
  <si>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</si>
  <si>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</si>
  <si>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</si>
  <si>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</si>
  <si>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</si>
  <si>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</si>
  <si>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</si>
  <si>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</si>
  <si>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</si>
  <si>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</si>
  <si>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</si>
  <si>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</si>
  <si>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</si>
  <si>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</si>
  <si>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</si>
  <si>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</si>
  <si>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</si>
  <si>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</si>
  <si>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</si>
  <si>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</si>
  <si>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</si>
  <si>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</si>
  <si>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</si>
  <si>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</si>
  <si>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</si>
  <si>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</si>
  <si>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</si>
  <si>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</si>
  <si>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</si>
  <si>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</si>
  <si>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</si>
  <si>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</si>
  <si>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</si>
  <si>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</si>
  <si>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</si>
  <si>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</si>
  <si>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</si>
  <si>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</si>
  <si>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</si>
  <si>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</si>
  <si>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</si>
  <si>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</si>
  <si>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</si>
  <si>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</si>
  <si>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</si>
  <si>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</si>
  <si>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</si>
  <si>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</si>
  <si>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</si>
  <si>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</si>
  <si>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</si>
  <si>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</si>
  <si>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</si>
  <si>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</si>
  <si>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</si>
  <si>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</si>
  <si>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</si>
  <si>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</si>
  <si>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</si>
  <si>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</si>
  <si>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</si>
  <si>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</si>
  <si>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</si>
  <si>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</si>
  <si>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</si>
  <si>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</si>
  <si>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</si>
  <si>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</si>
  <si>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</si>
  <si>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</si>
  <si>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</si>
  <si>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</si>
  <si>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</si>
  <si>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</si>
  <si>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</si>
  <si>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</si>
  <si>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</si>
  <si>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</si>
  <si>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</si>
  <si>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</si>
  <si>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</si>
  <si>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</si>
  <si>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</si>
  <si>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</si>
  <si>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</si>
  <si>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</si>
  <si>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</si>
  <si>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</si>
  <si>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</si>
  <si>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</si>
  <si>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</si>
  <si>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</si>
  <si>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</si>
  <si>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</si>
  <si>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</si>
  <si>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</si>
  <si>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</si>
  <si>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</si>
  <si>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</si>
  <si>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</si>
  <si>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</si>
  <si>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</si>
  <si>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</si>
  <si>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</si>
  <si>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</si>
  <si>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</si>
  <si>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</si>
  <si>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</si>
  <si>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</si>
  <si>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</si>
  <si>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</si>
  <si>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</si>
  <si>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</si>
  <si>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</si>
  <si>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</si>
  <si>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</si>
  <si>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</si>
  <si>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</si>
  <si>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</si>
  <si>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</si>
  <si>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</si>
  <si>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</si>
  <si>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</si>
  <si>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</si>
  <si>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</si>
  <si>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</si>
  <si>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</si>
  <si>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</si>
  <si>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</si>
  <si>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</si>
  <si>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</si>
  <si>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</si>
  <si>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</si>
  <si>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</si>
  <si>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</si>
  <si>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</si>
  <si>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</si>
  <si>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</si>
  <si>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</si>
  <si>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</si>
  <si>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</si>
  <si>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</si>
  <si>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</si>
  <si>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</si>
  <si>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</si>
  <si>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</si>
  <si>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</si>
  <si>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</si>
  <si>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</si>
  <si>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</si>
  <si>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</si>
  <si>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</si>
  <si>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</si>
  <si>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</si>
  <si>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</si>
  <si>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</si>
  <si>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</si>
  <si>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</si>
  <si>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</si>
  <si>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</si>
  <si>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</si>
  <si>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</si>
  <si>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</si>
  <si>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</si>
  <si>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</si>
  <si>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</si>
  <si>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</si>
  <si>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</si>
  <si>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</si>
  <si>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</si>
  <si>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</si>
  <si>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</si>
  <si>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</si>
  <si>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</si>
  <si>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</si>
  <si>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</si>
  <si>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</si>
  <si>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</si>
  <si>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</si>
  <si>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</si>
  <si>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</si>
  <si>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</si>
  <si>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</si>
  <si>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</si>
  <si>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</si>
  <si>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</si>
  <si>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</si>
  <si>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</si>
  <si>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</si>
  <si>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</si>
  <si>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</si>
  <si>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</si>
  <si>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</si>
  <si>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</si>
  <si>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</si>
  <si>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</si>
  <si>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</si>
  <si>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</si>
  <si>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</si>
  <si>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</si>
  <si>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</si>
  <si>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</si>
  <si>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</si>
  <si>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</si>
  <si>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</si>
  <si>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</si>
  <si>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</si>
  <si>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</si>
  <si>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</si>
  <si>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</si>
  <si>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</si>
  <si>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</si>
  <si>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</si>
  <si>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</si>
  <si>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</si>
  <si>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</si>
  <si>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</si>
  <si>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</si>
  <si>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</si>
  <si>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</si>
  <si>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</si>
  <si>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</si>
  <si>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</si>
  <si>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</si>
  <si>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</si>
  <si>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</si>
  <si>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</si>
  <si>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</si>
  <si>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</si>
  <si>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</si>
  <si>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</si>
  <si>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</si>
  <si>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</si>
  <si>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</si>
  <si>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</si>
  <si>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</si>
  <si>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</si>
  <si>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</si>
  <si>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</si>
  <si>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</si>
  <si>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</si>
  <si>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</si>
  <si>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</si>
  <si>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</si>
  <si>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</si>
  <si>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</si>
  <si>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</si>
  <si>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</si>
  <si>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</si>
  <si>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</si>
  <si>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</si>
  <si>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</si>
  <si>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</si>
  <si>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</si>
  <si>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</si>
  <si>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</si>
  <si>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</si>
  <si>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</si>
  <si>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</si>
  <si>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</si>
  <si>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</si>
  <si>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</si>
  <si>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</si>
  <si>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</si>
  <si>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</si>
  <si>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</si>
  <si>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</si>
  <si>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</si>
  <si>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</si>
  <si>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</si>
  <si>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</si>
  <si>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</si>
  <si>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</si>
  <si>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</si>
  <si>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</si>
  <si>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</si>
  <si>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</si>
  <si>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</si>
  <si>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</si>
  <si>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</si>
  <si>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</si>
  <si>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</si>
  <si>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</si>
  <si>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</si>
  <si>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</si>
  <si>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</si>
  <si>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</si>
  <si>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</si>
  <si>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</si>
  <si>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</si>
  <si>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</si>
  <si>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</si>
  <si>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</si>
  <si>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</si>
  <si>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</si>
  <si>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</si>
  <si>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</si>
  <si>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</si>
  <si>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</si>
  <si>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</si>
  <si>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</si>
  <si>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</si>
  <si>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</si>
  <si>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</si>
  <si>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</si>
  <si>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</si>
  <si>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</si>
  <si>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</si>
  <si>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</si>
  <si>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</si>
  <si>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</si>
  <si>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</si>
  <si>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</si>
  <si>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</si>
  <si>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</si>
  <si>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</si>
  <si>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</si>
  <si>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</si>
  <si>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</si>
  <si>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</si>
  <si>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</si>
  <si>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</si>
  <si>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</si>
  <si>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</si>
  <si>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</si>
  <si>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</si>
  <si>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</si>
  <si>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</si>
  <si>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</si>
  <si>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</si>
  <si>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</si>
  <si>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</si>
  <si>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</si>
  <si>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</si>
  <si>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</si>
  <si>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</si>
  <si>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</si>
  <si>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</si>
  <si>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</si>
  <si>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</si>
  <si>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</si>
  <si>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</si>
  <si>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</si>
  <si>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</si>
  <si>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</si>
  <si>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</si>
  <si>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</si>
  <si>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</si>
  <si>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</si>
  <si>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</si>
  <si>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</si>
  <si>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</si>
  <si>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</si>
  <si>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</si>
  <si>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</si>
  <si>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</si>
  <si>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</si>
  <si>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</si>
  <si>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</si>
  <si>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</si>
  <si>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</si>
  <si>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</si>
  <si>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</si>
  <si>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</si>
  <si>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</si>
  <si>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</si>
  <si>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</si>
  <si>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</si>
  <si>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</si>
  <si>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</si>
  <si>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</si>
  <si>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</si>
  <si>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</si>
  <si>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</si>
  <si>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</si>
  <si>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</si>
  <si>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</si>
  <si>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</si>
  <si>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</si>
  <si>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</si>
  <si>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</si>
  <si>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</si>
  <si>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</si>
  <si>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</si>
  <si>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</si>
  <si>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</si>
  <si>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</si>
  <si>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</si>
  <si>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</si>
  <si>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</si>
  <si>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</si>
  <si>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</si>
  <si>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</si>
  <si>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</si>
  <si>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</si>
  <si>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</si>
  <si>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</si>
  <si>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</si>
  <si>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</si>
  <si>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</si>
  <si>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</si>
  <si>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</si>
  <si>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</si>
  <si>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</si>
  <si>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</si>
  <si>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</si>
  <si>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</si>
  <si>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</si>
  <si>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</si>
  <si>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</si>
  <si>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</si>
  <si>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</si>
  <si>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</si>
  <si>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</si>
  <si>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</si>
  <si>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</si>
  <si>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</si>
  <si>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</si>
  <si>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</si>
  <si>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</si>
  <si>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</si>
  <si>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</si>
  <si>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</si>
  <si>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</si>
  <si>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</si>
  <si>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</si>
  <si>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</si>
  <si>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</si>
  <si>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</si>
  <si>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</si>
  <si>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</si>
  <si>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</si>
  <si>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</si>
  <si>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</si>
  <si>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</si>
  <si>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</si>
  <si>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</si>
  <si>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</si>
  <si>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</si>
  <si>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</si>
  <si>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</si>
  <si>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</si>
  <si>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</si>
  <si>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</si>
  <si>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</si>
  <si>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</si>
  <si>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</si>
  <si>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</si>
  <si>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</si>
  <si>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</si>
  <si>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</si>
  <si>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</si>
  <si>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</si>
  <si>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</si>
  <si>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</si>
  <si>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</si>
  <si>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</si>
  <si>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</si>
  <si>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</si>
  <si>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</si>
  <si>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</si>
  <si>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</si>
  <si>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</si>
  <si>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</si>
  <si>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</si>
  <si>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</si>
  <si>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</si>
  <si>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</si>
  <si>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</si>
  <si>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</si>
  <si>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</si>
  <si>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</si>
  <si>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</si>
  <si>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</si>
  <si>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</si>
  <si>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</si>
  <si>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</si>
  <si>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</si>
  <si>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</si>
  <si>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</si>
  <si>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</si>
  <si>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</si>
  <si>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</si>
  <si>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</si>
  <si>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</si>
  <si>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</si>
  <si>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</si>
  <si>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</si>
  <si>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</si>
  <si>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</si>
  <si>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</si>
  <si>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</si>
  <si>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</si>
  <si>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</si>
  <si>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</si>
  <si>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</si>
  <si>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</si>
  <si>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</si>
  <si>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</si>
  <si>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</si>
  <si>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</si>
  <si>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</si>
  <si>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</si>
  <si>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</si>
  <si>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</si>
  <si>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</si>
  <si>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</si>
  <si>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</si>
  <si>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</si>
  <si>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</si>
  <si>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</si>
  <si>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</si>
  <si>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</si>
  <si>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</si>
  <si>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</si>
  <si>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</si>
  <si>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</si>
  <si>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</si>
  <si>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</si>
  <si>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</si>
  <si>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</si>
  <si>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</si>
  <si>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</si>
  <si>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</si>
  <si>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</si>
  <si>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</si>
  <si>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</si>
  <si>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</si>
  <si>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</si>
  <si>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</si>
  <si>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</si>
  <si>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</si>
  <si>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</si>
  <si>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</si>
  <si>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</si>
  <si>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</si>
  <si>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</si>
  <si>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</si>
  <si>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</si>
  <si>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</si>
  <si>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</si>
  <si>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</si>
  <si>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</si>
  <si>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</si>
  <si>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</si>
  <si>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</si>
  <si>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</si>
  <si>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</si>
  <si>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</si>
  <si>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</si>
  <si>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</si>
  <si>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</si>
  <si>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</si>
  <si>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</si>
  <si>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</si>
  <si>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</si>
  <si>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</si>
  <si>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</si>
  <si>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</si>
  <si>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</si>
  <si>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</si>
  <si>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</si>
  <si>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</si>
  <si>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</si>
  <si>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</si>
  <si>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</si>
  <si>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</si>
  <si>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</si>
  <si>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</si>
  <si>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</si>
  <si>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</si>
  <si>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</si>
  <si>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</si>
  <si>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</si>
  <si>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</si>
  <si>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</si>
  <si>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</si>
  <si>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</si>
  <si>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</si>
  <si>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</si>
  <si>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</si>
  <si>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</si>
  <si>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</si>
  <si>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</si>
  <si>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</si>
  <si>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</si>
  <si>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</si>
  <si>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</si>
  <si>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</si>
  <si>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</si>
  <si>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</si>
  <si>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</si>
  <si>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</si>
  <si>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</si>
  <si>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</si>
  <si>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</si>
  <si>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</si>
  <si>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</si>
  <si>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</si>
  <si>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</si>
  <si>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</si>
  <si>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</si>
  <si>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</si>
  <si>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</si>
  <si>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</si>
  <si>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</si>
  <si>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</si>
  <si>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</si>
  <si>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</si>
  <si>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</si>
  <si>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</si>
  <si>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</si>
  <si>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</si>
  <si>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</si>
  <si>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</si>
  <si>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</si>
  <si>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</si>
  <si>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</si>
  <si>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</si>
  <si>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</si>
  <si>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</si>
  <si>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</si>
  <si>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</si>
  <si>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</si>
  <si>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</si>
  <si>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</si>
  <si>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</si>
  <si>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</si>
  <si>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</si>
  <si>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</si>
  <si>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</si>
  <si>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</si>
  <si>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</si>
  <si>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</si>
  <si>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</si>
  <si>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</si>
  <si>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</si>
  <si>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</si>
  <si>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</si>
  <si>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</si>
  <si>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</si>
  <si>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</si>
  <si>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</si>
  <si>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</si>
  <si>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</si>
  <si>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</si>
  <si>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</si>
  <si>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</si>
  <si>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</si>
  <si>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</si>
  <si>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</si>
  <si>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</si>
  <si>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</si>
  <si>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</si>
  <si>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</si>
  <si>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</si>
  <si>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</si>
  <si>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</si>
  <si>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</si>
  <si>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</si>
  <si>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</si>
  <si>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</si>
  <si>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</si>
  <si>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</si>
  <si>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</si>
  <si>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</si>
  <si>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</si>
  <si>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</si>
  <si>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</si>
  <si>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</si>
  <si>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</si>
  <si>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</si>
  <si>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</si>
  <si>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</si>
  <si>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</si>
  <si>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</si>
  <si>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</si>
  <si>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</si>
  <si>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</si>
  <si>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</si>
  <si>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</si>
  <si>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</si>
  <si>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</si>
  <si>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</si>
  <si>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</si>
  <si>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</si>
  <si>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</si>
  <si>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</si>
  <si>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</si>
  <si>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</si>
  <si>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</si>
  <si>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</si>
  <si>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</si>
  <si>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</si>
  <si>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</si>
  <si>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</si>
  <si>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</si>
  <si>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</si>
  <si>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</si>
  <si>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</si>
  <si>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</si>
  <si>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</si>
  <si>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</si>
  <si>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</si>
  <si>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</si>
  <si>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</si>
  <si>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</si>
  <si>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</si>
  <si>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</si>
  <si>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</si>
  <si>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</si>
  <si>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</si>
  <si>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</si>
  <si>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</si>
  <si>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</si>
  <si>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</si>
  <si>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</si>
  <si>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</si>
  <si>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</si>
  <si>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</si>
  <si>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</si>
  <si>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</si>
  <si>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</si>
  <si>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</si>
  <si>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</si>
  <si>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</si>
  <si>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</si>
  <si>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</si>
  <si>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</si>
  <si>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</si>
  <si>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</si>
  <si>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</si>
  <si>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</si>
  <si>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</si>
  <si>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</si>
  <si>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</si>
  <si>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</si>
  <si>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</si>
  <si>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</si>
  <si>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</si>
  <si>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</si>
  <si>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</si>
  <si>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</si>
  <si>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</si>
  <si>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</si>
  <si>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</si>
  <si>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</si>
  <si>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</si>
  <si>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</si>
  <si>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</si>
  <si>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</si>
  <si>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</si>
  <si>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</si>
  <si>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</si>
  <si>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</si>
  <si>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</si>
  <si>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</si>
  <si>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</si>
  <si>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</si>
  <si>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</si>
  <si>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</si>
  <si>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</si>
  <si>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</si>
  <si>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</si>
  <si>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</si>
  <si>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</si>
  <si>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</si>
  <si>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</si>
  <si>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</si>
  <si>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</si>
  <si>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</si>
  <si>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</si>
  <si>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</si>
  <si>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</si>
  <si>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</si>
  <si>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</si>
  <si>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</si>
  <si>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</si>
  <si>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</si>
  <si>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</si>
  <si>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</si>
  <si>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</si>
  <si>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</si>
  <si>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</si>
  <si>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</si>
  <si>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</si>
  <si>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</si>
  <si>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</si>
  <si>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</si>
  <si>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</si>
  <si>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</si>
  <si>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</si>
  <si>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</si>
  <si>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</si>
  <si>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</si>
  <si>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</si>
  <si>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</si>
  <si>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</si>
  <si>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</si>
  <si>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</si>
  <si>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</si>
  <si>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</si>
  <si>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</si>
  <si>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</si>
  <si>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</si>
  <si>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</si>
  <si>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</si>
  <si>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</si>
  <si>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UPSET! Normal winner is Butler</t>
  </si>
  <si>
    <t>UPSET! Normal winner is 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</si>
  <si>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</si>
  <si>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</si>
  <si>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</si>
  <si>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</si>
  <si>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Charleston Southern: 278 - 223 :Charlotte</t>
  </si>
  <si>
    <t>UPSET! Normal winner is Auburn</t>
  </si>
  <si>
    <t>Ball State: 69 - 432 :Baylor</t>
  </si>
  <si>
    <t>Bellarmine: 79 - 422 :Belmont</t>
  </si>
  <si>
    <t>Bethune-Cookman: 418 - 83 :Binghamton</t>
  </si>
  <si>
    <t>UPSET! Normal winner is Boise State</t>
  </si>
  <si>
    <t>Drake: 4 - 497 :Duke</t>
  </si>
  <si>
    <t>Bradley: 85 - 416 :Brigham Young</t>
  </si>
  <si>
    <t>Brown: 301 - 200 :Bryant</t>
  </si>
  <si>
    <t>Abilene Christian: 442 - 59 :Air Force</t>
  </si>
  <si>
    <t>Akron: 154 - 347 :Alabama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</si>
  <si>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</si>
  <si>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</si>
  <si>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</si>
  <si>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</si>
  <si>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Arkansas: 453 - 48 :Arkansas State</t>
  </si>
  <si>
    <t>Arkansas-Pine Bluff: 371 - 130 :Army</t>
  </si>
  <si>
    <t>Chattanooga: 375 - 126 :Chicago State</t>
  </si>
  <si>
    <t>Cincinnati: 303 - 198 :Clemson</t>
  </si>
  <si>
    <t>Cleveland State: 59 - 442 :Coastal Carolina</t>
  </si>
  <si>
    <t>Colgate: 92 - 409 :College of Charleston</t>
  </si>
  <si>
    <t>UPSET! Normal winner is Colorado</t>
  </si>
  <si>
    <t>Columbia: 18 - 483 :Connecticut</t>
  </si>
  <si>
    <t>Coppin State: 26 - 475 :Cornell</t>
  </si>
  <si>
    <t>Creighton: 337 - 164 :Dartmouth</t>
  </si>
  <si>
    <t>Buffalo: 364 - 137 :Cal Poly</t>
  </si>
  <si>
    <t>Cal State Bakersfield: 30 - 471 :Cal State Northridge</t>
  </si>
  <si>
    <t>Campbell: 164 - 337 :Central Arkansas</t>
  </si>
  <si>
    <t>Central Michigan: 210 - 291 :Charleston Southern</t>
  </si>
  <si>
    <t>Austin Peay: 212 - 289 :Baylor</t>
  </si>
  <si>
    <t>Belmont: 310 - 191 :Bethune-Cookman</t>
  </si>
  <si>
    <t>Boston College: 4 - 497 :Duke</t>
  </si>
  <si>
    <t>Brigham Young: 490 - 11 :Brown</t>
  </si>
  <si>
    <t>Abilene Christian: 1 - 500 :Alabama</t>
  </si>
  <si>
    <t>Alabama A&amp;M: 204 - 297 :Albany (NY)</t>
  </si>
  <si>
    <t>Appalachian State: 23 - 478 :Arizona</t>
  </si>
  <si>
    <t>Arkansas: 480 - 21 :Arkansas-Pine Bluff</t>
  </si>
  <si>
    <t>UPSET! Normal winner is Cincinnati</t>
  </si>
  <si>
    <t>Coastal Carolina: 202 - 299 :College of Charleston</t>
  </si>
  <si>
    <t>Colorado State: 53 - 448 :Connecticut</t>
  </si>
  <si>
    <t>Cornell: 181 - 320 :Creighton</t>
  </si>
  <si>
    <t>UPSET! Normal winner is Cal State Northridge</t>
  </si>
  <si>
    <t>Central Arkansas: 416 - 85 :Charleston Southern</t>
  </si>
  <si>
    <t>UPSET! Normal winner is Baylor</t>
  </si>
  <si>
    <t>Duke: 356 - 145 :Brigham Young</t>
  </si>
  <si>
    <t>Alabama: 490 - 11 :Albany (NY)</t>
  </si>
  <si>
    <t>Arizona: 413 - 88 :Arkansas</t>
  </si>
  <si>
    <t>Chattanooga: 42 - 459 :College of Charleston</t>
  </si>
  <si>
    <t>UPSET! Normal winner is Connecticut</t>
  </si>
  <si>
    <t>Buffalo: 162 - 339 :Central Arkansas</t>
  </si>
  <si>
    <t>Belmont: 48 - 453 :Duke</t>
  </si>
  <si>
    <t>UPSET! Normal winner is Arizona</t>
  </si>
  <si>
    <t>UPSET! Normal winner is College of Charleston</t>
  </si>
  <si>
    <t>Duke: 398 - 103 :Central Arkansas</t>
  </si>
  <si>
    <t>Alabama: 466 - 35 :Creighton</t>
  </si>
  <si>
    <t>Alabama: 206 - 295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</si>
</sst>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Butler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</v>
      </c>
      <c r="M6" s="82" t="e" vm="68">
        <f>_xlfn.XLOOKUP(I6,Teams!$C:$C,Teams!$E:$E,,0,1)</f>
        <v>#VALUE!</v>
      </c>
      <c r="N6" s="82">
        <v>0.7</v>
      </c>
      <c r="O6" s="189" t="str">
        <f t="shared" si="3"/>
        <v>Cal Poly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0.8</v>
      </c>
      <c r="M7" s="82" t="e" vm="70">
        <f>_xlfn.XLOOKUP(I7,Teams!$C:$C,Teams!$E:$E,,0,1)</f>
        <v>#VALUE!</v>
      </c>
      <c r="N7" s="82">
        <v>0.2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0.46</v>
      </c>
      <c r="M13" s="115" t="e" vm="82">
        <f>_xlfn.XLOOKUP(I13,Teams!$C:$C,Teams!$E:$E,,0,1)</f>
        <v>#VALUE!</v>
      </c>
      <c r="N13" s="115">
        <v>0.54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 t="s">
        <v>1139</v>
      </c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0.18</v>
      </c>
      <c r="M17" s="83" t="e" vm="90">
        <f>_xlfn.XLOOKUP(I17,Teams!$C:$C,Teams!$E:$E,,0,1)</f>
        <v>#VALUE!</v>
      </c>
      <c r="N17" s="83">
        <v>0.82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 t="s">
        <v>1143</v>
      </c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0.46</v>
      </c>
      <c r="M33" s="83" t="e" vm="122">
        <f>_xlfn.XLOOKUP(I33,Teams!$C:$C,Teams!$E:$E,,0,1)</f>
        <v>#VALUE!</v>
      </c>
      <c r="N33" s="83">
        <v>0.54</v>
      </c>
      <c r="O33" s="192" t="str">
        <f t="shared" si="3"/>
        <v>Colorado State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Cal Poly</v>
      </c>
      <c r="C38" s="91" t="str">
        <f t="shared" ref="C38:C53" si="7">IF(O38="","",IF(A38=O38,B38,A38))</f>
        <v>Cal Poly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64</v>
      </c>
      <c r="J38" s="133" cm="1">
        <f t="array" ref="J38">_xlfn.XLOOKUP(I38,Teams[[#All],[Team]],Teams[[#All],[Seed]],0,0,1)</f>
        <v>9</v>
      </c>
      <c r="K38" s="84" t="e" vm="66">
        <f>_xlfn.XLOOKUP(G38,Teams!$C:$C,Teams!$E:$E,,0,1)</f>
        <v>#VALUE!</v>
      </c>
      <c r="L38" s="84">
        <v>0.73</v>
      </c>
      <c r="M38" s="84" t="e" vm="68">
        <f>_xlfn.XLOOKUP(I38,Teams!$C:$C,Teams!$E:$E,,0,1)</f>
        <v>#VALUE!</v>
      </c>
      <c r="N38" s="84">
        <v>0.27</v>
      </c>
      <c r="O38" s="194" t="str">
        <f t="shared" ref="O38:O53" si="9">IF(L38&gt;N38,G38,I38)</f>
        <v>Buffalo</v>
      </c>
      <c r="P38" s="209" t="e" vm="66">
        <f>_xlfn.XLOOKUP(O38,Teams!$C:$C,Teams!$E:$E,,0,1)</f>
        <v>#VALUE!</v>
      </c>
      <c r="Q38" s="222" t="s">
        <v>1163</v>
      </c>
      <c r="R38" s="6" t="b">
        <f t="shared" si="5"/>
        <v>1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0.06</v>
      </c>
      <c r="M39" s="82" t="e" vm="71">
        <f>_xlfn.XLOOKUP(I39,Teams!$C:$C,Teams!$E:$E,,0,1)</f>
        <v>#VALUE!</v>
      </c>
      <c r="N39" s="82">
        <v>0.94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Campbell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0.33</v>
      </c>
      <c r="M40" s="82" t="e" vm="76">
        <f>_xlfn.XLOOKUP(I40,Teams!$C:$C,Teams!$E:$E,,0,1)</f>
        <v>#VALUE!</v>
      </c>
      <c r="N40" s="82">
        <v>0.67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Central Michigan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0.42</v>
      </c>
      <c r="M41" s="139" t="e" vm="79">
        <f>_xlfn.XLOOKUP(I41,Teams!$C:$C,Teams!$E:$E,,0,1)</f>
        <v>#VALUE!</v>
      </c>
      <c r="N41" s="139">
        <v>0.57999999999999996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Austin Peay</v>
      </c>
      <c r="B42" s="91" t="str">
        <f t="shared" si="11"/>
        <v>Baylor</v>
      </c>
      <c r="C42" s="91" t="str">
        <f t="shared" si="7"/>
        <v>Austin Peay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16</v>
      </c>
      <c r="G42" s="142" t="s">
        <v>46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2">
        <f>_xlfn.XLOOKUP(G42,Teams!$C:$C,Teams!$E:$E,,0,1)</f>
        <v>#VALUE!</v>
      </c>
      <c r="L42" s="145">
        <v>0.42</v>
      </c>
      <c r="M42" s="145" t="e" vm="84">
        <f>_xlfn.XLOOKUP(I42,Teams!$C:$C,Teams!$E:$E,,0,1)</f>
        <v>#VALUE!</v>
      </c>
      <c r="N42" s="145">
        <v>0.57999999999999996</v>
      </c>
      <c r="O42" s="196" t="str">
        <f t="shared" si="9"/>
        <v>Baylor</v>
      </c>
      <c r="P42" s="211" t="e" vm="84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0.62</v>
      </c>
      <c r="M43" s="83" t="e" vm="87">
        <f>_xlfn.XLOOKUP(I43,Teams!$C:$C,Teams!$E:$E,,0,1)</f>
        <v>#VALUE!</v>
      </c>
      <c r="N43" s="83">
        <v>0.38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Boston College</v>
      </c>
      <c r="B44" s="91" t="str">
        <f t="shared" si="11"/>
        <v>Duke</v>
      </c>
      <c r="C44" s="91" t="str">
        <f t="shared" si="7"/>
        <v>Boston College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54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90">
        <f>_xlfn.XLOOKUP(G44,Teams!$C:$C,Teams!$E:$E,,0,1)</f>
        <v>#VALUE!</v>
      </c>
      <c r="L44" s="83">
        <v>0.01</v>
      </c>
      <c r="M44" s="83" t="e" vm="92">
        <f>_xlfn.XLOOKUP(I44,Teams!$C:$C,Teams!$E:$E,,0,1)</f>
        <v>#VALUE!</v>
      </c>
      <c r="N44" s="83">
        <v>0.99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0.41</v>
      </c>
      <c r="M47" s="82" t="e" vm="103">
        <f>_xlfn.XLOOKUP(I47,Teams!$C:$C,Teams!$E:$E,,0,1)</f>
        <v>#VALUE!</v>
      </c>
      <c r="N47" s="82">
        <v>0.59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0.96</v>
      </c>
      <c r="M49" s="139" t="e" vm="111">
        <f>_xlfn.XLOOKUP(I49,Teams!$C:$C,Teams!$E:$E,,0,1)</f>
        <v>#VALUE!</v>
      </c>
      <c r="N49" s="139">
        <v>0.04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Cincinnati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0.88</v>
      </c>
      <c r="M50" s="145" t="e" vm="115">
        <f>_xlfn.XLOOKUP(I50,Teams!$C:$C,Teams!$E:$E,,0,1)</f>
        <v>#VALUE!</v>
      </c>
      <c r="N50" s="145">
        <v>0.12</v>
      </c>
      <c r="O50" s="196" t="str">
        <f t="shared" si="9"/>
        <v>Chattanooga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Coastal Carolina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0.4</v>
      </c>
      <c r="M51" s="83" t="e" vm="120">
        <f>_xlfn.XLOOKUP(I51,Teams!$C:$C,Teams!$E:$E,,0,1)</f>
        <v>#VALUE!</v>
      </c>
      <c r="N51" s="83">
        <v>0.6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 State</v>
      </c>
      <c r="B52" s="91" t="str">
        <f t="shared" si="11"/>
        <v>Connecticut</v>
      </c>
      <c r="C52" s="91" t="str">
        <f t="shared" si="7"/>
        <v>Colorado State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86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2">
        <f>_xlfn.XLOOKUP(G52,Teams!$C:$C,Teams!$E:$E,,0,1)</f>
        <v>#VALUE!</v>
      </c>
      <c r="L52" s="83">
        <v>0.11</v>
      </c>
      <c r="M52" s="83" t="e" vm="124">
        <f>_xlfn.XLOOKUP(I52,Teams!$C:$C,Teams!$E:$E,,0,1)</f>
        <v>#VALUE!</v>
      </c>
      <c r="N52" s="83">
        <v>0.89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Buffalo</v>
      </c>
      <c r="B55" s="91" t="str">
        <f>I55</f>
        <v>Cal State Northridge</v>
      </c>
      <c r="C55" s="91" t="str">
        <f t="shared" ref="C55:C62" si="12">IF(O55="","",IF(A55=O55,B55,A55))</f>
        <v>Cal State Northridge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16</v>
      </c>
      <c r="G55" s="94" t="s">
        <v>62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6">
        <f>_xlfn.XLOOKUP(G55,Teams!$C:$C,Teams!$E:$E,,0,1)</f>
        <v>#VALUE!</v>
      </c>
      <c r="L55" s="97">
        <v>0.59</v>
      </c>
      <c r="M55" s="97" t="e" vm="71">
        <f>_xlfn.XLOOKUP(I55,Teams!$C:$C,Teams!$E:$E,,0,1)</f>
        <v>#VALUE!</v>
      </c>
      <c r="N55" s="97">
        <v>0.41</v>
      </c>
      <c r="O55" s="188" t="str">
        <f t="shared" ref="O55:O62" si="14">IF(L55&gt;N55,G55,I55)</f>
        <v>Buffalo</v>
      </c>
      <c r="P55" s="204" t="e" vm="66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Charleston Southern</v>
      </c>
      <c r="C56" s="91" t="str">
        <f t="shared" si="12"/>
        <v>Charleston Southern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75</v>
      </c>
      <c r="J56" s="138" cm="1">
        <f t="array" ref="J56">_xlfn.XLOOKUP(I56,Teams[[#All],[Team]],Teams[[#All],[Seed]],0,0,1)</f>
        <v>2</v>
      </c>
      <c r="K56" s="139" t="e" vm="76">
        <f>_xlfn.XLOOKUP(G56,Teams!$C:$C,Teams!$E:$E,,0,1)</f>
        <v>#VALUE!</v>
      </c>
      <c r="L56" s="139">
        <v>0.83</v>
      </c>
      <c r="M56" s="139" t="e" vm="79">
        <f>_xlfn.XLOOKUP(I56,Teams!$C:$C,Teams!$E:$E,,0,1)</f>
        <v>#VALUE!</v>
      </c>
      <c r="N56" s="139">
        <v>0.17</v>
      </c>
      <c r="O56" s="195" t="str">
        <f t="shared" si="14"/>
        <v>Central Arkansas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Baylor</v>
      </c>
      <c r="B57" s="91" t="str">
        <f t="shared" si="16"/>
        <v>Belmont</v>
      </c>
      <c r="C57" s="91" t="str">
        <f t="shared" si="12"/>
        <v>Baylor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9</v>
      </c>
      <c r="G57" s="142" t="s">
        <v>48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4">
        <f>_xlfn.XLOOKUP(G57,Teams!$C:$C,Teams!$E:$E,,0,1)</f>
        <v>#VALUE!</v>
      </c>
      <c r="L57" s="145">
        <v>0.41</v>
      </c>
      <c r="M57" s="145" t="e" vm="86">
        <f>_xlfn.XLOOKUP(I57,Teams!$C:$C,Teams!$E:$E,,0,1)</f>
        <v>#VALUE!</v>
      </c>
      <c r="N57" s="145">
        <v>0.59</v>
      </c>
      <c r="O57" s="196" t="str">
        <f t="shared" si="14"/>
        <v>Belmont</v>
      </c>
      <c r="P57" s="211" t="e" vm="86">
        <f>_xlfn.XLOOKUP(O57,Teams!$C:$C,Teams!$E:$E,,0,1)</f>
        <v>#VALUE!</v>
      </c>
      <c r="Q57" s="225" t="s">
        <v>1181</v>
      </c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Albany (NY)</v>
      </c>
      <c r="C59" s="152" t="str">
        <f t="shared" si="12"/>
        <v>Albany (NY)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35</v>
      </c>
      <c r="J59" s="133" cm="1">
        <f t="array" ref="J59">_xlfn.XLOOKUP(I59,Teams[[#All],[Team]],Teams[[#All],[Seed]],0,0,1)</f>
        <v>4</v>
      </c>
      <c r="K59" s="84" t="e" vm="100">
        <f>_xlfn.XLOOKUP(G59,Teams!$C:$C,Teams!$E:$E,,0,1)</f>
        <v>#VALUE!</v>
      </c>
      <c r="L59" s="84">
        <v>0.98</v>
      </c>
      <c r="M59" s="84" t="e" vm="103">
        <f>_xlfn.XLOOKUP(I59,Teams!$C:$C,Teams!$E:$E,,0,1)</f>
        <v>#VALUE!</v>
      </c>
      <c r="N59" s="84">
        <v>0.02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College of Charleston</v>
      </c>
      <c r="C61" s="91" t="str">
        <f t="shared" si="12"/>
        <v>Chattanooga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3">
        <f>_xlfn.XLOOKUP(G61,Teams!$C:$C,Teams!$E:$E,,0,1)</f>
        <v>#VALUE!</v>
      </c>
      <c r="L61" s="145">
        <v>0.08</v>
      </c>
      <c r="M61" s="145" t="e" vm="120">
        <f>_xlfn.XLOOKUP(I61,Teams!$C:$C,Teams!$E:$E,,0,1)</f>
        <v>#VALUE!</v>
      </c>
      <c r="N61" s="145">
        <v>0.92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Connecticut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0.13</v>
      </c>
      <c r="M62" s="151" t="e" vm="127">
        <f>_xlfn.XLOOKUP(I62,Teams!$C:$C,Teams!$E:$E,,0,1)</f>
        <v>#VALUE!</v>
      </c>
      <c r="N62" s="151">
        <v>0.87</v>
      </c>
      <c r="O62" s="197" t="str">
        <f t="shared" si="14"/>
        <v>Creighton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Buffalo</v>
      </c>
      <c r="B64" s="91" t="str">
        <f>I64</f>
        <v>Central Arkansas</v>
      </c>
      <c r="C64" s="91" t="str">
        <f>IF(O64="","",IF(A64=O64,B64,A64))</f>
        <v>Buffalo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16</v>
      </c>
      <c r="G64" s="155" t="s">
        <v>62</v>
      </c>
      <c r="H64" s="185" t="s">
        <v>9</v>
      </c>
      <c r="I64" s="156" t="s">
        <v>72</v>
      </c>
      <c r="J64" s="157" cm="1">
        <f t="array" ref="J64">_xlfn.XLOOKUP(I64,Teams[[#All],[Team]],Teams[[#All],[Seed]],0,0,1)</f>
        <v>14</v>
      </c>
      <c r="K64" s="158" t="e" vm="66">
        <f>_xlfn.XLOOKUP(G64,Teams!$C:$C,Teams!$E:$E,,0,1)</f>
        <v>#VALUE!</v>
      </c>
      <c r="L64" s="158">
        <v>0.32</v>
      </c>
      <c r="M64" s="158" t="e" vm="76">
        <f>_xlfn.XLOOKUP(I64,Teams!$C:$C,Teams!$E:$E,,0,1)</f>
        <v>#VALUE!</v>
      </c>
      <c r="N64" s="158">
        <v>0.68</v>
      </c>
      <c r="O64" s="198" t="str">
        <f>IF(L64&gt;N64,G64,I64)</f>
        <v>Central Arkansas</v>
      </c>
      <c r="P64" s="204" t="e" vm="76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Belmont</v>
      </c>
      <c r="B65" s="91" t="str">
        <f>I65</f>
        <v>Duke</v>
      </c>
      <c r="C65" s="91" t="str">
        <f>IF(O65="","",IF(A65=O65,B65,A65))</f>
        <v>Belmont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12</v>
      </c>
      <c r="G65" s="161" t="s">
        <v>50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6">
        <f>_xlfn.XLOOKUP(G65,Teams!$C:$C,Teams!$E:$E,,0,1)</f>
        <v>#VALUE!</v>
      </c>
      <c r="L65" s="164">
        <v>0.1</v>
      </c>
      <c r="M65" s="164" t="e" vm="92">
        <f>_xlfn.XLOOKUP(I65,Teams!$C:$C,Teams!$E:$E,,0,1)</f>
        <v>#VALUE!</v>
      </c>
      <c r="N65" s="164">
        <v>0.9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Arizona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0.77</v>
      </c>
      <c r="M66" s="158" t="e" vm="107">
        <f>_xlfn.XLOOKUP(I66,Teams!$C:$C,Teams!$E:$E,,0,1)</f>
        <v>#VALUE!</v>
      </c>
      <c r="N66" s="158">
        <v>0.23</v>
      </c>
      <c r="O66" s="198" t="str">
        <f>IF(L66&gt;N66,G66,I66)</f>
        <v>Alabama</v>
      </c>
      <c r="P66" s="204" t="e" vm="100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Creighton</v>
      </c>
      <c r="C67" s="91" t="str">
        <f>IF(O67="","",IF(A67=O67,B67,A67))</f>
        <v>College of Charleston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91</v>
      </c>
      <c r="J67" s="163" cm="1">
        <f t="array" ref="J67">_xlfn.XLOOKUP(I67,Teams[[#All],[Team]],Teams[[#All],[Seed]],0,0,1)</f>
        <v>2</v>
      </c>
      <c r="K67" s="164" t="e" vm="120">
        <f>_xlfn.XLOOKUP(G67,Teams!$C:$C,Teams!$E:$E,,0,1)</f>
        <v>#VALUE!</v>
      </c>
      <c r="L67" s="164">
        <v>0.21</v>
      </c>
      <c r="M67" s="164" t="e" vm="127">
        <f>_xlfn.XLOOKUP(I67,Teams!$C:$C,Teams!$E:$E,,0,1)</f>
        <v>#VALUE!</v>
      </c>
      <c r="N67" s="164">
        <v>0.79</v>
      </c>
      <c r="O67" s="199" t="str">
        <f>IF(L67&gt;N67,G67,I67)</f>
        <v>Creighton</v>
      </c>
      <c r="P67" s="207" t="e" vm="127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Central Arkansas</v>
      </c>
      <c r="B69" s="91" t="str">
        <f>I69</f>
        <v>Duke</v>
      </c>
      <c r="C69" s="91" t="str">
        <f>IF(O69="","",IF(A69=O69,B69,A69))</f>
        <v>Central Arkansas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14</v>
      </c>
      <c r="G69" s="167" t="s">
        <v>72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6">
        <f>_xlfn.XLOOKUP(G69,Teams!$C:$C,Teams!$E:$E,,0,1)</f>
        <v>#VALUE!</v>
      </c>
      <c r="L69" s="170">
        <v>0.21</v>
      </c>
      <c r="M69" s="170" t="e" vm="92">
        <f>_xlfn.XLOOKUP(I69,Teams!$C:$C,Teams!$E:$E,,0,1)</f>
        <v>#VALUE!</v>
      </c>
      <c r="N69" s="170">
        <v>0.79</v>
      </c>
      <c r="O69" s="200" t="str">
        <f>IF(L69&gt;N69,G69,I69)</f>
        <v>Duke</v>
      </c>
      <c r="P69" s="210" t="e" vm="92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Alabama</v>
      </c>
      <c r="B70" s="91" t="str">
        <f>I70</f>
        <v>Creighton</v>
      </c>
      <c r="C70" s="91" t="str">
        <f>IF(O70="","",IF(A70=O70,B70,A70))</f>
        <v>Creighton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9</v>
      </c>
      <c r="G70" s="161" t="s">
        <v>32</v>
      </c>
      <c r="H70" s="186" t="s">
        <v>9</v>
      </c>
      <c r="I70" s="162" t="s">
        <v>91</v>
      </c>
      <c r="J70" s="163" cm="1">
        <f t="array" ref="J70">_xlfn.XLOOKUP(I70,Teams[[#All],[Team]],Teams[[#All],[Seed]],0,0,1)</f>
        <v>2</v>
      </c>
      <c r="K70" s="164" t="e" vm="100">
        <f>_xlfn.XLOOKUP(G70,Teams!$C:$C,Teams!$E:$E,,0,1)</f>
        <v>#VALUE!</v>
      </c>
      <c r="L70" s="164">
        <v>0.93</v>
      </c>
      <c r="M70" s="164" t="e" vm="127">
        <f>_xlfn.XLOOKUP(I70,Teams!$C:$C,Teams!$E:$E,,0,1)</f>
        <v>#VALUE!</v>
      </c>
      <c r="N70" s="164">
        <v>7.0000000000000007E-2</v>
      </c>
      <c r="O70" s="199" t="str">
        <f>IF(L70&gt;N70,G70,I70)</f>
        <v>Alabama</v>
      </c>
      <c r="P70" s="213" t="e" vm="100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Alabama</v>
      </c>
      <c r="C72" s="91" t="str">
        <f>IF(O72="","",IF(A72=O72,B72,A72))</f>
        <v>Alabama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32</v>
      </c>
      <c r="J72" s="157" cm="1">
        <f t="array" ref="J72">_xlfn.XLOOKUP(I72,Teams[[#All],[Team]],Teams[[#All],[Seed]],0,0,1)</f>
        <v>9</v>
      </c>
      <c r="K72" s="158" t="e" vm="92">
        <f>_xlfn.XLOOKUP(G72,Teams!$C:$C,Teams!$E:$E,,0,1)</f>
        <v>#VALUE!</v>
      </c>
      <c r="L72" s="158">
        <v>0.59</v>
      </c>
      <c r="M72" s="158" t="e" vm="100">
        <f>_xlfn.XLOOKUP(I72,Teams!$C:$C,Teams!$E:$E,,0,1)</f>
        <v>#VALUE!</v>
      </c>
      <c r="N72" s="158">
        <v>0.41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0.73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Buffalo</v>
      </c>
      <c r="J7" s="247" t="e" vm="66">
        <f>_xlfn.XLOOKUP(I7,Teams!$C:$C,Teams!$E:$E,,0,1)</f>
        <v>#VALUE!</v>
      </c>
      <c r="K7" s="264">
        <f>Games!L55</f>
        <v>0.59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0.98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0.3</v>
      </c>
      <c r="F9" s="262" t="str">
        <f>Games!O6</f>
        <v>Cal Poly</v>
      </c>
      <c r="G9" s="247" t="e" vm="68">
        <f>_xlfn.XLOOKUP(F9,Teams!$C:$C,Teams!$E:$E,,0,1)</f>
        <v>#VALUE!</v>
      </c>
      <c r="H9" s="277">
        <f>Games!N38</f>
        <v>0.27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0.7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Buffalo</v>
      </c>
      <c r="M11" s="247" t="e" vm="66">
        <f>_xlfn.XLOOKUP(L11,Teams!$C:$C,Teams!$E:$E,,0,1)</f>
        <v>#VALUE!</v>
      </c>
      <c r="N11" s="264">
        <f>Games!L64</f>
        <v>0.32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0.77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0.8</v>
      </c>
      <c r="F13" s="262" t="str">
        <f>Games!O7</f>
        <v>Cal State Bakersfield</v>
      </c>
      <c r="G13" s="247" t="e" vm="69">
        <f>_xlfn.XLOOKUP(F13,Teams!$C:$C,Teams!$E:$E,,0,1)</f>
        <v>#VALUE!</v>
      </c>
      <c r="H13" s="264">
        <f>Games!L39</f>
        <v>0.06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0.41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0.2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0.41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0.02</v>
      </c>
      <c r="AF15" s="249" t="e" vm="103">
        <f>_xlfn.XLOOKUP(AG15,Teams!$C:$C,Teams!$E:$E,,0,1)</f>
        <v>#VALUE!</v>
      </c>
      <c r="AG15" s="262" t="str">
        <f>Games!O47</f>
        <v>Albany (NY)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0.94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0.59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Central Arkansas</v>
      </c>
      <c r="P19" s="247" t="e" vm="76">
        <f>_xlfn.XLOOKUP(O19,Teams!$C:$C,Teams!$E:$E,,0,1)</f>
        <v>#VALUE!</v>
      </c>
      <c r="Q19" s="264">
        <f>Games!L69</f>
        <v>0.21</v>
      </c>
      <c r="R19" s="25"/>
      <c r="S19" s="25"/>
      <c r="T19" s="257"/>
      <c r="U19" s="258"/>
      <c r="V19" s="259"/>
      <c r="W19" s="25"/>
      <c r="X19" s="25"/>
      <c r="Y19" s="264">
        <f>Games!L70</f>
        <v>0.93</v>
      </c>
      <c r="Z19" s="249" t="e" vm="100">
        <f>_xlfn.XLOOKUP(AA19,Teams!$C:$C,Teams!$E:$E,,0,1)</f>
        <v>#VALUE!</v>
      </c>
      <c r="AA19" s="262" t="str">
        <f>Games!O66</f>
        <v>Alabama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0.33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0.83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0.67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Central Arkansas</v>
      </c>
      <c r="M27" s="247" t="e" vm="76">
        <f>_xlfn.XLOOKUP(L27,Teams!$C:$C,Teams!$E:$E,,0,1)</f>
        <v>#VALUE!</v>
      </c>
      <c r="N27" s="277">
        <f>Games!N64</f>
        <v>0.68</v>
      </c>
      <c r="O27" s="25"/>
      <c r="P27" s="25"/>
      <c r="Q27" s="50"/>
      <c r="R27" s="279" t="str">
        <f>Games!O69</f>
        <v>Duke</v>
      </c>
      <c r="S27" s="262"/>
      <c r="T27" s="262"/>
      <c r="U27" s="289" t="e" vm="92">
        <f>_xlfn.XLOOKUP(R27,Teams!$C:$C,Teams!$E:$E,,0,1)</f>
        <v>#VALUE!</v>
      </c>
      <c r="V27" s="267">
        <f>Games!L72</f>
        <v>0.59</v>
      </c>
      <c r="W27" s="24"/>
      <c r="X27" s="25"/>
      <c r="Y27" s="56"/>
      <c r="AA27" s="25"/>
      <c r="AB27" s="269">
        <f>Games!N66</f>
        <v>0.23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0.42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0.96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Charleston Southern</v>
      </c>
      <c r="J31" s="247" t="e" vm="79">
        <f>_xlfn.XLOOKUP(I31,Teams!$C:$C,Teams!$E:$E,,0,1)</f>
        <v>#VALUE!</v>
      </c>
      <c r="K31" s="277">
        <f>Games!N56</f>
        <v>0.17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0.57999999999999996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0.46</v>
      </c>
      <c r="F37" s="262" t="str">
        <f>Games!O13</f>
        <v>Austin Peay</v>
      </c>
      <c r="G37" s="247" t="e" vm="82">
        <f>_xlfn.XLOOKUP(F37,Teams!$C:$C,Teams!$E:$E,,0,1)</f>
        <v>#VALUE!</v>
      </c>
      <c r="H37" s="264">
        <f>Games!L42</f>
        <v>0.42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0.88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0.54</v>
      </c>
      <c r="F39" s="282">
        <f>IF($AU$5=TRUE,F31+1,"")</f>
        <v>37</v>
      </c>
      <c r="G39" s="14"/>
      <c r="H39" s="49"/>
      <c r="I39" s="279" t="str">
        <f>Games!O42</f>
        <v>Baylor</v>
      </c>
      <c r="J39" s="247" t="e" vm="84">
        <f>_xlfn.XLOOKUP(I39,Teams!$C:$C,Teams!$E:$E,,0,1)</f>
        <v>#VALUE!</v>
      </c>
      <c r="K39" s="264">
        <f>Games!L57</f>
        <v>0.41</v>
      </c>
      <c r="L39" s="25"/>
      <c r="M39" s="25"/>
      <c r="O39" s="25"/>
      <c r="P39" s="25"/>
      <c r="Q39" s="50"/>
      <c r="R39" s="25"/>
      <c r="S39" s="25"/>
      <c r="T39" s="267">
        <f>Games!N72</f>
        <v>0.41</v>
      </c>
      <c r="U39" s="293" t="e" vm="100">
        <f>_xlfn.XLOOKUP(V39,Teams!$C:$C,Teams!$E:$E,,0,1)</f>
        <v>#VALUE!</v>
      </c>
      <c r="V39" s="262" t="str">
        <f>Games!O70</f>
        <v>Alabama</v>
      </c>
      <c r="W39" s="262"/>
      <c r="X39" s="295"/>
      <c r="Y39" s="56"/>
      <c r="AA39" s="25"/>
      <c r="AD39" s="25"/>
      <c r="AE39" s="269">
        <f>Games!L61</f>
        <v>0.08</v>
      </c>
      <c r="AF39" s="249" t="e" vm="113">
        <f>_xlfn.XLOOKUP(AG39,Teams!$C:$C,Teams!$E:$E,,0,1)</f>
        <v>#VALUE!</v>
      </c>
      <c r="AG39" s="262" t="str">
        <f>Games!O50</f>
        <v>Chattanooga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0.57999999999999996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0.12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Belmont</v>
      </c>
      <c r="M43" s="247" t="e" vm="86">
        <f>_xlfn.XLOOKUP(L43,Teams!$C:$C,Teams!$E:$E,,0,1)</f>
        <v>#VALUE!</v>
      </c>
      <c r="N43" s="264">
        <f>Games!L65</f>
        <v>0.1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0.21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0.62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0.4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0.59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0.92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0.38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0.6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0.79</v>
      </c>
      <c r="R51" s="25"/>
      <c r="S51" s="25"/>
      <c r="T51" s="25"/>
      <c r="U51" s="75"/>
      <c r="V51" s="25"/>
      <c r="W51" s="25"/>
      <c r="X51" s="25"/>
      <c r="Y51" s="269">
        <f>Games!N70</f>
        <v>7.0000000000000007E-2</v>
      </c>
      <c r="Z51" s="249" t="e" vm="127">
        <f>_xlfn.XLOOKUP(AA51,Teams!$C:$C,Teams!$E:$E,,0,1)</f>
        <v>#VALUE!</v>
      </c>
      <c r="AA51" s="262" t="str">
        <f>Games!O67</f>
        <v>Creighton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0.18</v>
      </c>
      <c r="F53" s="262" t="str">
        <f>Games!O17</f>
        <v>Boston College</v>
      </c>
      <c r="G53" s="247" t="e" vm="90">
        <f>_xlfn.XLOOKUP(F53,Teams!$C:$C,Teams!$E:$E,,0,1)</f>
        <v>#VALUE!</v>
      </c>
      <c r="H53" s="264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0.11</v>
      </c>
      <c r="AI53" s="249" t="e" vm="122">
        <f>_xlfn.XLOOKUP(AJ53,Teams!$C:$C,Teams!$E:$E,,0,1)</f>
        <v>#VALUE!</v>
      </c>
      <c r="AJ53" s="262" t="str">
        <f>Games!O33</f>
        <v>Colorado State</v>
      </c>
      <c r="AK53" s="58">
        <f>Games!L33</f>
        <v>0.46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0.82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0.13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0.54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0.89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0.9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0.79</v>
      </c>
      <c r="AC59" s="249" t="e" vm="127">
        <f>_xlfn.XLOOKUP(AD59,Teams!$C:$C,Teams!$E:$E,,0,1)</f>
        <v>#VALUE!</v>
      </c>
      <c r="AD59" s="262" t="str">
        <f>Games!O62</f>
        <v>Creighton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0.87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2026-03-07T03:28:04Z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