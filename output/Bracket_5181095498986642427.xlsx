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602B62BC-723F-4280-9C63-B4FB06D468FA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<sst xmlns="http://schemas.openxmlformats.org/spreadsheetml/2006/main" count="1526" uniqueCount="1194">
  <si>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</si>
  <si>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</si>
  <si>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</si>
  <si>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</si>
  <si>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</si>
  <si>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</si>
  <si>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</si>
  <si>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</si>
  <si>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</si>
  <si>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</si>
  <si>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</si>
  <si>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</si>
  <si>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</si>
  <si>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</si>
  <si>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</si>
  <si>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</si>
  <si>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</si>
  <si>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</si>
  <si>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</si>
  <si>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</si>
  <si>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</si>
  <si>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</si>
  <si>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</si>
  <si>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</si>
  <si>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</si>
  <si>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</si>
  <si>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</si>
  <si>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</si>
  <si>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</si>
  <si>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</si>
  <si>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</si>
  <si>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</si>
  <si>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</si>
  <si>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</si>
  <si>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</si>
  <si>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</si>
  <si>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</si>
  <si>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</si>
  <si>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</si>
  <si>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</si>
  <si>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</si>
  <si>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</si>
  <si>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</si>
  <si>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</si>
  <si>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</si>
  <si>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</si>
  <si>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</si>
  <si>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</si>
  <si>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</si>
  <si>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</si>
  <si>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</si>
  <si>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</si>
  <si>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</si>
  <si>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</si>
  <si>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</si>
  <si>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</si>
  <si>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</si>
  <si>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</si>
  <si>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</si>
  <si>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</si>
  <si>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</si>
  <si>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</si>
  <si>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</si>
  <si>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</si>
  <si>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</si>
  <si>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</si>
  <si>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</si>
  <si>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</si>
  <si>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</si>
  <si>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</si>
  <si>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</si>
  <si>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</si>
  <si>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</si>
  <si>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</si>
  <si>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</si>
  <si>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</si>
  <si>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</si>
  <si>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</si>
  <si>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</si>
  <si>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</si>
  <si>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</si>
  <si>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</si>
  <si>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</si>
  <si>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</si>
  <si>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</si>
  <si>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</si>
  <si>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</si>
  <si>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</si>
  <si>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</si>
  <si>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</si>
  <si>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</si>
  <si>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</si>
  <si>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</si>
  <si>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</si>
  <si>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</si>
  <si>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</si>
  <si>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</si>
  <si>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</si>
  <si>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</si>
  <si>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</si>
  <si>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</si>
  <si>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</si>
  <si>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</si>
  <si>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</si>
  <si>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</si>
  <si>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</si>
  <si>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</si>
  <si>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</si>
  <si>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</si>
  <si>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</si>
  <si>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</si>
  <si>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</si>
  <si>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</si>
  <si>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</si>
  <si>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</si>
  <si>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</si>
  <si>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</si>
  <si>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</si>
  <si>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</si>
  <si>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</si>
  <si>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</si>
  <si>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</si>
  <si>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</si>
  <si>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</si>
  <si>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</si>
  <si>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</si>
  <si>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</si>
  <si>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</si>
  <si>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</si>
  <si>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</si>
  <si>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</si>
  <si>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</si>
  <si>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</si>
  <si>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</si>
  <si>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</si>
  <si>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</si>
  <si>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</si>
  <si>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</si>
  <si>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</si>
  <si>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</si>
  <si>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</si>
  <si>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</si>
  <si>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</si>
  <si>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</si>
  <si>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</si>
  <si>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</si>
  <si>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</si>
  <si>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</si>
  <si>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</si>
  <si>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</si>
  <si>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</si>
  <si>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</si>
  <si>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</si>
  <si>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</si>
  <si>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</si>
  <si>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</si>
  <si>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</si>
  <si>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</si>
  <si>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</si>
  <si>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</si>
  <si>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</si>
  <si>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</si>
  <si>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</si>
  <si>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</si>
  <si>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</si>
  <si>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</si>
  <si>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</si>
  <si>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</si>
  <si>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</si>
  <si>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</si>
  <si>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</si>
  <si>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</si>
  <si>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</si>
  <si>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</si>
  <si>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</si>
  <si>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</si>
  <si>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</si>
  <si>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</si>
  <si>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</si>
  <si>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</si>
  <si>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</si>
  <si>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</si>
  <si>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</si>
  <si>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</si>
  <si>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</si>
  <si>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</si>
  <si>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</si>
  <si>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</si>
  <si>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</si>
  <si>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</si>
  <si>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</si>
  <si>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</si>
  <si>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</si>
  <si>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</si>
  <si>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</si>
  <si>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</si>
  <si>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</si>
  <si>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</si>
  <si>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</si>
  <si>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</si>
  <si>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</si>
  <si>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</si>
  <si>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</si>
  <si>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</si>
  <si>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</si>
  <si>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</si>
  <si>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</si>
  <si>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</si>
  <si>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</si>
  <si>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</si>
  <si>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</si>
  <si>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</si>
  <si>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</si>
  <si>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</si>
  <si>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</si>
  <si>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</si>
  <si>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</si>
  <si>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</si>
  <si>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</si>
  <si>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</si>
  <si>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</si>
  <si>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</si>
  <si>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</si>
  <si>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</si>
  <si>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</si>
  <si>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</si>
  <si>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</si>
  <si>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</si>
  <si>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</si>
  <si>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</si>
  <si>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</si>
  <si>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</si>
  <si>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</si>
  <si>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</si>
  <si>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</si>
  <si>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</si>
  <si>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</si>
  <si>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</si>
  <si>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</si>
  <si>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</si>
  <si>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</si>
  <si>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</si>
  <si>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</si>
  <si>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</si>
  <si>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</si>
  <si>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</si>
  <si>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</si>
  <si>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</si>
  <si>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</si>
  <si>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</si>
  <si>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</si>
  <si>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</si>
  <si>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</si>
  <si>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</si>
  <si>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</si>
  <si>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</si>
  <si>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</si>
  <si>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</si>
  <si>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</si>
  <si>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</si>
  <si>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</si>
  <si>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</si>
  <si>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</si>
  <si>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</si>
  <si>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</si>
  <si>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</si>
  <si>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</si>
  <si>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</si>
  <si>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</si>
  <si>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</si>
  <si>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</si>
  <si>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</si>
  <si>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</si>
  <si>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</si>
  <si>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</si>
  <si>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</si>
  <si>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</si>
  <si>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</si>
  <si>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</si>
  <si>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</si>
  <si>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</si>
  <si>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</si>
  <si>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</si>
  <si>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</si>
  <si>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</si>
  <si>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</si>
  <si>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</si>
  <si>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</si>
  <si>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</si>
  <si>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</si>
  <si>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</si>
  <si>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</si>
  <si>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</si>
  <si>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</si>
  <si>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</si>
  <si>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</si>
  <si>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</si>
  <si>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</si>
  <si>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</si>
  <si>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</si>
  <si>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</si>
  <si>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</si>
  <si>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</si>
  <si>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</si>
  <si>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</si>
  <si>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</si>
  <si>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</si>
  <si>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</si>
  <si>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</si>
  <si>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</si>
  <si>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</si>
  <si>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</si>
  <si>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</si>
  <si>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</si>
  <si>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</si>
  <si>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</si>
  <si>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</si>
  <si>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</si>
  <si>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</si>
  <si>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</si>
  <si>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</si>
  <si>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</si>
  <si>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</si>
  <si>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</si>
  <si>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</si>
  <si>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</si>
  <si>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</si>
  <si>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</si>
  <si>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</si>
  <si>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</si>
  <si>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</si>
  <si>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</si>
  <si>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</si>
  <si>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</si>
  <si>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</si>
  <si>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</si>
  <si>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</si>
  <si>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</si>
  <si>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</si>
  <si>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</si>
  <si>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</si>
  <si>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</si>
  <si>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</si>
  <si>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</si>
  <si>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</si>
  <si>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</si>
  <si>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</si>
  <si>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</si>
  <si>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</si>
  <si>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</si>
  <si>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</si>
  <si>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</si>
  <si>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</si>
  <si>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</si>
  <si>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</si>
  <si>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</si>
  <si>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</si>
  <si>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</si>
  <si>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</si>
  <si>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</si>
  <si>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</si>
  <si>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</si>
  <si>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</si>
  <si>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</si>
  <si>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</si>
  <si>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</si>
  <si>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</si>
  <si>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</si>
  <si>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</si>
  <si>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</si>
  <si>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</si>
  <si>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</si>
  <si>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</si>
  <si>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</si>
  <si>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</si>
  <si>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</si>
  <si>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</si>
  <si>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</si>
  <si>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</si>
  <si>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</si>
  <si>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</si>
  <si>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</si>
  <si>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</si>
  <si>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</si>
  <si>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</si>
  <si>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</si>
  <si>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</si>
  <si>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</si>
  <si>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</si>
  <si>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</si>
  <si>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</si>
  <si>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</si>
  <si>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</si>
  <si>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</si>
  <si>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</si>
  <si>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</si>
  <si>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</si>
  <si>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</si>
  <si>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</si>
  <si>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</si>
  <si>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</si>
  <si>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</si>
  <si>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</si>
  <si>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</si>
  <si>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</si>
  <si>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</si>
  <si>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</si>
  <si>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</si>
  <si>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</si>
  <si>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</si>
  <si>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</si>
  <si>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</si>
  <si>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</si>
  <si>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</si>
  <si>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</si>
  <si>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</si>
  <si>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</si>
  <si>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</si>
  <si>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</si>
  <si>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</si>
  <si>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</si>
  <si>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</si>
  <si>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</si>
  <si>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</si>
  <si>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</si>
  <si>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</si>
  <si>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</si>
  <si>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</si>
  <si>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</si>
  <si>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</si>
  <si>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</si>
  <si>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</si>
  <si>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</si>
  <si>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</si>
  <si>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</si>
  <si>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</si>
  <si>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</si>
  <si>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</si>
  <si>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</si>
  <si>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</si>
  <si>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</si>
  <si>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</si>
  <si>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</si>
  <si>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</si>
  <si>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</si>
  <si>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</si>
  <si>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</si>
  <si>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</si>
  <si>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</si>
  <si>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</si>
  <si>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</si>
  <si>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</si>
  <si>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</si>
  <si>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</si>
  <si>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</si>
  <si>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</si>
  <si>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</si>
  <si>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</si>
  <si>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</si>
  <si>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</si>
  <si>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</si>
  <si>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</si>
  <si>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</si>
  <si>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</si>
  <si>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</si>
  <si>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</si>
  <si>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</si>
  <si>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</si>
  <si>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</si>
  <si>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</si>
  <si>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</si>
  <si>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</si>
  <si>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</si>
  <si>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</si>
  <si>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</si>
  <si>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</si>
  <si>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</si>
  <si>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</si>
  <si>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</si>
  <si>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</si>
  <si>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</si>
  <si>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</si>
  <si>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</si>
  <si>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</si>
  <si>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</si>
  <si>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</si>
  <si>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</si>
  <si>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</si>
  <si>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</si>
  <si>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</si>
  <si>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</si>
  <si>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</si>
  <si>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</si>
  <si>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</si>
  <si>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</si>
  <si>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</si>
  <si>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</si>
  <si>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</si>
  <si>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</si>
  <si>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</si>
  <si>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</si>
  <si>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</si>
  <si>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</si>
  <si>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</si>
  <si>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</si>
  <si>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</si>
  <si>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</si>
  <si>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</si>
  <si>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</si>
  <si>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</si>
  <si>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</si>
  <si>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</si>
  <si>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</si>
  <si>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</si>
  <si>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</si>
  <si>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</si>
  <si>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</si>
  <si>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</si>
  <si>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</si>
  <si>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</si>
  <si>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</si>
  <si>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</si>
  <si>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</si>
  <si>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</si>
  <si>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</si>
  <si>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</si>
  <si>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</si>
  <si>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</si>
  <si>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</si>
  <si>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</si>
  <si>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</si>
  <si>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</si>
  <si>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</si>
  <si>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</si>
  <si>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</si>
  <si>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</si>
  <si>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</si>
  <si>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</si>
  <si>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</si>
  <si>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</si>
  <si>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</si>
  <si>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</si>
  <si>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</si>
  <si>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</si>
  <si>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</si>
  <si>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</si>
  <si>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</si>
  <si>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</si>
  <si>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</si>
  <si>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</si>
  <si>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</si>
  <si>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</si>
  <si>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</si>
  <si>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</si>
  <si>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</si>
  <si>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</si>
  <si>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</si>
  <si>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</si>
  <si>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</si>
  <si>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</si>
  <si>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</si>
  <si>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</si>
  <si>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</si>
  <si>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</si>
  <si>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</si>
  <si>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</si>
  <si>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</si>
  <si>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</si>
  <si>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</si>
  <si>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</si>
  <si>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</si>
  <si>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</si>
  <si>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</si>
  <si>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</si>
  <si>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</si>
  <si>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</si>
  <si>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</si>
  <si>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</si>
  <si>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</si>
  <si>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</si>
  <si>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</si>
  <si>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</si>
  <si>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</si>
  <si>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</si>
  <si>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</si>
  <si>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</si>
  <si>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</si>
  <si>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</si>
  <si>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</si>
  <si>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</si>
  <si>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</si>
  <si>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</si>
  <si>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</si>
  <si>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</si>
  <si>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</si>
  <si>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</si>
  <si>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</si>
  <si>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</si>
  <si>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</si>
  <si>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</si>
  <si>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</si>
  <si>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</si>
  <si>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</si>
  <si>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</si>
  <si>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</si>
  <si>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</si>
  <si>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</si>
  <si>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</si>
  <si>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</si>
  <si>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</si>
  <si>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</si>
  <si>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</si>
  <si>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</si>
  <si>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</si>
  <si>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</si>
  <si>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</si>
  <si>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</si>
  <si>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</si>
  <si>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</si>
  <si>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</si>
  <si>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</si>
  <si>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</si>
  <si>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</si>
  <si>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</si>
  <si>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</si>
  <si>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</si>
  <si>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</si>
  <si>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</si>
  <si>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</si>
  <si>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</si>
  <si>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</si>
  <si>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</si>
  <si>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</si>
  <si>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</si>
  <si>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</si>
  <si>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</si>
  <si>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</si>
  <si>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</si>
  <si>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</si>
  <si>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</si>
  <si>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</si>
  <si>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</si>
  <si>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</si>
  <si>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</si>
  <si>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</si>
  <si>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</si>
  <si>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</si>
  <si>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</si>
  <si>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</si>
  <si>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</si>
  <si>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</si>
  <si>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</si>
  <si>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</si>
  <si>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</si>
  <si>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</si>
  <si>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</si>
  <si>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</si>
  <si>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</si>
  <si>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</si>
  <si>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</si>
  <si>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</si>
  <si>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</si>
  <si>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</si>
  <si>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</si>
  <si>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</si>
  <si>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</si>
  <si>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</si>
  <si>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</si>
  <si>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</si>
  <si>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</si>
  <si>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</si>
  <si>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</si>
  <si>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</si>
  <si>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</si>
  <si>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</si>
  <si>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</si>
  <si>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</si>
  <si>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</si>
  <si>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</si>
  <si>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</si>
  <si>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</si>
  <si>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</si>
  <si>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</si>
  <si>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</si>
  <si>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</si>
  <si>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</si>
  <si>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</si>
  <si>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</si>
  <si>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</si>
  <si>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</si>
  <si>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</si>
  <si>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</si>
  <si>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</si>
  <si>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</si>
  <si>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</si>
  <si>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</si>
  <si>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</si>
  <si>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</si>
  <si>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</si>
  <si>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</si>
  <si>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</si>
  <si>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</si>
  <si>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</si>
  <si>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</si>
  <si>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</si>
  <si>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</si>
  <si>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</si>
  <si>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</si>
  <si>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</si>
  <si>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</si>
  <si>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</si>
  <si>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</si>
  <si>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</si>
  <si>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</si>
  <si>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</si>
  <si>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</si>
  <si>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</si>
  <si>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</si>
  <si>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</si>
  <si>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</si>
  <si>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</si>
  <si>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</si>
  <si>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</si>
  <si>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</si>
  <si>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</si>
  <si>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</si>
  <si>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</si>
  <si>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</si>
  <si>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</si>
  <si>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</si>
  <si>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</si>
  <si>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</si>
  <si>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</si>
  <si>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</si>
  <si>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</si>
  <si>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</si>
  <si>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</si>
  <si>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</si>
  <si>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</si>
  <si>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</si>
  <si>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</si>
  <si>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</si>
  <si>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</si>
  <si>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</si>
  <si>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</si>
  <si>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</si>
  <si>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</si>
  <si>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</si>
  <si>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</si>
  <si>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</si>
  <si>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</si>
  <si>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</si>
  <si>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</si>
  <si>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</si>
  <si>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</si>
  <si>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</si>
  <si>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</si>
  <si>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</si>
  <si>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</si>
  <si>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</si>
  <si>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</si>
  <si>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</si>
  <si>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</si>
  <si>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</si>
  <si>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</si>
  <si>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</si>
  <si>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</si>
  <si>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</si>
  <si>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</si>
  <si>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</si>
  <si>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</si>
  <si>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</si>
  <si>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</si>
  <si>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</si>
  <si>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</si>
  <si>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</si>
  <si>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</si>
  <si>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</si>
  <si>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</si>
  <si>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</si>
  <si>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</si>
  <si>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</si>
  <si>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</si>
  <si>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</si>
  <si>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</si>
  <si>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</si>
  <si>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</si>
  <si>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</si>
  <si>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</si>
  <si>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</si>
  <si>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</si>
  <si>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</si>
  <si>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</si>
  <si>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</si>
  <si>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</si>
  <si>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</si>
  <si>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</si>
  <si>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</si>
  <si>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</si>
  <si>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</si>
  <si>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</si>
  <si>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</si>
  <si>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</si>
  <si>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</si>
  <si>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</si>
  <si>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</si>
  <si>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</si>
  <si>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</si>
  <si>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</si>
  <si>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</si>
  <si>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</si>
  <si>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</si>
  <si>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</si>
  <si>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</si>
  <si>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</si>
  <si>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</si>
  <si>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</si>
  <si>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</si>
  <si>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</si>
  <si>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</si>
  <si>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</si>
  <si>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</si>
  <si>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</si>
  <si>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</si>
  <si>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</si>
  <si>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</si>
  <si>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</si>
  <si>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</si>
  <si>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</si>
  <si>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</si>
  <si>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</si>
  <si>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</si>
  <si>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</si>
  <si>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</si>
  <si>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</si>
  <si>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</si>
  <si>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</si>
  <si>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</si>
  <si>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</si>
  <si>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</si>
  <si>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</si>
  <si>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</si>
  <si>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</si>
  <si>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</si>
  <si>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</si>
  <si>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</si>
  <si>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</si>
  <si>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</si>
  <si>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</si>
  <si>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</si>
  <si>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</si>
  <si>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</si>
  <si>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</si>
  <si>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</si>
  <si>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</si>
  <si>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</si>
  <si>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</si>
  <si>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</si>
  <si>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</si>
  <si>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</si>
  <si>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</si>
  <si>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</si>
  <si>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</si>
  <si>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</si>
  <si>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</si>
  <si>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</si>
  <si>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</si>
  <si>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</si>
  <si>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</si>
  <si>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</si>
  <si>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</si>
  <si>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</si>
  <si>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</si>
  <si>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</si>
  <si>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</si>
  <si>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</si>
  <si>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</si>
  <si>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</si>
  <si>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</si>
  <si>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</si>
  <si>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</si>
  <si>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</si>
  <si>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</si>
  <si>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</si>
  <si>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</si>
  <si>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</si>
  <si>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</si>
  <si>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</si>
  <si>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</si>
  <si>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</si>
  <si>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</si>
  <si>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</si>
  <si>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</si>
  <si>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</si>
  <si>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</si>
  <si>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</si>
  <si>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</si>
  <si>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</si>
  <si>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</si>
  <si>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</si>
  <si>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</si>
  <si>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</si>
  <si>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</si>
  <si>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</si>
  <si>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</si>
  <si>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</si>
  <si>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</si>
  <si>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</si>
  <si>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</si>
  <si>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</si>
  <si>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</si>
  <si>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</si>
  <si>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</si>
  <si>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</si>
  <si>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</si>
  <si>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</si>
  <si>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</si>
  <si>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</si>
  <si>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</si>
  <si>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</si>
  <si>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</si>
  <si>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</si>
  <si>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</si>
  <si>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</si>
  <si>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</si>
  <si>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</si>
  <si>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</si>
  <si>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</si>
  <si>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</si>
  <si>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</si>
  <si>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</si>
  <si>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</si>
  <si>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</si>
  <si>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</si>
  <si>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</si>
  <si>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</si>
  <si>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</si>
  <si>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</si>
  <si>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</si>
  <si>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</si>
  <si>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</si>
  <si>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</si>
  <si>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</si>
  <si>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</si>
  <si>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</si>
  <si>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</si>
  <si>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</si>
  <si>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</si>
  <si>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</si>
  <si>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</si>
  <si>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</si>
  <si>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</si>
  <si>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</si>
  <si>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</si>
  <si>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</si>
  <si>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</si>
  <si>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</si>
  <si>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</si>
  <si>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</si>
  <si>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</si>
  <si>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</si>
  <si>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</si>
  <si>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</si>
  <si>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</si>
  <si>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</si>
  <si>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</si>
  <si>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</si>
  <si>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</si>
  <si>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</si>
  <si>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</si>
  <si>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</si>
  <si>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</si>
  <si>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</si>
  <si>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</si>
  <si>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</si>
  <si>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</si>
  <si>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</si>
  <si>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</si>
  <si>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</si>
  <si>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</si>
  <si>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</si>
  <si>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</si>
  <si>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</si>
  <si>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</si>
  <si>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</si>
  <si>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</si>
  <si>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</si>
  <si>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</si>
  <si>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</si>
  <si>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</si>
  <si>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</si>
  <si>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</si>
  <si>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</si>
  <si>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</si>
  <si>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</si>
  <si>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</si>
  <si>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</si>
  <si>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</si>
  <si>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</si>
  <si>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</si>
  <si>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</si>
  <si>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</si>
  <si>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</si>
  <si>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</si>
  <si>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</si>
  <si>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</si>
  <si>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</si>
  <si>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</si>
  <si>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</si>
  <si>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</si>
  <si>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</si>
  <si>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</si>
  <si>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</si>
  <si>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</si>
  <si>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</si>
  <si>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</si>
  <si>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</si>
  <si>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</si>
  <si>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</si>
  <si>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</si>
  <si>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</si>
  <si>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</si>
  <si>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</si>
  <si>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</si>
  <si>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</si>
  <si>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</si>
  <si>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</si>
  <si>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</si>
  <si>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</si>
  <si>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</si>
  <si>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</si>
  <si>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</si>
  <si>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</si>
  <si>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</si>
  <si>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</si>
  <si>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</si>
  <si>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</si>
  <si>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</si>
  <si>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</si>
  <si>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</si>
  <si>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</si>
  <si>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</si>
  <si>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</si>
  <si>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</si>
  <si>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</si>
  <si>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</si>
  <si>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</si>
  <si>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</si>
  <si>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</si>
  <si>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</si>
  <si>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</si>
  <si>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</si>
  <si>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</si>
  <si>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</si>
  <si>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</si>
  <si>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</si>
  <si>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</si>
  <si>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</si>
  <si>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</si>
  <si>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</si>
  <si>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</si>
  <si>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</si>
  <si>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</si>
  <si>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</si>
  <si>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</si>
  <si>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</si>
  <si>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</si>
  <si>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</si>
  <si>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</si>
  <si>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</si>
  <si>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</si>
  <si>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</si>
  <si>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</si>
  <si>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</si>
  <si>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</si>
  <si>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</si>
  <si>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</si>
  <si>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</si>
  <si>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</si>
  <si>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</si>
  <si>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</si>
  <si>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</si>
  <si>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</si>
  <si>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</si>
  <si>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</si>
  <si>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</si>
  <si>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</si>
  <si>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</si>
  <si>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</si>
  <si>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</si>
  <si>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</si>
  <si>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</si>
  <si>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</si>
  <si>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</si>
  <si>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</si>
  <si>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</si>
  <si>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</si>
  <si>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</si>
  <si>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</si>
  <si>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</si>
  <si>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</si>
  <si>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</si>
  <si>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</si>
  <si>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</si>
  <si>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</si>
  <si>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</si>
  <si>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</si>
  <si>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</si>
  <si>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</si>
  <si>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</si>
  <si>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</si>
  <si>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</si>
  <si>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</si>
  <si>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</si>
  <si>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</si>
  <si>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</si>
  <si>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</si>
  <si>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</si>
  <si>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</si>
  <si>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</si>
  <si>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</si>
  <si>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</si>
  <si>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</si>
  <si>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</si>
  <si>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</si>
  <si>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</si>
  <si>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</si>
  <si>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</si>
  <si>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</si>
  <si>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</si>
  <si>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</si>
  <si>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</si>
  <si>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</si>
  <si>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</si>
  <si>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UPSET! Normal winner is Arizona</t>
  </si>
  <si>
    <t>Brigham Young: 360 - 141 :Virginia Commonwealth</t>
  </si>
  <si>
    <t>Wisconsin: 471 - 30 :Montana</t>
  </si>
  <si>
    <t>Saint Mary's (CA): 355 - 146 :Vanderbilt</t>
  </si>
  <si>
    <t>Alabama: 472 - 29 :Robert Morris</t>
  </si>
  <si>
    <t>Florida: 501 - 0 :Norfolk State</t>
  </si>
  <si>
    <t>Connecticut: 418 - 83 :Oklahoma</t>
  </si>
  <si>
    <t>Memphis: 153 - 348 :Colorado State</t>
  </si>
  <si>
    <t>Maryland: 110 - 391 :Grand Canyon</t>
  </si>
  <si>
    <t>Missouri: 464 - 37 :Drake</t>
  </si>
  <si>
    <t>Texas Tech: 430 - 71 :UNC Wilmington</t>
  </si>
  <si>
    <t>UPSET! Normal winner is Kansas</t>
  </si>
  <si>
    <t>St. John's (NY): 466 - 35 :Omaha</t>
  </si>
  <si>
    <t>Auburn: 479 - 22 :Alabama State</t>
  </si>
  <si>
    <t>Louisville: 403 - 98 :Creighton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</si>
  <si>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</si>
  <si>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</si>
  <si>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</si>
  <si>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</si>
  <si>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</si>
  <si>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</si>
  <si>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</si>
  <si>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</si>
  <si>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Clemson: 180 - 321 :McNeese State</t>
  </si>
  <si>
    <t>UPSET! Normal winner is Purdue</t>
  </si>
  <si>
    <t>Illinois: 438 - 63 :Xavier</t>
  </si>
  <si>
    <t>Kentucky: 325 - 176 :Troy</t>
  </si>
  <si>
    <t>UCLA: 317 - 184 :Utah State</t>
  </si>
  <si>
    <t>Tennessee: 363 - 138 :Wofford</t>
  </si>
  <si>
    <t>Duke: 426 - 75 :Baylor</t>
  </si>
  <si>
    <t>Liberty: 229 - 272 :Akron</t>
  </si>
  <si>
    <t>Brigham Young: 291 - 210 :Wisconsin</t>
  </si>
  <si>
    <t>Saint Mary's (CA): 256 - 245 :Alabama</t>
  </si>
  <si>
    <t>Florida: 399 - 102 :Connecticut</t>
  </si>
  <si>
    <t>Colorado State: 114 - 387 :Grand Canyon</t>
  </si>
  <si>
    <t>Missouri: 57 - 444 :Texas Tech</t>
  </si>
  <si>
    <t>Arkansas: 234 - 267 :St. John's (NY)</t>
  </si>
  <si>
    <t>Auburn: 253 - 248 :Louisville</t>
  </si>
  <si>
    <t>Michigan: 384 - 117 :Yale</t>
  </si>
  <si>
    <t>UPSET! Normal winner is Iowa State</t>
  </si>
  <si>
    <t>UPSET! Normal winner is Michigan State</t>
  </si>
  <si>
    <t>Houston: 222 - 279 :Gonzaga</t>
  </si>
  <si>
    <t>McNeese State: 190 - 311 :High Point</t>
  </si>
  <si>
    <t>Illinois: 372 - 129 :Kentucky</t>
  </si>
  <si>
    <t>UCLA: 214 - 287 :Tennessee</t>
  </si>
  <si>
    <t>Duke: 391 - 110 :Akron</t>
  </si>
  <si>
    <t>Brigham Young: 219 - 282 :Saint Mary's (CA)</t>
  </si>
  <si>
    <t>Florida: 451 - 50 :Grand Canyon</t>
  </si>
  <si>
    <t>Texas Tech: 360 - 141 :St. John's (NY)</t>
  </si>
  <si>
    <t>Auburn: 104 - 397 :Michigan</t>
  </si>
  <si>
    <t>North Carolina: 363 - 138 :New Mexico</t>
  </si>
  <si>
    <t>Gonzaga: 382 - 119 :High Point</t>
  </si>
  <si>
    <t>Illinois: 352 - 149 :Tennessee</t>
  </si>
  <si>
    <t>Duke: 301 - 200 :Saint Mary's (CA)</t>
  </si>
  <si>
    <t>Florida: 270 - 231 :Texas Tech</t>
  </si>
  <si>
    <t>Michigan: 275 - 226 :North Carolina</t>
  </si>
  <si>
    <t>UPSET! Normal winner is Illinois</t>
  </si>
  <si>
    <t>Florida: 293 - 208 :Duke</t>
  </si>
  <si>
    <t>Michigan: 269 - 232 :Gonzaga</t>
  </si>
  <si>
    <t>Michigan: 141 - 360 :Florida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</si>
</sst>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Arizona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0.12</v>
      </c>
      <c r="M8" s="82" t="e" vm="72">
        <f>_xlfn.XLOOKUP(I8,Teams!$C:$C,Teams!$E:$E,,0,1)</f>
        <v>#VALUE!</v>
      </c>
      <c r="N8" s="82">
        <v>0.88</v>
      </c>
      <c r="O8" s="189" t="str">
        <f t="shared" si="3"/>
        <v>Akron</v>
      </c>
      <c r="P8" s="204" t="e" vm="72">
        <f>_xlfn.XLOOKUP(O8,Teams!$C:$C,Teams!$E:$E,,0,1)</f>
        <v>#VALUE!</v>
      </c>
      <c r="Q8" s="223" t="s">
        <v>1134</v>
      </c>
      <c r="R8" s="6" t="b">
        <f t="shared" si="5"/>
        <v>1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Vanderbilt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0.71</v>
      </c>
      <c r="M11" s="82" t="e" vm="78">
        <f>_xlfn.XLOOKUP(I11,Teams!$C:$C,Teams!$E:$E,,0,1)</f>
        <v>#VALUE!</v>
      </c>
      <c r="N11" s="82">
        <v>0.28999999999999998</v>
      </c>
      <c r="O11" s="189" t="str">
        <f t="shared" si="3"/>
        <v>Saint Mary's (CA)</v>
      </c>
      <c r="P11" s="204" t="e" vm="77">
        <f>_xlfn.XLOOKUP(O11,Teams!$C:$C,Teams!$E:$E,,0,1)</f>
        <v>#VALUE!</v>
      </c>
      <c r="Q11" s="223" t="s">
        <v>1137</v>
      </c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0.39</v>
      </c>
      <c r="M19" s="83" t="e" vm="94">
        <f>_xlfn.XLOOKUP(I19,Teams!$C:$C,Teams!$E:$E,,0,1)</f>
        <v>#VALUE!</v>
      </c>
      <c r="N19" s="83">
        <v>0.61</v>
      </c>
      <c r="O19" s="192" t="str">
        <f t="shared" si="3"/>
        <v>Arkansas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Creighton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0.8</v>
      </c>
      <c r="M22" s="82" t="e" vm="100">
        <f>_xlfn.XLOOKUP(I22,Teams!$C:$C,Teams!$E:$E,,0,1)</f>
        <v>#VALUE!</v>
      </c>
      <c r="N22" s="82">
        <v>0.2</v>
      </c>
      <c r="O22" s="189" t="str">
        <f t="shared" si="3"/>
        <v>Louisville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Purdue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0.32</v>
      </c>
      <c r="M32" s="83" t="e" vm="120">
        <f>_xlfn.XLOOKUP(I32,Teams!$C:$C,Teams!$E:$E,,0,1)</f>
        <v>#VALUE!</v>
      </c>
      <c r="N32" s="83">
        <v>0.68</v>
      </c>
      <c r="O32" s="192" t="str">
        <f t="shared" si="3"/>
        <v>High Point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Akron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31</v>
      </c>
      <c r="J39" s="103" cm="1">
        <f t="array" ref="J39">_xlfn.XLOOKUP(I39,Teams[[#All],[Team]],Teams[[#All],[Seed]],0,0,1)</f>
        <v>13</v>
      </c>
      <c r="K39" s="82" t="e" vm="70">
        <f>_xlfn.XLOOKUP(G39,Teams!$C:$C,Teams!$E:$E,,0,1)</f>
        <v>#VALUE!</v>
      </c>
      <c r="L39" s="82">
        <v>0.46</v>
      </c>
      <c r="M39" s="82" t="e" vm="72">
        <f>_xlfn.XLOOKUP(I39,Teams!$C:$C,Teams!$E:$E,,0,1)</f>
        <v>#VALUE!</v>
      </c>
      <c r="N39" s="82">
        <v>0.54</v>
      </c>
      <c r="O39" s="189" t="str">
        <f t="shared" si="9"/>
        <v>Akron</v>
      </c>
      <c r="P39" s="204" t="e" vm="72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Saint Mary's (CA)</v>
      </c>
      <c r="B41" s="91" t="str">
        <f t="shared" si="11"/>
        <v>Alabama</v>
      </c>
      <c r="C41" s="91" t="str">
        <f t="shared" si="7"/>
        <v>Alabama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832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0.51</v>
      </c>
      <c r="M41" s="139" t="e" vm="79">
        <f>_xlfn.XLOOKUP(I41,Teams!$C:$C,Teams!$E:$E,,0,1)</f>
        <v>#VALUE!</v>
      </c>
      <c r="N41" s="139">
        <v>0.49</v>
      </c>
      <c r="O41" s="195" t="str">
        <f t="shared" si="9"/>
        <v>Saint Mary's (CA)</v>
      </c>
      <c r="P41" s="210" t="e" vm="77">
        <f>_xlfn.XLOOKUP(O41,Teams!$C:$C,Teams!$E:$E,,0,1)</f>
        <v>#VALUE!</v>
      </c>
      <c r="Q41" s="224" t="s">
        <v>1166</v>
      </c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Connecticut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0.8</v>
      </c>
      <c r="M42" s="145" t="e" vm="83">
        <f>_xlfn.XLOOKUP(I42,Teams!$C:$C,Teams!$E:$E,,0,1)</f>
        <v>#VALUE!</v>
      </c>
      <c r="N42" s="145">
        <v>0.2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Colorado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0.23</v>
      </c>
      <c r="M43" s="83" t="e" vm="88">
        <f>_xlfn.XLOOKUP(I43,Teams!$C:$C,Teams!$E:$E,,0,1)</f>
        <v>#VALUE!</v>
      </c>
      <c r="N43" s="83">
        <v>0.77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Arkansas</v>
      </c>
      <c r="B45" s="91" t="str">
        <f t="shared" si="11"/>
        <v>St. John's (NY)</v>
      </c>
      <c r="C45" s="91" t="str">
        <f t="shared" si="7"/>
        <v>Arkansas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41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0.47</v>
      </c>
      <c r="M45" s="151" t="e" vm="95">
        <f>_xlfn.XLOOKUP(I45,Teams!$C:$C,Teams!$E:$E,,0,1)</f>
        <v>#VALUE!</v>
      </c>
      <c r="N45" s="151">
        <v>0.53</v>
      </c>
      <c r="O45" s="197" t="str">
        <f t="shared" si="9"/>
        <v>St. John's (NY)</v>
      </c>
      <c r="P45" s="212" t="e" vm="95">
        <f>_xlfn.XLOOKUP(O45,Teams!$C:$C,Teams!$E:$E,,0,1)</f>
        <v>#VALUE!</v>
      </c>
      <c r="Q45" s="227" t="s">
        <v>1170</v>
      </c>
      <c r="R45" s="6" t="b">
        <f t="shared" si="5"/>
        <v>0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Louisville</v>
      </c>
      <c r="C46" s="152" t="str">
        <f t="shared" si="7"/>
        <v>Auburn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122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0.5</v>
      </c>
      <c r="M46" s="84" t="e" vm="99">
        <f>_xlfn.XLOOKUP(I46,Teams!$C:$C,Teams!$E:$E,,0,1)</f>
        <v>#VALUE!</v>
      </c>
      <c r="N46" s="84">
        <v>0.5</v>
      </c>
      <c r="O46" s="194" t="str">
        <f t="shared" si="9"/>
        <v>Louisville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Iowa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0.55000000000000004</v>
      </c>
      <c r="M48" s="82" t="e" vm="107">
        <f>_xlfn.XLOOKUP(I48,Teams!$C:$C,Teams!$E:$E,,0,1)</f>
        <v>#VALUE!</v>
      </c>
      <c r="N48" s="82">
        <v>0.45</v>
      </c>
      <c r="O48" s="189" t="str">
        <f t="shared" si="9"/>
        <v>North Carolina</v>
      </c>
      <c r="P48" s="204" t="e" vm="106">
        <f>_xlfn.XLOOKUP(O48,Teams!$C:$C,Teams!$E:$E,,0,1)</f>
        <v>#VALUE!</v>
      </c>
      <c r="Q48" s="223" t="s">
        <v>1173</v>
      </c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Michigan State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0.56000000000000005</v>
      </c>
      <c r="M49" s="139" t="e" vm="111">
        <f>_xlfn.XLOOKUP(I49,Teams!$C:$C,Teams!$E:$E,,0,1)</f>
        <v>#VALUE!</v>
      </c>
      <c r="N49" s="139">
        <v>0.44</v>
      </c>
      <c r="O49" s="195" t="str">
        <f t="shared" si="9"/>
        <v>New Mexico</v>
      </c>
      <c r="P49" s="210" t="e" vm="110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High Point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140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0.38</v>
      </c>
      <c r="M51" s="83" t="e" vm="120">
        <f>_xlfn.XLOOKUP(I51,Teams!$C:$C,Teams!$E:$E,,0,1)</f>
        <v>#VALUE!</v>
      </c>
      <c r="N51" s="83">
        <v>0.62</v>
      </c>
      <c r="O51" s="192" t="str">
        <f t="shared" si="9"/>
        <v>High Point</v>
      </c>
      <c r="P51" s="207" t="e" vm="120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Tennessee</v>
      </c>
      <c r="C53" s="91" t="str">
        <f t="shared" si="7"/>
        <v>UCLA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0.43</v>
      </c>
      <c r="M53" s="151" t="e" vm="127">
        <f>_xlfn.XLOOKUP(I53,Teams!$C:$C,Teams!$E:$E,,0,1)</f>
        <v>#VALUE!</v>
      </c>
      <c r="N53" s="151">
        <v>0.56999999999999995</v>
      </c>
      <c r="O53" s="197" t="str">
        <f t="shared" si="9"/>
        <v>Tennessee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Akron</v>
      </c>
      <c r="C55" s="91" t="str">
        <f t="shared" ref="C55:C62" si="12">IF(O55="","",IF(A55=O55,B55,A55))</f>
        <v>Akron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31</v>
      </c>
      <c r="J55" s="96" cm="1">
        <f t="array" ref="J55">_xlfn.XLOOKUP(I55,Teams[[#All],[Team]],Teams[[#All],[Seed]],0,0,1)</f>
        <v>13</v>
      </c>
      <c r="K55" s="97" t="e" vm="65">
        <f>_xlfn.XLOOKUP(G55,Teams!$C:$C,Teams!$E:$E,,0,1)</f>
        <v>#VALUE!</v>
      </c>
      <c r="L55" s="97">
        <v>0.78</v>
      </c>
      <c r="M55" s="97" t="e" vm="72">
        <f>_xlfn.XLOOKUP(I55,Teams!$C:$C,Teams!$E:$E,,0,1)</f>
        <v>#VALUE!</v>
      </c>
      <c r="N55" s="97">
        <v>0.22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Saint Mary's (CA)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832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0.44</v>
      </c>
      <c r="M56" s="139" t="e" vm="77">
        <f>_xlfn.XLOOKUP(I56,Teams!$C:$C,Teams!$E:$E,,0,1)</f>
        <v>#VALUE!</v>
      </c>
      <c r="N56" s="139">
        <v>0.56000000000000005</v>
      </c>
      <c r="O56" s="195" t="str">
        <f t="shared" si="14"/>
        <v>Saint Mary's (CA)</v>
      </c>
      <c r="P56" s="210" t="e" vm="77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1">
        <f>_xlfn.XLOOKUP(G57,Teams!$C:$C,Teams!$E:$E,,0,1)</f>
        <v>#VALUE!</v>
      </c>
      <c r="L57" s="145">
        <v>0.9</v>
      </c>
      <c r="M57" s="145" t="e" vm="88">
        <f>_xlfn.XLOOKUP(I57,Teams!$C:$C,Teams!$E:$E,,0,1)</f>
        <v>#VALUE!</v>
      </c>
      <c r="N57" s="145">
        <v>0.1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St. John's (NY)</v>
      </c>
      <c r="C58" s="91" t="str">
        <f t="shared" si="12"/>
        <v>St. John's (NY)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919</v>
      </c>
      <c r="J58" s="150" cm="1">
        <f t="array" ref="J58">_xlfn.XLOOKUP(I58,Teams[[#All],[Team]],Teams[[#All],[Seed]],0,0,1)</f>
        <v>2</v>
      </c>
      <c r="K58" s="151" t="e" vm="91">
        <f>_xlfn.XLOOKUP(G58,Teams!$C:$C,Teams!$E:$E,,0,1)</f>
        <v>#VALUE!</v>
      </c>
      <c r="L58" s="151">
        <v>0.72</v>
      </c>
      <c r="M58" s="151" t="e" vm="95">
        <f>_xlfn.XLOOKUP(I58,Teams!$C:$C,Teams!$E:$E,,0,1)</f>
        <v>#VALUE!</v>
      </c>
      <c r="N58" s="151">
        <v>0.28000000000000003</v>
      </c>
      <c r="O58" s="197" t="str">
        <f t="shared" si="14"/>
        <v>Texas Tech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North Carolina</v>
      </c>
      <c r="B60" s="152" t="str">
        <f t="shared" si="16"/>
        <v>New Mexico</v>
      </c>
      <c r="C60" s="152" t="str">
        <f t="shared" si="12"/>
        <v>New Mexico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11</v>
      </c>
      <c r="G60" s="136" t="s">
        <v>125</v>
      </c>
      <c r="H60" s="182" t="s">
        <v>9</v>
      </c>
      <c r="I60" s="137" t="s">
        <v>123</v>
      </c>
      <c r="J60" s="138" cm="1">
        <f t="array" ref="J60">_xlfn.XLOOKUP(I60,Teams[[#All],[Team]],Teams[[#All],[Seed]],0,0,1)</f>
        <v>10</v>
      </c>
      <c r="K60" s="139" t="e" vm="106">
        <f>_xlfn.XLOOKUP(G60,Teams!$C:$C,Teams!$E:$E,,0,1)</f>
        <v>#VALUE!</v>
      </c>
      <c r="L60" s="139">
        <v>0.72</v>
      </c>
      <c r="M60" s="139" t="e" vm="110">
        <f>_xlfn.XLOOKUP(I60,Teams!$C:$C,Teams!$E:$E,,0,1)</f>
        <v>#VALUE!</v>
      </c>
      <c r="N60" s="139">
        <v>0.28000000000000003</v>
      </c>
      <c r="O60" s="195" t="str">
        <f t="shared" si="14"/>
        <v>North Carolina</v>
      </c>
      <c r="P60" s="210" t="e" vm="106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High Point</v>
      </c>
      <c r="C61" s="91" t="str">
        <f t="shared" si="12"/>
        <v>High Point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140</v>
      </c>
      <c r="J61" s="144" cm="1">
        <f t="array" ref="J61">_xlfn.XLOOKUP(I61,Teams[[#All],[Team]],Teams[[#All],[Seed]],0,0,1)</f>
        <v>13</v>
      </c>
      <c r="K61" s="145" t="e" vm="115">
        <f>_xlfn.XLOOKUP(G61,Teams!$C:$C,Teams!$E:$E,,0,1)</f>
        <v>#VALUE!</v>
      </c>
      <c r="L61" s="145">
        <v>0.76</v>
      </c>
      <c r="M61" s="145" t="e" vm="120">
        <f>_xlfn.XLOOKUP(I61,Teams!$C:$C,Teams!$E:$E,,0,1)</f>
        <v>#VALUE!</v>
      </c>
      <c r="N61" s="145">
        <v>0.24</v>
      </c>
      <c r="O61" s="196" t="str">
        <f t="shared" si="14"/>
        <v>Gonzaga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Tennessee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130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0.7</v>
      </c>
      <c r="M62" s="151" t="e" vm="127">
        <f>_xlfn.XLOOKUP(I62,Teams!$C:$C,Teams!$E:$E,,0,1)</f>
        <v>#VALUE!</v>
      </c>
      <c r="N62" s="151">
        <v>0.3</v>
      </c>
      <c r="O62" s="197" t="str">
        <f t="shared" si="14"/>
        <v>Illinois</v>
      </c>
      <c r="P62" s="212" t="e" vm="121">
        <f>_xlfn.XLOOKUP(O62,Teams!$C:$C,Teams!$E:$E,,0,1)</f>
        <v>#VALUE!</v>
      </c>
      <c r="Q62" s="227" t="s">
        <v>1186</v>
      </c>
      <c r="R62" s="6" t="b">
        <f t="shared" si="5"/>
        <v>1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Saint Mary's (CA)</v>
      </c>
      <c r="C64" s="91" t="str">
        <f>IF(O64="","",IF(A64=O64,B64,A64))</f>
        <v>Saint Mary's (CA)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832</v>
      </c>
      <c r="J64" s="157" cm="1">
        <f t="array" ref="J64">_xlfn.XLOOKUP(I64,Teams[[#All],[Team]],Teams[[#All],[Seed]],0,0,1)</f>
        <v>7</v>
      </c>
      <c r="K64" s="158" t="e" vm="65">
        <f>_xlfn.XLOOKUP(G64,Teams!$C:$C,Teams!$E:$E,,0,1)</f>
        <v>#VALUE!</v>
      </c>
      <c r="L64" s="158">
        <v>0.6</v>
      </c>
      <c r="M64" s="158" t="e" vm="77">
        <f>_xlfn.XLOOKUP(I64,Teams!$C:$C,Teams!$E:$E,,0,1)</f>
        <v>#VALUE!</v>
      </c>
      <c r="N64" s="158">
        <v>0.4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Texas Tech</v>
      </c>
      <c r="C65" s="91" t="str">
        <f>IF(O65="","",IF(A65=O65,B65,A65))</f>
        <v>Texas Tech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106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0.54</v>
      </c>
      <c r="M65" s="164" t="e" vm="91">
        <f>_xlfn.XLOOKUP(I65,Teams!$C:$C,Teams!$E:$E,,0,1)</f>
        <v>#VALUE!</v>
      </c>
      <c r="N65" s="164">
        <v>0.46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North Carolina</v>
      </c>
      <c r="C66" s="91" t="str">
        <f>IF(O66="","",IF(A66=O66,B66,A66))</f>
        <v>North Carolina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125</v>
      </c>
      <c r="J66" s="157" cm="1">
        <f t="array" ref="J66">_xlfn.XLOOKUP(I66,Teams[[#All],[Team]],Teams[[#All],[Seed]],0,0,1)</f>
        <v>11</v>
      </c>
      <c r="K66" s="158" t="e" vm="101">
        <f>_xlfn.XLOOKUP(G66,Teams!$C:$C,Teams!$E:$E,,0,1)</f>
        <v>#VALUE!</v>
      </c>
      <c r="L66" s="158">
        <v>0.55000000000000004</v>
      </c>
      <c r="M66" s="158" t="e" vm="106">
        <f>_xlfn.XLOOKUP(I66,Teams!$C:$C,Teams!$E:$E,,0,1)</f>
        <v>#VALUE!</v>
      </c>
      <c r="N66" s="158">
        <v>0.45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Gonzaga</v>
      </c>
      <c r="B67" s="91" t="str">
        <f>I67</f>
        <v>Illinois</v>
      </c>
      <c r="C67" s="91" t="str">
        <f>IF(O67="","",IF(A67=O67,B67,A67))</f>
        <v>Illinois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135</v>
      </c>
      <c r="H67" s="186" t="s">
        <v>9</v>
      </c>
      <c r="I67" s="162" t="s">
        <v>133</v>
      </c>
      <c r="J67" s="163" cm="1">
        <f t="array" ref="J67">_xlfn.XLOOKUP(I67,Teams[[#All],[Team]],Teams[[#All],[Seed]],0,0,1)</f>
        <v>6</v>
      </c>
      <c r="K67" s="164" t="e" vm="115">
        <f>_xlfn.XLOOKUP(G67,Teams!$C:$C,Teams!$E:$E,,0,1)</f>
        <v>#VALUE!</v>
      </c>
      <c r="L67" s="164">
        <v>0.54</v>
      </c>
      <c r="M67" s="164" t="e" vm="121">
        <f>_xlfn.XLOOKUP(I67,Teams!$C:$C,Teams!$E:$E,,0,1)</f>
        <v>#VALUE!</v>
      </c>
      <c r="N67" s="164">
        <v>0.46</v>
      </c>
      <c r="O67" s="199" t="str">
        <f>IF(L67&gt;N67,G67,I67)</f>
        <v>Gonzaga</v>
      </c>
      <c r="P67" s="207" t="e" vm="115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Duke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0.42</v>
      </c>
      <c r="M69" s="170" t="e" vm="81">
        <f>_xlfn.XLOOKUP(I69,Teams!$C:$C,Teams!$E:$E,,0,1)</f>
        <v>#VALUE!</v>
      </c>
      <c r="N69" s="170">
        <v>0.57999999999999996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Gonzaga</v>
      </c>
      <c r="C70" s="91" t="str">
        <f>IF(O70="","",IF(A70=O70,B70,A70))</f>
        <v>Gonzaga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135</v>
      </c>
      <c r="J70" s="163" cm="1">
        <f t="array" ref="J70">_xlfn.XLOOKUP(I70,Teams[[#All],[Team]],Teams[[#All],[Seed]],0,0,1)</f>
        <v>8</v>
      </c>
      <c r="K70" s="164" t="e" vm="101">
        <f>_xlfn.XLOOKUP(G70,Teams!$C:$C,Teams!$E:$E,,0,1)</f>
        <v>#VALUE!</v>
      </c>
      <c r="L70" s="164">
        <v>0.54</v>
      </c>
      <c r="M70" s="164" t="e" vm="115">
        <f>_xlfn.XLOOKUP(I70,Teams!$C:$C,Teams!$E:$E,,0,1)</f>
        <v>#VALUE!</v>
      </c>
      <c r="N70" s="164">
        <v>0.46</v>
      </c>
      <c r="O70" s="199" t="str">
        <f>IF(L70&gt;N70,G70,I70)</f>
        <v>Michigan</v>
      </c>
      <c r="P70" s="213" t="e" vm="101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Michigan</v>
      </c>
      <c r="C72" s="91" t="str">
        <f>IF(O72="","",IF(A72=O72,B72,A72))</f>
        <v>Michigan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120</v>
      </c>
      <c r="J72" s="157" cm="1">
        <f t="array" ref="J72">_xlfn.XLOOKUP(I72,Teams[[#All],[Team]],Teams[[#All],[Seed]],0,0,1)</f>
        <v>5</v>
      </c>
      <c r="K72" s="158" t="e" vm="81">
        <f>_xlfn.XLOOKUP(G72,Teams!$C:$C,Teams!$E:$E,,0,1)</f>
        <v>#VALUE!</v>
      </c>
      <c r="L72" s="158">
        <v>0.72</v>
      </c>
      <c r="M72" s="158" t="e" vm="101">
        <f>_xlfn.XLOOKUP(I72,Teams!$C:$C,Teams!$E:$E,,0,1)</f>
        <v>#VALUE!</v>
      </c>
      <c r="N72" s="158">
        <v>0.28000000000000003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0.5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0.78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9">
        <f>_xlfn.XLOOKUP(AG7,Teams!$C:$C,Teams!$E:$E,,0,1)</f>
        <v>#VALUE!</v>
      </c>
      <c r="AG7" s="256" t="str">
        <f>Games!O46</f>
        <v>Louisville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0.5</v>
      </c>
      <c r="AI9" s="247" t="e" vm="99">
        <f>_xlfn.XLOOKUP(AJ9,Teams!$C:$C,Teams!$E:$E,,0,1)</f>
        <v>#VALUE!</v>
      </c>
      <c r="AJ9" s="256" t="str">
        <f>Games!O22</f>
        <v>Louisville</v>
      </c>
      <c r="AK9" s="58">
        <f>Games!L22</f>
        <v>0.8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Duke</v>
      </c>
      <c r="M11" s="259" t="e" vm="65">
        <f>_xlfn.XLOOKUP(L11,Teams!$C:$C,Teams!$E:$E,,0,1)</f>
        <v>#VALUE!</v>
      </c>
      <c r="N11" s="251">
        <f>Games!L64</f>
        <v>0.6</v>
      </c>
      <c r="O11" s="25"/>
      <c r="P11" s="25"/>
      <c r="R11" s="25"/>
      <c r="S11" s="25"/>
      <c r="T11" s="282" t="e" vm="8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0.55000000000000004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0.2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0.46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Akron</v>
      </c>
      <c r="J15" s="259" t="e" vm="72">
        <f>_xlfn.XLOOKUP(I15,Teams!$C:$C,Teams!$E:$E,,0,1)</f>
        <v>#VALUE!</v>
      </c>
      <c r="K15" s="261">
        <f>Games!N55</f>
        <v>0.22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0.12</v>
      </c>
      <c r="F17" s="256" t="str">
        <f>Games!O8</f>
        <v>Akron</v>
      </c>
      <c r="G17" s="259" t="e" vm="72">
        <f>_xlfn.XLOOKUP(F17,Teams!$C:$C,Teams!$E:$E,,0,1)</f>
        <v>#VALUE!</v>
      </c>
      <c r="H17" s="261">
        <f>Games!N39</f>
        <v>0.54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0.88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Duke</v>
      </c>
      <c r="P19" s="259" t="e" vm="65">
        <f>_xlfn.XLOOKUP(O19,Teams!$C:$C,Teams!$E:$E,,0,1)</f>
        <v>#VALUE!</v>
      </c>
      <c r="Q19" s="251">
        <f>Games!L69</f>
        <v>0.42</v>
      </c>
      <c r="R19" s="25"/>
      <c r="S19" s="25"/>
      <c r="T19" s="288"/>
      <c r="U19" s="289"/>
      <c r="V19" s="290"/>
      <c r="W19" s="25"/>
      <c r="X19" s="25"/>
      <c r="Y19" s="251">
        <f>Games!L70</f>
        <v>0.54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0.55000000000000004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0.44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0.72</v>
      </c>
      <c r="AF23" s="249" t="e" vm="106">
        <f>_xlfn.XLOOKUP(AG23,Teams!$C:$C,Teams!$E:$E,,0,1)</f>
        <v>#VALUE!</v>
      </c>
      <c r="AG23" s="256" t="str">
        <f>Games!O48</f>
        <v>North Carolina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0.45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Saint Mary's (CA)</v>
      </c>
      <c r="M27" s="259" t="e" vm="77">
        <f>_xlfn.XLOOKUP(L27,Teams!$C:$C,Teams!$E:$E,,0,1)</f>
        <v>#VALUE!</v>
      </c>
      <c r="N27" s="261">
        <f>Games!N64</f>
        <v>0.4</v>
      </c>
      <c r="O27" s="25"/>
      <c r="P27" s="25"/>
      <c r="Q27" s="50"/>
      <c r="R27" s="265" t="str">
        <f>Games!O69</f>
        <v>Florida</v>
      </c>
      <c r="S27" s="256"/>
      <c r="T27" s="256"/>
      <c r="U27" s="271" t="e" vm="81">
        <f>_xlfn.XLOOKUP(R27,Teams!$C:$C,Teams!$E:$E,,0,1)</f>
        <v>#VALUE!</v>
      </c>
      <c r="V27" s="273">
        <f>Games!L72</f>
        <v>0.72</v>
      </c>
      <c r="W27" s="24"/>
      <c r="X27" s="25"/>
      <c r="Y27" s="56"/>
      <c r="AA27" s="25"/>
      <c r="AB27" s="253">
        <f>Games!N66</f>
        <v>0.45</v>
      </c>
      <c r="AC27" s="249" t="e" vm="106">
        <f>_xlfn.XLOOKUP(AD27,Teams!$C:$C,Teams!$E:$E,,0,1)</f>
        <v>#VALUE!</v>
      </c>
      <c r="AD27" s="256" t="str">
        <f>Games!O60</f>
        <v>North Carolina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0.71</v>
      </c>
      <c r="F29" s="256" t="str">
        <f>Games!O11</f>
        <v>Saint Mary's (CA)</v>
      </c>
      <c r="G29" s="259" t="e" vm="77">
        <f>_xlfn.XLOOKUP(F29,Teams!$C:$C,Teams!$E:$E,,0,1)</f>
        <v>#VALUE!</v>
      </c>
      <c r="H29" s="251">
        <f>Games!L41</f>
        <v>0.51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0.56000000000000005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0.28999999999999998</v>
      </c>
      <c r="F31" s="276">
        <f>IF($AU$5=TRUE,F23+1,"")</f>
        <v>36</v>
      </c>
      <c r="G31" s="14"/>
      <c r="H31" s="49"/>
      <c r="I31" s="265" t="str">
        <f>Games!O41</f>
        <v>Saint Mary's (CA)</v>
      </c>
      <c r="J31" s="259" t="e" vm="77">
        <f>_xlfn.XLOOKUP(I31,Teams!$C:$C,Teams!$E:$E,,0,1)</f>
        <v>#VALUE!</v>
      </c>
      <c r="K31" s="261">
        <f>Games!N56</f>
        <v>0.56000000000000005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0.28000000000000003</v>
      </c>
      <c r="AF31" s="249" t="e" vm="110">
        <f>_xlfn.XLOOKUP(AG31,Teams!$C:$C,Teams!$E:$E,,0,1)</f>
        <v>#VALUE!</v>
      </c>
      <c r="AG31" s="256" t="str">
        <f>Games!O49</f>
        <v>New Mexico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Florida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0.49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0.44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0.8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Florida</v>
      </c>
      <c r="J39" s="259" t="e" vm="81">
        <f>_xlfn.XLOOKUP(I39,Teams!$C:$C,Teams!$E:$E,,0,1)</f>
        <v>#VALUE!</v>
      </c>
      <c r="K39" s="251">
        <f>Games!L57</f>
        <v>0.9</v>
      </c>
      <c r="L39" s="25"/>
      <c r="M39" s="25"/>
      <c r="O39" s="25"/>
      <c r="P39" s="25"/>
      <c r="Q39" s="50"/>
      <c r="R39" s="25"/>
      <c r="S39" s="25"/>
      <c r="T39" s="273">
        <f>Games!N72</f>
        <v>0.28000000000000003</v>
      </c>
      <c r="U39" s="267" t="e" vm="101">
        <f>_xlfn.XLOOKUP(V39,Teams!$C:$C,Teams!$E:$E,,0,1)</f>
        <v>#VALUE!</v>
      </c>
      <c r="V39" s="256" t="str">
        <f>Games!O70</f>
        <v>Michigan</v>
      </c>
      <c r="W39" s="256"/>
      <c r="X39" s="269"/>
      <c r="Y39" s="56"/>
      <c r="AA39" s="25"/>
      <c r="AD39" s="25"/>
      <c r="AE39" s="253">
        <f>Games!L61</f>
        <v>0.76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0.2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Florida</v>
      </c>
      <c r="M43" s="259" t="e" vm="81">
        <f>_xlfn.XLOOKUP(L43,Teams!$C:$C,Teams!$E:$E,,0,1)</f>
        <v>#VALUE!</v>
      </c>
      <c r="N43" s="251">
        <f>Games!L65</f>
        <v>0.54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0.54</v>
      </c>
      <c r="AC43" s="249" t="e" vm="115">
        <f>_xlfn.XLOOKUP(AD43,Teams!$C:$C,Teams!$E:$E,,0,1)</f>
        <v>#VALUE!</v>
      </c>
      <c r="AD43" s="263" t="str">
        <f>Games!O61</f>
        <v>Gonzaga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0.23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0.38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0.24</v>
      </c>
      <c r="AF47" s="249" t="e" vm="120">
        <f>_xlfn.XLOOKUP(AG47,Teams!$C:$C,Teams!$E:$E,,0,1)</f>
        <v>#VALUE!</v>
      </c>
      <c r="AG47" s="256" t="str">
        <f>Games!O51</f>
        <v>High Point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0.77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0.62</v>
      </c>
      <c r="AI49" s="249" t="e" vm="120">
        <f>_xlfn.XLOOKUP(AJ49,Teams!$C:$C,Teams!$E:$E,,0,1)</f>
        <v>#VALUE!</v>
      </c>
      <c r="AJ49" s="256" t="str">
        <f>Games!O32</f>
        <v>High Point</v>
      </c>
      <c r="AK49" s="58">
        <f>Games!L32</f>
        <v>0.32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Florida</v>
      </c>
      <c r="P51" s="259" t="e" vm="81">
        <f>_xlfn.XLOOKUP(O51,Teams!$C:$C,Teams!$E:$E,,0,1)</f>
        <v>#VALUE!</v>
      </c>
      <c r="Q51" s="261">
        <f>Games!N69</f>
        <v>0.57999999999999996</v>
      </c>
      <c r="R51" s="25"/>
      <c r="S51" s="25"/>
      <c r="T51" s="25"/>
      <c r="U51" s="75"/>
      <c r="V51" s="25"/>
      <c r="W51" s="25"/>
      <c r="X51" s="25"/>
      <c r="Y51" s="253">
        <f>Games!N70</f>
        <v>0.46</v>
      </c>
      <c r="Z51" s="249" t="e" vm="115">
        <f>_xlfn.XLOOKUP(AA51,Teams!$C:$C,Teams!$E:$E,,0,1)</f>
        <v>#VALUE!</v>
      </c>
      <c r="AA51" s="256" t="str">
        <f>Games!O67</f>
        <v>Gonzaga</v>
      </c>
      <c r="AB51" s="56"/>
      <c r="AD51" s="258" t="s">
        <v>14</v>
      </c>
      <c r="AE51" s="258"/>
      <c r="AF51" s="20"/>
      <c r="AG51" s="24"/>
      <c r="AJ51" s="24"/>
      <c r="AK51" s="59">
        <f>Games!N32</f>
        <v>0.68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0.72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0.7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Texas Tech</v>
      </c>
      <c r="M59" s="259" t="e" vm="91">
        <f>_xlfn.XLOOKUP(L59,Teams!$C:$C,Teams!$E:$E,,0,1)</f>
        <v>#VALUE!</v>
      </c>
      <c r="N59" s="261">
        <f>Games!N65</f>
        <v>0.46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0.46</v>
      </c>
      <c r="AC59" s="249" t="e" vm="121">
        <f>_xlfn.XLOOKUP(AD59,Teams!$C:$C,Teams!$E:$E,,0,1)</f>
        <v>#VALUE!</v>
      </c>
      <c r="AD59" s="256" t="str">
        <f>Games!O62</f>
        <v>Illinois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0.39</v>
      </c>
      <c r="F61" s="256" t="str">
        <f>Games!O19</f>
        <v>Arkansas</v>
      </c>
      <c r="G61" s="259" t="e" vm="94">
        <f>_xlfn.XLOOKUP(F61,Teams!$C:$C,Teams!$E:$E,,0,1)</f>
        <v>#VALUE!</v>
      </c>
      <c r="H61" s="251">
        <f>Games!L45</f>
        <v>0.47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0.43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0.61</v>
      </c>
      <c r="F63" s="276">
        <f>IF($AU$5=TRUE,F55+1,"")</f>
        <v>40</v>
      </c>
      <c r="G63" s="14"/>
      <c r="H63" s="49"/>
      <c r="I63" s="265" t="str">
        <f>Games!O45</f>
        <v>St. John's (NY)</v>
      </c>
      <c r="J63" s="259" t="e" vm="95">
        <f>_xlfn.XLOOKUP(I63,Teams!$C:$C,Teams!$E:$E,,0,1)</f>
        <v>#VALUE!</v>
      </c>
      <c r="K63" s="261">
        <f>Games!N58</f>
        <v>0.28000000000000003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0.3</v>
      </c>
      <c r="AF63" s="249" t="e" vm="127">
        <f>_xlfn.XLOOKUP(AG63,Teams!$C:$C,Teams!$E:$E,,0,1)</f>
        <v>#VALUE!</v>
      </c>
      <c r="AG63" s="256" t="str">
        <f>Games!O53</f>
        <v>Tennessee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0.53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0.56999999999999995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2026-03-13T00:29:09Z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