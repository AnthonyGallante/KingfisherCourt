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B7EA0E26-2AC2-4075-BB5B-4626333EA81F}" xr6:coauthVersionLast="47" xr6:coauthVersionMax="47" xr10:uidLastSave="{00000000-0000-0000-0000-000000000000}"/>
  <bookViews>
    <workbookView xWindow="768" yWindow="768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<sst xmlns="http://schemas.openxmlformats.org/spreadsheetml/2006/main" count="1526" uniqueCount="1194">
  <si>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</si>
  <si>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</si>
  <si>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</si>
  <si>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</si>
  <si>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</si>
  <si>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</si>
  <si>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</si>
  <si>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</si>
  <si>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</si>
  <si>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</si>
  <si>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</si>
  <si>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</si>
  <si>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</si>
  <si>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</si>
  <si>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</si>
  <si>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</si>
  <si>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</si>
  <si>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</si>
  <si>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</si>
  <si>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</si>
  <si>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</si>
  <si>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</si>
  <si>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</si>
  <si>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</si>
  <si>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</si>
  <si>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</si>
  <si>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</si>
  <si>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</si>
  <si>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</si>
  <si>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</si>
  <si>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</si>
  <si>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</si>
  <si>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</si>
  <si>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</si>
  <si>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</si>
  <si>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</si>
  <si>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</si>
  <si>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</si>
  <si>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</si>
  <si>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</si>
  <si>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</si>
  <si>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</si>
  <si>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</si>
  <si>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</si>
  <si>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</si>
  <si>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</si>
  <si>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</si>
  <si>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</si>
  <si>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</si>
  <si>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</si>
  <si>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</si>
  <si>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</si>
  <si>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</si>
  <si>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</si>
  <si>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</si>
  <si>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</si>
  <si>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</si>
  <si>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</si>
  <si>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</si>
  <si>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</si>
  <si>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</si>
  <si>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</si>
  <si>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</si>
  <si>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</si>
  <si>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</si>
  <si>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</si>
  <si>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</si>
  <si>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</si>
  <si>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</si>
  <si>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</si>
  <si>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</si>
  <si>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</si>
  <si>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</si>
  <si>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</si>
  <si>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</si>
  <si>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</si>
  <si>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</si>
  <si>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</si>
  <si>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</si>
  <si>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</si>
  <si>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</si>
  <si>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</si>
  <si>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</si>
  <si>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</si>
  <si>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</si>
  <si>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</si>
  <si>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</si>
  <si>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</si>
  <si>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</si>
  <si>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</si>
  <si>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</si>
  <si>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</si>
  <si>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</si>
  <si>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</si>
  <si>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</si>
  <si>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</si>
  <si>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</si>
  <si>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</si>
  <si>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</si>
  <si>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</si>
  <si>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</si>
  <si>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</si>
  <si>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</si>
  <si>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</si>
  <si>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</si>
  <si>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</si>
  <si>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</si>
  <si>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</si>
  <si>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</si>
  <si>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</si>
  <si>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</si>
  <si>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</si>
  <si>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</si>
  <si>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</si>
  <si>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</si>
  <si>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</si>
  <si>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</si>
  <si>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</si>
  <si>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</si>
  <si>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</si>
  <si>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</si>
  <si>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</si>
  <si>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</si>
  <si>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</si>
  <si>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</si>
  <si>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</si>
  <si>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</si>
  <si>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</si>
  <si>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</si>
  <si>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</si>
  <si>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</si>
  <si>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</si>
  <si>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</si>
  <si>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</si>
  <si>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</si>
  <si>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</si>
  <si>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</si>
  <si>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</si>
  <si>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</si>
  <si>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</si>
  <si>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</si>
  <si>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</si>
  <si>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</si>
  <si>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</si>
  <si>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</si>
  <si>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</si>
  <si>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</si>
  <si>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</si>
  <si>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</si>
  <si>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</si>
  <si>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</si>
  <si>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</si>
  <si>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</si>
  <si>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</si>
  <si>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</si>
  <si>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</si>
  <si>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</si>
  <si>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</si>
  <si>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</si>
  <si>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</si>
  <si>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</si>
  <si>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</si>
  <si>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</si>
  <si>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</si>
  <si>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</si>
  <si>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</si>
  <si>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</si>
  <si>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</si>
  <si>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</si>
  <si>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</si>
  <si>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</si>
  <si>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</si>
  <si>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</si>
  <si>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</si>
  <si>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</si>
  <si>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</si>
  <si>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</si>
  <si>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</si>
  <si>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</si>
  <si>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</si>
  <si>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</si>
  <si>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</si>
  <si>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</si>
  <si>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</si>
  <si>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</si>
  <si>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</si>
  <si>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</si>
  <si>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</si>
  <si>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</si>
  <si>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</si>
  <si>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</si>
  <si>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</si>
  <si>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</si>
  <si>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</si>
  <si>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</si>
  <si>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</si>
  <si>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</si>
  <si>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</si>
  <si>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</si>
  <si>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</si>
  <si>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</si>
  <si>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</si>
  <si>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</si>
  <si>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</si>
  <si>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</si>
  <si>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</si>
  <si>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</si>
  <si>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</si>
  <si>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</si>
  <si>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</si>
  <si>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</si>
  <si>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</si>
  <si>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</si>
  <si>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</si>
  <si>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</si>
  <si>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</si>
  <si>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</si>
  <si>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</si>
  <si>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</si>
  <si>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</si>
  <si>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</si>
  <si>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</si>
  <si>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</si>
  <si>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</si>
  <si>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</si>
  <si>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</si>
  <si>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</si>
  <si>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</si>
  <si>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</si>
  <si>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</si>
  <si>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</si>
  <si>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</si>
  <si>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</si>
  <si>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</si>
  <si>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</si>
  <si>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</si>
  <si>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</si>
  <si>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</si>
  <si>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</si>
  <si>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</si>
  <si>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</si>
  <si>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</si>
  <si>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</si>
  <si>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</si>
  <si>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</si>
  <si>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</si>
  <si>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</si>
  <si>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</si>
  <si>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</si>
  <si>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</si>
  <si>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</si>
  <si>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</si>
  <si>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</si>
  <si>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</si>
  <si>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</si>
  <si>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</si>
  <si>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</si>
  <si>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</si>
  <si>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</si>
  <si>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</si>
  <si>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</si>
  <si>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</si>
  <si>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</si>
  <si>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</si>
  <si>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</si>
  <si>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</si>
  <si>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</si>
  <si>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</si>
  <si>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</si>
  <si>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</si>
  <si>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</si>
  <si>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</si>
  <si>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</si>
  <si>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</si>
  <si>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</si>
  <si>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</si>
  <si>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</si>
  <si>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</si>
  <si>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</si>
  <si>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</si>
  <si>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</si>
  <si>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</si>
  <si>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</si>
  <si>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</si>
  <si>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</si>
  <si>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</si>
  <si>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</si>
  <si>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</si>
  <si>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</si>
  <si>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</si>
  <si>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</si>
  <si>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</si>
  <si>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</si>
  <si>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</si>
  <si>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</si>
  <si>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</si>
  <si>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</si>
  <si>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</si>
  <si>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</si>
  <si>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</si>
  <si>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</si>
  <si>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</si>
  <si>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</si>
  <si>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</si>
  <si>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</si>
  <si>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</si>
  <si>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</si>
  <si>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</si>
  <si>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</si>
  <si>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</si>
  <si>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</si>
  <si>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</si>
  <si>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</si>
  <si>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</si>
  <si>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</si>
  <si>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</si>
  <si>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</si>
  <si>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</si>
  <si>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</si>
  <si>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</si>
  <si>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</si>
  <si>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</si>
  <si>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</si>
  <si>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</si>
  <si>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</si>
  <si>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</si>
  <si>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</si>
  <si>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</si>
  <si>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</si>
  <si>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</si>
  <si>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</si>
  <si>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</si>
  <si>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</si>
  <si>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</si>
  <si>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</si>
  <si>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</si>
  <si>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</si>
  <si>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</si>
  <si>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</si>
  <si>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</si>
  <si>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</si>
  <si>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</si>
  <si>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</si>
  <si>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</si>
  <si>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</si>
  <si>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</si>
  <si>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</si>
  <si>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</si>
  <si>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</si>
  <si>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</si>
  <si>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</si>
  <si>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</si>
  <si>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</si>
  <si>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</si>
  <si>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</si>
  <si>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</si>
  <si>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</si>
  <si>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</si>
  <si>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</si>
  <si>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</si>
  <si>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</si>
  <si>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</si>
  <si>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</si>
  <si>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</si>
  <si>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</si>
  <si>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</si>
  <si>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</si>
  <si>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</si>
  <si>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</si>
  <si>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</si>
  <si>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</si>
  <si>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</si>
  <si>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</si>
  <si>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</si>
  <si>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</si>
  <si>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</si>
  <si>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</si>
  <si>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</si>
  <si>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</si>
  <si>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</si>
  <si>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</si>
  <si>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</si>
  <si>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</si>
  <si>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</si>
  <si>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</si>
  <si>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</si>
  <si>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</si>
  <si>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</si>
  <si>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</si>
  <si>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</si>
  <si>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</si>
  <si>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</si>
  <si>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</si>
  <si>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</si>
  <si>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</si>
  <si>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</si>
  <si>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</si>
  <si>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</si>
  <si>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</si>
  <si>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</si>
  <si>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</si>
  <si>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</si>
  <si>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</si>
  <si>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</si>
  <si>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</si>
  <si>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</si>
  <si>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</si>
  <si>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</si>
  <si>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</si>
  <si>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</si>
  <si>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</si>
  <si>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</si>
  <si>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</si>
  <si>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</si>
  <si>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</si>
  <si>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</si>
  <si>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</si>
  <si>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</si>
  <si>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</si>
  <si>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</si>
  <si>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</si>
  <si>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</si>
  <si>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</si>
  <si>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</si>
  <si>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</si>
  <si>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</si>
  <si>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</si>
  <si>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</si>
  <si>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</si>
  <si>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</si>
  <si>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</si>
  <si>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</si>
  <si>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</si>
  <si>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</si>
  <si>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</si>
  <si>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</si>
  <si>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</si>
  <si>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</si>
  <si>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</si>
  <si>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</si>
  <si>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</si>
  <si>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</si>
  <si>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</si>
  <si>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</si>
  <si>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</si>
  <si>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</si>
  <si>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</si>
  <si>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</si>
  <si>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</si>
  <si>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</si>
  <si>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</si>
  <si>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</si>
  <si>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</si>
  <si>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</si>
  <si>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</si>
  <si>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</si>
  <si>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</si>
  <si>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</si>
  <si>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</si>
  <si>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</si>
  <si>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</si>
  <si>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</si>
  <si>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</si>
  <si>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</si>
  <si>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</si>
  <si>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</si>
  <si>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</si>
  <si>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</si>
  <si>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</si>
  <si>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</si>
  <si>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</si>
  <si>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</si>
  <si>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</si>
  <si>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</si>
  <si>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</si>
  <si>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</si>
  <si>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</si>
  <si>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</si>
  <si>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</si>
  <si>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</si>
  <si>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</si>
  <si>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</si>
  <si>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</si>
  <si>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</si>
  <si>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</si>
  <si>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</si>
  <si>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</si>
  <si>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</si>
  <si>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</si>
  <si>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</si>
  <si>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</si>
  <si>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</si>
  <si>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</si>
  <si>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</si>
  <si>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</si>
  <si>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</si>
  <si>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</si>
  <si>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</si>
  <si>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</si>
  <si>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</si>
  <si>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</si>
  <si>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</si>
  <si>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</si>
  <si>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</si>
  <si>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</si>
  <si>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</si>
  <si>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</si>
  <si>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</si>
  <si>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</si>
  <si>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</si>
  <si>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</si>
  <si>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</si>
  <si>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</si>
  <si>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</si>
  <si>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</si>
  <si>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</si>
  <si>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</si>
  <si>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</si>
  <si>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</si>
  <si>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</si>
  <si>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</si>
  <si>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</si>
  <si>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</si>
  <si>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</si>
  <si>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</si>
  <si>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</si>
  <si>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</si>
  <si>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</si>
  <si>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</si>
  <si>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</si>
  <si>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</si>
  <si>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</si>
  <si>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</si>
  <si>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</si>
  <si>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</si>
  <si>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</si>
  <si>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</si>
  <si>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</si>
  <si>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</si>
  <si>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</si>
  <si>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</si>
  <si>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</si>
  <si>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</si>
  <si>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</si>
  <si>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</si>
  <si>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</si>
  <si>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</si>
  <si>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</si>
  <si>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</si>
  <si>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</si>
  <si>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</si>
  <si>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</si>
  <si>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</si>
  <si>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</si>
  <si>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</si>
  <si>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</si>
  <si>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</si>
  <si>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</si>
  <si>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</si>
  <si>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</si>
  <si>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</si>
  <si>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</si>
  <si>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</si>
  <si>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</si>
  <si>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</si>
  <si>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</si>
  <si>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</si>
  <si>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</si>
  <si>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</si>
  <si>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</si>
  <si>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</si>
  <si>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</si>
  <si>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</si>
  <si>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</si>
  <si>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</si>
  <si>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</si>
  <si>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</si>
  <si>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</si>
  <si>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</si>
  <si>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</si>
  <si>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</si>
  <si>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</si>
  <si>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</si>
  <si>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</si>
  <si>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</si>
  <si>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</si>
  <si>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</si>
  <si>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</si>
  <si>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</si>
  <si>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</si>
  <si>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</si>
  <si>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</si>
  <si>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</si>
  <si>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</si>
  <si>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</si>
  <si>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</si>
  <si>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</si>
  <si>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</si>
  <si>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</si>
  <si>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</si>
  <si>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</si>
  <si>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</si>
  <si>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</si>
  <si>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</si>
  <si>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</si>
  <si>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</si>
  <si>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</si>
  <si>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</si>
  <si>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</si>
  <si>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</si>
  <si>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</si>
  <si>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</si>
  <si>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</si>
  <si>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</si>
  <si>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</si>
  <si>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</si>
  <si>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</si>
  <si>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</si>
  <si>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</si>
  <si>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</si>
  <si>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</si>
  <si>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</si>
  <si>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</si>
  <si>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</si>
  <si>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</si>
  <si>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</si>
  <si>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</si>
  <si>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</si>
  <si>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</si>
  <si>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</si>
  <si>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</si>
  <si>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</si>
  <si>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</si>
  <si>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</si>
  <si>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</si>
  <si>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</si>
  <si>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</si>
  <si>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</si>
  <si>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</si>
  <si>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</si>
  <si>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</si>
  <si>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</si>
  <si>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</si>
  <si>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</si>
  <si>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</si>
  <si>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</si>
  <si>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</si>
  <si>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</si>
  <si>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</si>
  <si>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</si>
  <si>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</si>
  <si>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</si>
  <si>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</si>
  <si>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</si>
  <si>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</si>
  <si>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</si>
  <si>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</si>
  <si>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</si>
  <si>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</si>
  <si>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</si>
  <si>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</si>
  <si>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</si>
  <si>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</si>
  <si>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</si>
  <si>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</si>
  <si>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</si>
  <si>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</si>
  <si>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</si>
  <si>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</si>
  <si>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</si>
  <si>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</si>
  <si>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</si>
  <si>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</si>
  <si>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</si>
  <si>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</si>
  <si>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</si>
  <si>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</si>
  <si>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</si>
  <si>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</si>
  <si>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</si>
  <si>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</si>
  <si>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</si>
  <si>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</si>
  <si>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</si>
  <si>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</si>
  <si>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</si>
  <si>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</si>
  <si>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</si>
  <si>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</si>
  <si>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</si>
  <si>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</si>
  <si>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</si>
  <si>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</si>
  <si>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</si>
  <si>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</si>
  <si>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</si>
  <si>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</si>
  <si>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</si>
  <si>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</si>
  <si>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</si>
  <si>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</si>
  <si>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</si>
  <si>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</si>
  <si>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</si>
  <si>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</si>
  <si>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</si>
  <si>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</si>
  <si>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</si>
  <si>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</si>
  <si>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</si>
  <si>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</si>
  <si>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</si>
  <si>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</si>
  <si>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</si>
  <si>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</si>
  <si>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</si>
  <si>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</si>
  <si>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</si>
  <si>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</si>
  <si>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</si>
  <si>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</si>
  <si>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</si>
  <si>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</si>
  <si>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</si>
  <si>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</si>
  <si>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</si>
  <si>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</si>
  <si>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</si>
  <si>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</si>
  <si>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</si>
  <si>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</si>
  <si>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</si>
  <si>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</si>
  <si>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</si>
  <si>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</si>
  <si>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</si>
  <si>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</si>
  <si>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</si>
  <si>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</si>
  <si>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</si>
  <si>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</si>
  <si>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</si>
  <si>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</si>
  <si>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</si>
  <si>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</si>
  <si>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</si>
  <si>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</si>
  <si>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</si>
  <si>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</si>
  <si>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</si>
  <si>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</si>
  <si>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</si>
  <si>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</si>
  <si>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</si>
  <si>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</si>
  <si>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</si>
  <si>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</si>
  <si>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</si>
  <si>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</si>
  <si>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</si>
  <si>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</si>
  <si>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</si>
  <si>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</si>
  <si>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</si>
  <si>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</si>
  <si>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</si>
  <si>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</si>
  <si>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</si>
  <si>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</si>
  <si>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</si>
  <si>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</si>
  <si>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</si>
  <si>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</si>
  <si>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</si>
  <si>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</si>
  <si>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</si>
  <si>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</si>
  <si>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</si>
  <si>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</si>
  <si>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</si>
  <si>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</si>
  <si>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</si>
  <si>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</si>
  <si>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</si>
  <si>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</si>
  <si>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</si>
  <si>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</si>
  <si>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</si>
  <si>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</si>
  <si>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</si>
  <si>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</si>
  <si>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</si>
  <si>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</si>
  <si>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</si>
  <si>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</si>
  <si>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</si>
  <si>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</si>
  <si>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</si>
  <si>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</si>
  <si>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</si>
  <si>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</si>
  <si>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</si>
  <si>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</si>
  <si>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</si>
  <si>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</si>
  <si>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</si>
  <si>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</si>
  <si>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</si>
  <si>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</si>
  <si>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</si>
  <si>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</si>
  <si>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</si>
  <si>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</si>
  <si>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</si>
  <si>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</si>
  <si>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</si>
  <si>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</si>
  <si>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</si>
  <si>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</si>
  <si>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</si>
  <si>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</si>
  <si>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</si>
  <si>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</si>
  <si>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</si>
  <si>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</si>
  <si>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</si>
  <si>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</si>
  <si>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</si>
  <si>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</si>
  <si>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</si>
  <si>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</si>
  <si>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</si>
  <si>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</si>
  <si>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</si>
  <si>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</si>
  <si>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</si>
  <si>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</si>
  <si>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</si>
  <si>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</si>
  <si>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</si>
  <si>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</si>
  <si>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</si>
  <si>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</si>
  <si>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</si>
  <si>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</si>
  <si>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</si>
  <si>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</si>
  <si>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</si>
  <si>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</si>
  <si>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</si>
  <si>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</si>
  <si>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</si>
  <si>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</si>
  <si>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</si>
  <si>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</si>
  <si>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</si>
  <si>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</si>
  <si>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</si>
  <si>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</si>
  <si>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</si>
  <si>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</si>
  <si>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</si>
  <si>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</si>
  <si>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</si>
  <si>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</si>
  <si>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</si>
  <si>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</si>
  <si>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</si>
  <si>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</si>
  <si>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</si>
  <si>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</si>
  <si>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</si>
  <si>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</si>
  <si>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</si>
  <si>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</si>
  <si>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</si>
  <si>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</si>
  <si>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</si>
  <si>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</si>
  <si>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</si>
  <si>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</si>
  <si>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</si>
  <si>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</si>
  <si>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</si>
  <si>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</si>
  <si>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</si>
  <si>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</si>
  <si>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</si>
  <si>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</si>
  <si>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</si>
  <si>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</si>
  <si>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</si>
  <si>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</si>
  <si>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</si>
  <si>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</si>
  <si>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</si>
  <si>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</si>
  <si>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</si>
  <si>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</si>
  <si>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</si>
  <si>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</si>
  <si>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</si>
  <si>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</si>
  <si>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</si>
  <si>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</si>
  <si>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</si>
  <si>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</si>
  <si>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</si>
  <si>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</si>
  <si>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</si>
  <si>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</si>
  <si>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</si>
  <si>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</si>
  <si>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</si>
  <si>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</si>
  <si>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</si>
  <si>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</si>
  <si>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</si>
  <si>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</si>
  <si>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</si>
  <si>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</si>
  <si>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</si>
  <si>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</si>
  <si>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</si>
  <si>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</si>
  <si>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</si>
  <si>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</si>
  <si>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</si>
  <si>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</si>
  <si>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</si>
  <si>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</si>
  <si>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</si>
  <si>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</si>
  <si>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</si>
  <si>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</si>
  <si>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</si>
  <si>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</si>
  <si>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</si>
  <si>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</si>
  <si>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</si>
  <si>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</si>
  <si>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</si>
  <si>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</si>
  <si>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</si>
  <si>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</si>
  <si>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</si>
  <si>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</si>
  <si>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</si>
  <si>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</si>
  <si>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</si>
  <si>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</si>
  <si>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</si>
  <si>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</si>
  <si>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</si>
  <si>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</si>
  <si>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</si>
  <si>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</si>
  <si>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</si>
  <si>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</si>
  <si>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</si>
  <si>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</si>
  <si>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</si>
  <si>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</si>
  <si>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</si>
  <si>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</si>
  <si>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</si>
  <si>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</si>
  <si>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</si>
  <si>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</si>
  <si>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</si>
  <si>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</si>
  <si>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</si>
  <si>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</si>
  <si>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</si>
  <si>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</si>
  <si>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</si>
  <si>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</si>
  <si>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</si>
  <si>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</si>
  <si>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</si>
  <si>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</si>
  <si>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</si>
  <si>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</si>
  <si>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</si>
  <si>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</si>
  <si>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</si>
  <si>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</si>
  <si>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</si>
  <si>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</si>
  <si>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</si>
  <si>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</si>
  <si>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</si>
  <si>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</si>
  <si>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</si>
  <si>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</si>
  <si>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</si>
  <si>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</si>
  <si>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</si>
  <si>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</si>
  <si>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</si>
  <si>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</si>
  <si>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</si>
  <si>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</si>
  <si>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</si>
  <si>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</si>
  <si>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</si>
  <si>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</si>
  <si>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</si>
  <si>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</si>
  <si>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</si>
  <si>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</si>
  <si>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</si>
  <si>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</si>
  <si>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</si>
  <si>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</si>
  <si>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</si>
  <si>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</si>
  <si>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</si>
  <si>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</si>
  <si>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</si>
  <si>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</si>
  <si>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</si>
  <si>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</si>
  <si>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</si>
  <si>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</si>
  <si>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</si>
  <si>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</si>
  <si>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</si>
  <si>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</si>
  <si>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</si>
  <si>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</si>
  <si>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</si>
  <si>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</si>
  <si>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</si>
  <si>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</si>
  <si>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</si>
  <si>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</si>
  <si>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</si>
  <si>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</si>
  <si>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</si>
  <si>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</si>
  <si>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</si>
  <si>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</si>
  <si>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</si>
  <si>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</si>
  <si>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</si>
  <si>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</si>
  <si>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</si>
  <si>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</si>
  <si>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</si>
  <si>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</si>
  <si>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</si>
  <si>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</si>
  <si>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</si>
  <si>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</si>
  <si>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</si>
  <si>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</si>
  <si>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</si>
  <si>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</si>
  <si>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</si>
  <si>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</si>
  <si>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</si>
  <si>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</si>
  <si>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</si>
  <si>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</si>
  <si>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</si>
  <si>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</si>
  <si>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</si>
  <si>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</si>
  <si>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</si>
  <si>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</si>
  <si>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</si>
  <si>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</si>
  <si>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</si>
  <si>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</si>
  <si>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</si>
  <si>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</si>
  <si>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</si>
  <si>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</si>
  <si>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</si>
  <si>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</si>
  <si>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</si>
  <si>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</si>
  <si>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</si>
  <si>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</si>
  <si>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</si>
  <si>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</si>
  <si>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</si>
  <si>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</si>
  <si>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</si>
  <si>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</si>
  <si>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</si>
  <si>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</si>
  <si>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</si>
  <si>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</si>
  <si>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</si>
  <si>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</si>
  <si>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</si>
  <si>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</si>
  <si>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</si>
  <si>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</si>
  <si>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</si>
  <si>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</si>
  <si>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</si>
  <si>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</si>
  <si>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</si>
  <si>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</si>
  <si>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</si>
  <si>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</si>
  <si>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</si>
  <si>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</si>
  <si>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</si>
  <si>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</si>
  <si>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</si>
  <si>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</si>
  <si>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</si>
  <si>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</si>
  <si>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</si>
  <si>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</si>
  <si>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</si>
  <si>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</si>
  <si>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</si>
  <si>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</si>
  <si>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</si>
  <si>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</si>
  <si>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</si>
  <si>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</si>
  <si>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</si>
  <si>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</si>
  <si>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</si>
  <si>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</si>
  <si>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</si>
  <si>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</si>
  <si>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</si>
  <si>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</si>
  <si>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</si>
  <si>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</si>
  <si>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</si>
  <si>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UPSET! Normal winner is Charleston Southern</t>
  </si>
  <si>
    <t>Auburn: 273 - 228 :Austin Peay</t>
  </si>
  <si>
    <t>Ball State: 69 - 432 :Baylor</t>
  </si>
  <si>
    <t>UPSET! Normal winner is Belmont</t>
  </si>
  <si>
    <t>UPSET! Normal winner is Bethune-Cookman</t>
  </si>
  <si>
    <t>Boise State: 409 - 92 :Boston College</t>
  </si>
  <si>
    <t>Drake: 4 - 497 :Duke</t>
  </si>
  <si>
    <t>Bradley: 85 - 416 :Brigham Young</t>
  </si>
  <si>
    <t>Brown: 301 - 200 :Bryant</t>
  </si>
  <si>
    <t>UPSET! Normal winner is Abilene Christian</t>
  </si>
  <si>
    <t>UPSET! Normal winner is 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</si>
  <si>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</si>
  <si>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</si>
  <si>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</si>
  <si>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</si>
  <si>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UPSET! Normal winner is Arkansas</t>
  </si>
  <si>
    <t>Arkansas-Pine Bluff: 371 - 130 :Army</t>
  </si>
  <si>
    <t>UPSET! Normal winner is Chattanooga</t>
  </si>
  <si>
    <t>UPSET! Normal winner is Cincinnati</t>
  </si>
  <si>
    <t>UPSET! Normal winner is 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</si>
  <si>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</si>
  <si>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</si>
  <si>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</si>
  <si>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</si>
  <si>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</si>
  <si>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</si>
  <si>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Cal State Fullerton: 127 - 374 :Cal State Northridge</t>
  </si>
  <si>
    <t>Campbell: 164 - 337 :Central Arkansas</t>
  </si>
  <si>
    <t>Central Michigan: 243 - 258 :Charlotte</t>
  </si>
  <si>
    <t>Auburn: 279 - 222 :Baylor</t>
  </si>
  <si>
    <t>Bellarmine: 299 - 202 :Binghamton</t>
  </si>
  <si>
    <t>Boise State: 34 - 467 :Duke</t>
  </si>
  <si>
    <t>Brigham Young: 490 - 11 :Brown</t>
  </si>
  <si>
    <t>Air Force: 1 - 500 :Akron</t>
  </si>
  <si>
    <t>Alabama A&amp;M: 204 - 297 :Albany (NY)</t>
  </si>
  <si>
    <t>Appalachian State: 23 - 478 :Arizona</t>
  </si>
  <si>
    <t>Arkansas State: 372 - 129 :Arkansas-Pine Bluff</t>
  </si>
  <si>
    <t>Chicago State: 6 - 495 :Clemson</t>
  </si>
  <si>
    <t>Cleveland State: 24 - 477 :College of Charleston</t>
  </si>
  <si>
    <t>Colorado: 91 - 410 :Connecticut</t>
  </si>
  <si>
    <t>UPSET! Normal winner is Creighton</t>
  </si>
  <si>
    <t>Butler: 221 - 280 :Cal State Northridge</t>
  </si>
  <si>
    <t>Central Arkansas: 446 - 55 :Charlotte</t>
  </si>
  <si>
    <t>Auburn: 447 - 54 :Bellarmine</t>
  </si>
  <si>
    <t>Duke: 356 - 145 :Brigham Young</t>
  </si>
  <si>
    <t>Akron: 462 - 39 :Albany (NY)</t>
  </si>
  <si>
    <t>Arizona: 492 - 9 :Arkansas State</t>
  </si>
  <si>
    <t>Clemson: 181 - 320 :College of Charleston</t>
  </si>
  <si>
    <t>Connecticut: 461 - 40 :Cornell</t>
  </si>
  <si>
    <t>Cal State Northridge: 182 - 319 :Central Arkansas</t>
  </si>
  <si>
    <t>UPSET! Normal winner is Duke</t>
  </si>
  <si>
    <t>Akron: 50 - 451 :Arizona</t>
  </si>
  <si>
    <t>College of Charleston: 188 - 313 :Connecticut</t>
  </si>
  <si>
    <t>UPSET! Normal winner is Central Arkansas</t>
  </si>
  <si>
    <t>Arizona: 440 - 61 :Connecticut</t>
  </si>
  <si>
    <t>Arizona: 468 - 33 :Auburn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</si>
</sst>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Charlotte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76</v>
      </c>
      <c r="J41" s="138" cm="1">
        <f t="array" ref="J41">_xlfn.XLOOKUP(I41,Teams[[#All],[Team]],Teams[[#All],[Seed]],0,0,1)</f>
        <v>15</v>
      </c>
      <c r="K41" s="139" t="e" vm="78">
        <f>_xlfn.XLOOKUP(G41,Teams!$C:$C,Teams!$E:$E,,0,1)</f>
        <v>#VALUE!</v>
      </c>
      <c r="L41" s="139">
        <v>0.49</v>
      </c>
      <c r="M41" s="139" t="e" vm="80">
        <f>_xlfn.XLOOKUP(I41,Teams!$C:$C,Teams!$E:$E,,0,1)</f>
        <v>#VALUE!</v>
      </c>
      <c r="N41" s="139">
        <v>0.51</v>
      </c>
      <c r="O41" s="195" t="str">
        <f t="shared" si="9"/>
        <v>Charlotte</v>
      </c>
      <c r="P41" s="210" t="e" vm="80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Binghamton</v>
      </c>
      <c r="C43" s="91" t="str">
        <f t="shared" si="7"/>
        <v>Binghamton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52</v>
      </c>
      <c r="J43" s="120" cm="1">
        <f t="array" ref="J43">_xlfn.XLOOKUP(I43,Teams[[#All],[Team]],Teams[[#All],[Seed]],0,0,1)</f>
        <v>13</v>
      </c>
      <c r="K43" s="83" t="e" vm="85">
        <f>_xlfn.XLOOKUP(G43,Teams!$C:$C,Teams!$E:$E,,0,1)</f>
        <v>#VALUE!</v>
      </c>
      <c r="L43" s="83">
        <v>0.6</v>
      </c>
      <c r="M43" s="83" t="e" vm="88">
        <f>_xlfn.XLOOKUP(I43,Teams!$C:$C,Teams!$E:$E,,0,1)</f>
        <v>#VALUE!</v>
      </c>
      <c r="N43" s="83">
        <v>0.4</v>
      </c>
      <c r="O43" s="192" t="str">
        <f t="shared" si="9"/>
        <v>Bellarmine</v>
      </c>
      <c r="P43" s="207" t="e" vm="85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Air Force</v>
      </c>
      <c r="B46" s="152" t="str">
        <f t="shared" si="11"/>
        <v>Akron</v>
      </c>
      <c r="C46" s="152" t="str">
        <f t="shared" si="7"/>
        <v>Air Force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16</v>
      </c>
      <c r="G46" s="131" t="s">
        <v>30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8">
        <f>_xlfn.XLOOKUP(G46,Teams!$C:$C,Teams!$E:$E,,0,1)</f>
        <v>#VALUE!</v>
      </c>
      <c r="L46" s="84">
        <v>0</v>
      </c>
      <c r="M46" s="84" t="e" vm="99">
        <f>_xlfn.XLOOKUP(I46,Teams!$C:$C,Teams!$E:$E,,0,1)</f>
        <v>#VALUE!</v>
      </c>
      <c r="N46" s="84">
        <v>1</v>
      </c>
      <c r="O46" s="194" t="str">
        <f t="shared" si="9"/>
        <v>Akron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 State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42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0.74</v>
      </c>
      <c r="M49" s="139" t="e" vm="111">
        <f>_xlfn.XLOOKUP(I49,Teams!$C:$C,Teams!$E:$E,,0,1)</f>
        <v>#VALUE!</v>
      </c>
      <c r="N49" s="139">
        <v>0.26</v>
      </c>
      <c r="O49" s="195" t="str">
        <f t="shared" si="9"/>
        <v>Arkansas State</v>
      </c>
      <c r="P49" s="210" t="e" vm="110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Clemson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80</v>
      </c>
      <c r="J50" s="144" cm="1">
        <f t="array" ref="J50">_xlfn.XLOOKUP(I50,Teams[[#All],[Team]],Teams[[#All],[Seed]],0,0,1)</f>
        <v>9</v>
      </c>
      <c r="K50" s="145" t="e" vm="114">
        <f>_xlfn.XLOOKUP(G50,Teams!$C:$C,Teams!$E:$E,,0,1)</f>
        <v>#VALUE!</v>
      </c>
      <c r="L50" s="145">
        <v>0.01</v>
      </c>
      <c r="M50" s="145" t="e" vm="116">
        <f>_xlfn.XLOOKUP(I50,Teams!$C:$C,Teams!$E:$E,,0,1)</f>
        <v>#VALUE!</v>
      </c>
      <c r="N50" s="145">
        <v>0.99</v>
      </c>
      <c r="O50" s="196" t="str">
        <f t="shared" si="9"/>
        <v>Clemson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College of Charleston</v>
      </c>
      <c r="C51" s="91" t="str">
        <f t="shared" si="7"/>
        <v>Cleveland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7">
        <f>_xlfn.XLOOKUP(G51,Teams!$C:$C,Teams!$E:$E,,0,1)</f>
        <v>#VALUE!</v>
      </c>
      <c r="L51" s="83">
        <v>0.05</v>
      </c>
      <c r="M51" s="83" t="e" vm="120">
        <f>_xlfn.XLOOKUP(I51,Teams!$C:$C,Teams!$E:$E,,0,1)</f>
        <v>#VALUE!</v>
      </c>
      <c r="N51" s="83">
        <v>0.95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Charlotte</v>
      </c>
      <c r="C56" s="91" t="str">
        <f t="shared" si="12"/>
        <v>Charlotte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76</v>
      </c>
      <c r="J56" s="138" cm="1">
        <f t="array" ref="J56">_xlfn.XLOOKUP(I56,Teams[[#All],[Team]],Teams[[#All],[Seed]],0,0,1)</f>
        <v>15</v>
      </c>
      <c r="K56" s="139" t="e" vm="76">
        <f>_xlfn.XLOOKUP(G56,Teams!$C:$C,Teams!$E:$E,,0,1)</f>
        <v>#VALUE!</v>
      </c>
      <c r="L56" s="139">
        <v>0.89</v>
      </c>
      <c r="M56" s="139" t="e" vm="80">
        <f>_xlfn.XLOOKUP(I56,Teams!$C:$C,Teams!$E:$E,,0,1)</f>
        <v>#VALUE!</v>
      </c>
      <c r="N56" s="139">
        <v>0.11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0.89</v>
      </c>
      <c r="M57" s="145" t="e" vm="85">
        <f>_xlfn.XLOOKUP(I57,Teams!$C:$C,Teams!$E:$E,,0,1)</f>
        <v>#VALUE!</v>
      </c>
      <c r="N57" s="145">
        <v>0.11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Akron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31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99">
        <f>_xlfn.XLOOKUP(G59,Teams!$C:$C,Teams!$E:$E,,0,1)</f>
        <v>#VALUE!</v>
      </c>
      <c r="L59" s="84">
        <v>0.92</v>
      </c>
      <c r="M59" s="84" t="e" vm="103">
        <f>_xlfn.XLOOKUP(I59,Teams!$C:$C,Teams!$E:$E,,0,1)</f>
        <v>#VALUE!</v>
      </c>
      <c r="N59" s="84">
        <v>0.08</v>
      </c>
      <c r="O59" s="194" t="str">
        <f t="shared" si="14"/>
        <v>Akron</v>
      </c>
      <c r="P59" s="209" t="e" vm="99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 State</v>
      </c>
      <c r="C60" s="152" t="str">
        <f t="shared" si="12"/>
        <v>Arkansas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42</v>
      </c>
      <c r="J60" s="138" cm="1">
        <f t="array" ref="J60">_xlfn.XLOOKUP(I60,Teams[[#All],[Team]],Teams[[#All],[Seed]],0,0,1)</f>
        <v>10</v>
      </c>
      <c r="K60" s="139" t="e" vm="107">
        <f>_xlfn.XLOOKUP(G60,Teams!$C:$C,Teams!$E:$E,,0,1)</f>
        <v>#VALUE!</v>
      </c>
      <c r="L60" s="139">
        <v>0.98</v>
      </c>
      <c r="M60" s="139" t="e" vm="110">
        <f>_xlfn.XLOOKUP(I60,Teams!$C:$C,Teams!$E:$E,,0,1)</f>
        <v>#VALUE!</v>
      </c>
      <c r="N60" s="139">
        <v>0.02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Clemson</v>
      </c>
      <c r="B61" s="91" t="str">
        <f t="shared" si="16"/>
        <v>College of Charleston</v>
      </c>
      <c r="C61" s="91" t="str">
        <f t="shared" si="12"/>
        <v>Clemson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80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6">
        <f>_xlfn.XLOOKUP(G61,Teams!$C:$C,Teams!$E:$E,,0,1)</f>
        <v>#VALUE!</v>
      </c>
      <c r="L61" s="145">
        <v>0.36</v>
      </c>
      <c r="M61" s="145" t="e" vm="120">
        <f>_xlfn.XLOOKUP(I61,Teams!$C:$C,Teams!$E:$E,,0,1)</f>
        <v>#VALUE!</v>
      </c>
      <c r="N61" s="145">
        <v>0.64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Cornell</v>
      </c>
      <c r="C62" s="91" t="str">
        <f t="shared" si="12"/>
        <v>Cornell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90</v>
      </c>
      <c r="J62" s="150" cm="1">
        <f t="array" ref="J62">_xlfn.XLOOKUP(I62,Teams[[#All],[Team]],Teams[[#All],[Seed]],0,0,1)</f>
        <v>10</v>
      </c>
      <c r="K62" s="151" t="e" vm="124">
        <f>_xlfn.XLOOKUP(G62,Teams!$C:$C,Teams!$E:$E,,0,1)</f>
        <v>#VALUE!</v>
      </c>
      <c r="L62" s="151">
        <v>0.92</v>
      </c>
      <c r="M62" s="151" t="e" vm="126">
        <f>_xlfn.XLOOKUP(I62,Teams!$C:$C,Teams!$E:$E,,0,1)</f>
        <v>#VALUE!</v>
      </c>
      <c r="N62" s="151">
        <v>0.08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Central Arkansas</v>
      </c>
      <c r="C64" s="91" t="str">
        <f>IF(O64="","",IF(A64=O64,B64,A64))</f>
        <v>Cal State Northridge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1">
        <f>_xlfn.XLOOKUP(G64,Teams!$C:$C,Teams!$E:$E,,0,1)</f>
        <v>#VALUE!</v>
      </c>
      <c r="L64" s="158">
        <v>0.36</v>
      </c>
      <c r="M64" s="158" t="e" vm="76">
        <f>_xlfn.XLOOKUP(I64,Teams!$C:$C,Teams!$E:$E,,0,1)</f>
        <v>#VALUE!</v>
      </c>
      <c r="N64" s="158">
        <v>0.64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Duke</v>
      </c>
      <c r="C65" s="91" t="str">
        <f>IF(O65="","",IF(A65=O65,B65,A65))</f>
        <v>Auburn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1">
        <f>_xlfn.XLOOKUP(G65,Teams!$C:$C,Teams!$E:$E,,0,1)</f>
        <v>#VALUE!</v>
      </c>
      <c r="L65" s="164">
        <v>0.16</v>
      </c>
      <c r="M65" s="164" t="e" vm="92">
        <f>_xlfn.XLOOKUP(I65,Teams!$C:$C,Teams!$E:$E,,0,1)</f>
        <v>#VALUE!</v>
      </c>
      <c r="N65" s="164">
        <v>0.84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Akron</v>
      </c>
      <c r="B66" s="91" t="str">
        <f>I66</f>
        <v>Arizona</v>
      </c>
      <c r="C66" s="91" t="str">
        <f>IF(O66="","",IF(A66=O66,B66,A66))</f>
        <v>Akron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8</v>
      </c>
      <c r="G66" s="155" t="s">
        <v>31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99">
        <f>_xlfn.XLOOKUP(G66,Teams!$C:$C,Teams!$E:$E,,0,1)</f>
        <v>#VALUE!</v>
      </c>
      <c r="L66" s="158">
        <v>0.1</v>
      </c>
      <c r="M66" s="158" t="e" vm="107">
        <f>_xlfn.XLOOKUP(I66,Teams!$C:$C,Teams!$E:$E,,0,1)</f>
        <v>#VALUE!</v>
      </c>
      <c r="N66" s="158">
        <v>0.9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Connecticut</v>
      </c>
      <c r="C67" s="91" t="str">
        <f>IF(O67="","",IF(A67=O67,B67,A67))</f>
        <v>College of Charleston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20">
        <f>_xlfn.XLOOKUP(G67,Teams!$C:$C,Teams!$E:$E,,0,1)</f>
        <v>#VALUE!</v>
      </c>
      <c r="L67" s="164">
        <v>0.38</v>
      </c>
      <c r="M67" s="164" t="e" vm="124">
        <f>_xlfn.XLOOKUP(I67,Teams!$C:$C,Teams!$E:$E,,0,1)</f>
        <v>#VALUE!</v>
      </c>
      <c r="N67" s="164">
        <v>0.62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Auburn</v>
      </c>
      <c r="C69" s="91" t="str">
        <f>IF(O69="","",IF(A69=O69,B69,A69))</f>
        <v>Central Arkansas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76">
        <f>_xlfn.XLOOKUP(G69,Teams!$C:$C,Teams!$E:$E,,0,1)</f>
        <v>#VALUE!</v>
      </c>
      <c r="L69" s="170">
        <v>0.5</v>
      </c>
      <c r="M69" s="170" t="e" vm="81">
        <f>_xlfn.XLOOKUP(I69,Teams!$C:$C,Teams!$E:$E,,0,1)</f>
        <v>#VALUE!</v>
      </c>
      <c r="N69" s="170">
        <v>0.5</v>
      </c>
      <c r="O69" s="200" t="str">
        <f>IF(L69&gt;N69,G69,I69)</f>
        <v>Auburn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0.88</v>
      </c>
      <c r="M70" s="164" t="e" vm="124">
        <f>_xlfn.XLOOKUP(I70,Teams!$C:$C,Teams!$E:$E,,0,1)</f>
        <v>#VALUE!</v>
      </c>
      <c r="N70" s="164">
        <v>0.12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81">
        <f>_xlfn.XLOOKUP(G72,Teams!$C:$C,Teams!$E:$E,,0,1)</f>
        <v>#VALUE!</v>
      </c>
      <c r="L72" s="158">
        <v>0.93</v>
      </c>
      <c r="M72" s="158" t="e" vm="107">
        <f>_xlfn.XLOOKUP(I72,Teams!$C:$C,Teams!$E:$E,,0,1)</f>
        <v>#VALUE!</v>
      </c>
      <c r="N72" s="158">
        <v>7.0000000000000007E-2</v>
      </c>
      <c r="O72" s="198" t="str">
        <f>IF(L72&gt;N72,G72,I72)</f>
        <v>Auburn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0.92</v>
      </c>
      <c r="AF7" s="297" t="e" vm="99">
        <f>_xlfn.XLOOKUP(AG7,Teams!$C:$C,Teams!$E:$E,,0,1)</f>
        <v>#VALUE!</v>
      </c>
      <c r="AG7" s="262" t="str">
        <f>Games!O46</f>
        <v>Akron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0.36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0.1</v>
      </c>
      <c r="AC11" s="249" t="e" vm="99">
        <f>_xlfn.XLOOKUP(AD11,Teams!$C:$C,Teams!$E:$E,,0,1)</f>
        <v>#VALUE!</v>
      </c>
      <c r="AD11" s="262" t="str">
        <f>Games!O59</f>
        <v>Akron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0.41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0.08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0.59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0.5</v>
      </c>
      <c r="R19" s="25"/>
      <c r="S19" s="25"/>
      <c r="T19" s="257"/>
      <c r="U19" s="258"/>
      <c r="V19" s="259"/>
      <c r="W19" s="25"/>
      <c r="X19" s="25"/>
      <c r="Y19" s="264">
        <f>Games!L70</f>
        <v>0.88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0.89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0.98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0.64</v>
      </c>
      <c r="O27" s="25"/>
      <c r="P27" s="25"/>
      <c r="Q27" s="50"/>
      <c r="R27" s="279" t="str">
        <f>Games!O69</f>
        <v>Auburn</v>
      </c>
      <c r="S27" s="262"/>
      <c r="T27" s="262"/>
      <c r="U27" s="289" t="e" vm="81">
        <f>_xlfn.XLOOKUP(R27,Teams!$C:$C,Teams!$E:$E,,0,1)</f>
        <v>#VALUE!</v>
      </c>
      <c r="V27" s="267">
        <f>Games!L72</f>
        <v>0.93</v>
      </c>
      <c r="W27" s="24"/>
      <c r="X27" s="25"/>
      <c r="Y27" s="56"/>
      <c r="AA27" s="25"/>
      <c r="AB27" s="269">
        <f>Games!N66</f>
        <v>0.9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0.74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Charlotte</v>
      </c>
      <c r="J31" s="247" t="e" vm="80">
        <f>_xlfn.XLOOKUP(I31,Teams!$C:$C,Teams!$E:$E,,0,1)</f>
        <v>#VALUE!</v>
      </c>
      <c r="K31" s="277">
        <f>Games!N56</f>
        <v>0.11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0.02</v>
      </c>
      <c r="AF31" s="249" t="e" vm="110">
        <f>_xlfn.XLOOKUP(AG31,Teams!$C:$C,Teams!$E:$E,,0,1)</f>
        <v>#VALUE!</v>
      </c>
      <c r="AG31" s="262" t="str">
        <f>Games!O49</f>
        <v>Arkansas State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Auburn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0.51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0.26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0.01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0.89</v>
      </c>
      <c r="L39" s="25"/>
      <c r="M39" s="25"/>
      <c r="O39" s="25"/>
      <c r="P39" s="25"/>
      <c r="Q39" s="50"/>
      <c r="R39" s="25"/>
      <c r="S39" s="25"/>
      <c r="T39" s="267">
        <f>Games!N72</f>
        <v>7.0000000000000007E-2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0.36</v>
      </c>
      <c r="AF39" s="249" t="e" vm="116">
        <f>_xlfn.XLOOKUP(AG39,Teams!$C:$C,Teams!$E:$E,,0,1)</f>
        <v>#VALUE!</v>
      </c>
      <c r="AG39" s="262" t="str">
        <f>Games!O50</f>
        <v>Clemson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0.99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0.16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0.38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0.05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Bellarmine</v>
      </c>
      <c r="J47" s="247" t="e" vm="85">
        <f>_xlfn.XLOOKUP(I47,Teams!$C:$C,Teams!$E:$E,,0,1)</f>
        <v>#VALUE!</v>
      </c>
      <c r="K47" s="277">
        <f>Games!N57</f>
        <v>0.11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0.64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0.4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0.95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0.5</v>
      </c>
      <c r="R51" s="25"/>
      <c r="S51" s="25"/>
      <c r="T51" s="25"/>
      <c r="U51" s="75"/>
      <c r="V51" s="25"/>
      <c r="W51" s="25"/>
      <c r="X51" s="25"/>
      <c r="Y51" s="269">
        <f>Games!N70</f>
        <v>0.12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0.92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0.84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0.62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0.08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