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54FF6F09-25BA-4F84-B7A0-47C0956FB5DD}" xr6:coauthVersionLast="47" xr6:coauthVersionMax="47" xr10:uidLastSave="{00000000-0000-0000-0000-000000000000}"/>
  <bookViews>
    <workbookView xWindow="1536" yWindow="1536" windowWidth="23040" windowHeight="12120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/>
  <c r="E115" i="6" a="1"/>
  <c r="E115" i="6"/>
  <c r="E116" i="6" a="1"/>
  <c r="E116" i="6" s="1"/>
  <c r="E117" i="6" a="1"/>
  <c r="E117" i="6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/>
  <c r="E336" i="6" a="1"/>
  <c r="E336" i="6"/>
  <c r="E337" i="6" a="1"/>
  <c r="E337" i="6"/>
  <c r="E338" i="6" a="1"/>
  <c r="E338" i="6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<sst xmlns="http://schemas.openxmlformats.org/spreadsheetml/2006/main" count="1526" uniqueCount="1194">
  <si>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</si>
  <si>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</si>
  <si>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</si>
  <si>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</si>
  <si>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</si>
  <si>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</si>
  <si>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</si>
  <si>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</si>
  <si>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</si>
  <si>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</si>
  <si>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</si>
  <si>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</si>
  <si>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</si>
  <si>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</si>
  <si>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</si>
  <si>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</si>
  <si>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</si>
  <si>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</si>
  <si>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</si>
  <si>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</si>
  <si>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</si>
  <si>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</si>
  <si>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</si>
  <si>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</si>
  <si>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</si>
  <si>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</si>
  <si>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</si>
  <si>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</si>
  <si>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</si>
  <si>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</si>
  <si>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</si>
  <si>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</si>
  <si>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</si>
  <si>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</si>
  <si>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</si>
  <si>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</si>
  <si>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</si>
  <si>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</si>
  <si>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</si>
  <si>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</si>
  <si>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</si>
  <si>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</si>
  <si>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</si>
  <si>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</si>
  <si>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</si>
  <si>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</si>
  <si>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</si>
  <si>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</si>
  <si>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</si>
  <si>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</si>
  <si>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</si>
  <si>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</si>
  <si>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</si>
  <si>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</si>
  <si>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</si>
  <si>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</si>
  <si>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</si>
  <si>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</si>
  <si>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</si>
  <si>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</si>
  <si>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</si>
  <si>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</si>
  <si>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</si>
  <si>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</si>
  <si>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</si>
  <si>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</si>
  <si>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</si>
  <si>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</si>
  <si>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</si>
  <si>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</si>
  <si>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</si>
  <si>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</si>
  <si>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</si>
  <si>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</si>
  <si>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</si>
  <si>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</si>
  <si>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</si>
  <si>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</si>
  <si>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</si>
  <si>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</si>
  <si>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</si>
  <si>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</si>
  <si>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</si>
  <si>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</si>
  <si>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</si>
  <si>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</si>
  <si>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</si>
  <si>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</si>
  <si>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</si>
  <si>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</si>
  <si>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</si>
  <si>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</si>
  <si>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</si>
  <si>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</si>
  <si>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</si>
  <si>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</si>
  <si>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</si>
  <si>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</si>
  <si>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</si>
  <si>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</si>
  <si>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</si>
  <si>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</si>
  <si>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</si>
  <si>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</si>
  <si>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</si>
  <si>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</si>
  <si>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</si>
  <si>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</si>
  <si>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</si>
  <si>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</si>
  <si>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</si>
  <si>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</si>
  <si>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</si>
  <si>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</si>
  <si>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</si>
  <si>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</si>
  <si>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</si>
  <si>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</si>
  <si>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</si>
  <si>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</si>
  <si>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</si>
  <si>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</si>
  <si>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</si>
  <si>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</si>
  <si>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</si>
  <si>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</si>
  <si>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</si>
  <si>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</si>
  <si>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</si>
  <si>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</si>
  <si>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</si>
  <si>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</si>
  <si>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</si>
  <si>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</si>
  <si>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</si>
  <si>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</si>
  <si>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</si>
  <si>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</si>
  <si>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</si>
  <si>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</si>
  <si>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</si>
  <si>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</si>
  <si>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</si>
  <si>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</si>
  <si>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</si>
  <si>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</si>
  <si>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</si>
  <si>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</si>
  <si>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</si>
  <si>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</si>
  <si>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</si>
  <si>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</si>
  <si>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</si>
  <si>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</si>
  <si>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</si>
  <si>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</si>
  <si>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</si>
  <si>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</si>
  <si>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</si>
  <si>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</si>
  <si>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</si>
  <si>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</si>
  <si>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</si>
  <si>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</si>
  <si>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</si>
  <si>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</si>
  <si>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</si>
  <si>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</si>
  <si>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</si>
  <si>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</si>
  <si>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</si>
  <si>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</si>
  <si>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</si>
  <si>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</si>
  <si>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</si>
  <si>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</si>
  <si>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</si>
  <si>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</si>
  <si>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</si>
  <si>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</si>
  <si>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</si>
  <si>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</si>
  <si>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</si>
  <si>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</si>
  <si>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</si>
  <si>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</si>
  <si>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</si>
  <si>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</si>
  <si>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</si>
  <si>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</si>
  <si>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</si>
  <si>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</si>
  <si>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</si>
  <si>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</si>
  <si>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</si>
  <si>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</si>
  <si>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</si>
  <si>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</si>
  <si>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</si>
  <si>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</si>
  <si>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</si>
  <si>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</si>
  <si>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</si>
  <si>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</si>
  <si>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</si>
  <si>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</si>
  <si>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</si>
  <si>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</si>
  <si>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</si>
  <si>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</si>
  <si>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</si>
  <si>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</si>
  <si>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</si>
  <si>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</si>
  <si>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</si>
  <si>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</si>
  <si>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</si>
  <si>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</si>
  <si>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</si>
  <si>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</si>
  <si>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</si>
  <si>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</si>
  <si>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</si>
  <si>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</si>
  <si>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</si>
  <si>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</si>
  <si>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</si>
  <si>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</si>
  <si>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</si>
  <si>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</si>
  <si>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</si>
  <si>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</si>
  <si>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</si>
  <si>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</si>
  <si>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</si>
  <si>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</si>
  <si>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</si>
  <si>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</si>
  <si>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</si>
  <si>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</si>
  <si>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</si>
  <si>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</si>
  <si>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</si>
  <si>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</si>
  <si>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</si>
  <si>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</si>
  <si>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</si>
  <si>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</si>
  <si>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</si>
  <si>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</si>
  <si>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</si>
  <si>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</si>
  <si>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</si>
  <si>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</si>
  <si>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</si>
  <si>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</si>
  <si>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</si>
  <si>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</si>
  <si>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</si>
  <si>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</si>
  <si>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</si>
  <si>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</si>
  <si>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</si>
  <si>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</si>
  <si>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</si>
  <si>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</si>
  <si>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</si>
  <si>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</si>
  <si>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</si>
  <si>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</si>
  <si>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</si>
  <si>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</si>
  <si>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</si>
  <si>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</si>
  <si>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</si>
  <si>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</si>
  <si>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</si>
  <si>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</si>
  <si>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</si>
  <si>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</si>
  <si>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</si>
  <si>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</si>
  <si>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</si>
  <si>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</si>
  <si>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</si>
  <si>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</si>
  <si>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</si>
  <si>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</si>
  <si>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</si>
  <si>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</si>
  <si>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</si>
  <si>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</si>
  <si>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</si>
  <si>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</si>
  <si>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</si>
  <si>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</si>
  <si>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</si>
  <si>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</si>
  <si>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</si>
  <si>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</si>
  <si>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</si>
  <si>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</si>
  <si>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</si>
  <si>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</si>
  <si>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</si>
  <si>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</si>
  <si>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</si>
  <si>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</si>
  <si>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</si>
  <si>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</si>
  <si>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</si>
  <si>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</si>
  <si>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</si>
  <si>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</si>
  <si>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</si>
  <si>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</si>
  <si>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</si>
  <si>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</si>
  <si>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</si>
  <si>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</si>
  <si>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</si>
  <si>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</si>
  <si>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</si>
  <si>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</si>
  <si>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</si>
  <si>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</si>
  <si>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</si>
  <si>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</si>
  <si>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</si>
  <si>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</si>
  <si>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</si>
  <si>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</si>
  <si>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</si>
  <si>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</si>
  <si>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</si>
  <si>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</si>
  <si>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</si>
  <si>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</si>
  <si>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</si>
  <si>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</si>
  <si>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</si>
  <si>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</si>
  <si>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</si>
  <si>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</si>
  <si>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</si>
  <si>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</si>
  <si>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</si>
  <si>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</si>
  <si>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</si>
  <si>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</si>
  <si>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</si>
  <si>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</si>
  <si>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</si>
  <si>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</si>
  <si>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</si>
  <si>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</si>
  <si>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</si>
  <si>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</si>
  <si>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</si>
  <si>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</si>
  <si>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</si>
  <si>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</si>
  <si>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</si>
  <si>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</si>
  <si>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</si>
  <si>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</si>
  <si>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</si>
  <si>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</si>
  <si>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</si>
  <si>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</si>
  <si>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</si>
  <si>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</si>
  <si>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</si>
  <si>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</si>
  <si>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</si>
  <si>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</si>
  <si>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</si>
  <si>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</si>
  <si>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</si>
  <si>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</si>
  <si>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</si>
  <si>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</si>
  <si>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</si>
  <si>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</si>
  <si>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</si>
  <si>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</si>
  <si>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</si>
  <si>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</si>
  <si>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</si>
  <si>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</si>
  <si>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</si>
  <si>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</si>
  <si>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</si>
  <si>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</si>
  <si>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</si>
  <si>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</si>
  <si>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</si>
  <si>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</si>
  <si>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</si>
  <si>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</si>
  <si>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</si>
  <si>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</si>
  <si>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</si>
  <si>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</si>
  <si>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</si>
  <si>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</si>
  <si>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</si>
  <si>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</si>
  <si>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</si>
  <si>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</si>
  <si>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</si>
  <si>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</si>
  <si>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</si>
  <si>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</si>
  <si>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</si>
  <si>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</si>
  <si>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</si>
  <si>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</si>
  <si>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</si>
  <si>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</si>
  <si>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</si>
  <si>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</si>
  <si>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</si>
  <si>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</si>
  <si>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</si>
  <si>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</si>
  <si>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</si>
  <si>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</si>
  <si>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</si>
  <si>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</si>
  <si>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</si>
  <si>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</si>
  <si>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</si>
  <si>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</si>
  <si>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</si>
  <si>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</si>
  <si>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</si>
  <si>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</si>
  <si>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</si>
  <si>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</si>
  <si>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</si>
  <si>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</si>
  <si>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</si>
  <si>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</si>
  <si>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</si>
  <si>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</si>
  <si>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</si>
  <si>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</si>
  <si>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</si>
  <si>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</si>
  <si>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</si>
  <si>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</si>
  <si>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</si>
  <si>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</si>
  <si>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</si>
  <si>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</si>
  <si>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</si>
  <si>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</si>
  <si>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</si>
  <si>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</si>
  <si>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</si>
  <si>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</si>
  <si>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</si>
  <si>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</si>
  <si>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</si>
  <si>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</si>
  <si>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</si>
  <si>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</si>
  <si>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</si>
  <si>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</si>
  <si>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</si>
  <si>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</si>
  <si>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</si>
  <si>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</si>
  <si>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</si>
  <si>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</si>
  <si>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</si>
  <si>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</si>
  <si>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</si>
  <si>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</si>
  <si>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</si>
  <si>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</si>
  <si>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</si>
  <si>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</si>
  <si>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</si>
  <si>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</si>
  <si>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</si>
  <si>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</si>
  <si>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</si>
  <si>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</si>
  <si>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</si>
  <si>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</si>
  <si>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</si>
  <si>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</si>
  <si>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</si>
  <si>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</si>
  <si>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</si>
  <si>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</si>
  <si>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</si>
  <si>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</si>
  <si>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</si>
  <si>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</si>
  <si>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</si>
  <si>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</si>
  <si>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</si>
  <si>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</si>
  <si>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</si>
  <si>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</si>
  <si>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</si>
  <si>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</si>
  <si>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</si>
  <si>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</si>
  <si>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</si>
  <si>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</si>
  <si>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</si>
  <si>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</si>
  <si>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</si>
  <si>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</si>
  <si>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</si>
  <si>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</si>
  <si>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</si>
  <si>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</si>
  <si>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</si>
  <si>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</si>
  <si>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</si>
  <si>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</si>
  <si>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</si>
  <si>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</si>
  <si>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</si>
  <si>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</si>
  <si>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</si>
  <si>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</si>
  <si>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</si>
  <si>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</si>
  <si>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</si>
  <si>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</si>
  <si>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</si>
  <si>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</si>
  <si>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</si>
  <si>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</si>
  <si>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</si>
  <si>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</si>
  <si>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</si>
  <si>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</si>
  <si>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</si>
  <si>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</si>
  <si>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</si>
  <si>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</si>
  <si>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</si>
  <si>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</si>
  <si>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</si>
  <si>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</si>
  <si>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</si>
  <si>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</si>
  <si>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</si>
  <si>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</si>
  <si>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</si>
  <si>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</si>
  <si>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</si>
  <si>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</si>
  <si>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</si>
  <si>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</si>
  <si>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</si>
  <si>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</si>
  <si>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</si>
  <si>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</si>
  <si>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</si>
  <si>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</si>
  <si>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</si>
  <si>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</si>
  <si>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</si>
  <si>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</si>
  <si>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</si>
  <si>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</si>
  <si>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</si>
  <si>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</si>
  <si>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</si>
  <si>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</si>
  <si>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</si>
  <si>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</si>
  <si>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</si>
  <si>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</si>
  <si>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</si>
  <si>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</si>
  <si>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</si>
  <si>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</si>
  <si>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</si>
  <si>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</si>
  <si>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</si>
  <si>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</si>
  <si>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</si>
  <si>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</si>
  <si>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</si>
  <si>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</si>
  <si>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</si>
  <si>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</si>
  <si>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</si>
  <si>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</si>
  <si>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</si>
  <si>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</si>
  <si>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</si>
  <si>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</si>
  <si>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</si>
  <si>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</si>
  <si>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</si>
  <si>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</si>
  <si>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</si>
  <si>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</si>
  <si>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</si>
  <si>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</si>
  <si>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</si>
  <si>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</si>
  <si>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</si>
  <si>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</si>
  <si>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</si>
  <si>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</si>
  <si>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</si>
  <si>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</si>
  <si>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</si>
  <si>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</si>
  <si>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</si>
  <si>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</si>
  <si>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</si>
  <si>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</si>
  <si>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</si>
  <si>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</si>
  <si>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</si>
  <si>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</si>
  <si>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</si>
  <si>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</si>
  <si>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</si>
  <si>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</si>
  <si>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</si>
  <si>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</si>
  <si>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</si>
  <si>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</si>
  <si>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</si>
  <si>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</si>
  <si>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</si>
  <si>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</si>
  <si>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</si>
  <si>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</si>
  <si>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</si>
  <si>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</si>
  <si>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</si>
  <si>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</si>
  <si>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</si>
  <si>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</si>
  <si>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</si>
  <si>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</si>
  <si>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</si>
  <si>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</si>
  <si>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</si>
  <si>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</si>
  <si>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</si>
  <si>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</si>
  <si>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</si>
  <si>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</si>
  <si>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</si>
  <si>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</si>
  <si>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</si>
  <si>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</si>
  <si>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</si>
  <si>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</si>
  <si>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</si>
  <si>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</si>
  <si>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</si>
  <si>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</si>
  <si>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</si>
  <si>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</si>
  <si>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</si>
  <si>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</si>
  <si>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</si>
  <si>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</si>
  <si>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</si>
  <si>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</si>
  <si>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</si>
  <si>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</si>
  <si>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</si>
  <si>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</si>
  <si>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</si>
  <si>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</si>
  <si>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</si>
  <si>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</si>
  <si>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</si>
  <si>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</si>
  <si>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</si>
  <si>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</si>
  <si>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</si>
  <si>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</si>
  <si>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</si>
  <si>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</si>
  <si>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</si>
  <si>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</si>
  <si>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</si>
  <si>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</si>
  <si>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</si>
  <si>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</si>
  <si>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</si>
  <si>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</si>
  <si>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</si>
  <si>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</si>
  <si>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</si>
  <si>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</si>
  <si>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</si>
  <si>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</si>
  <si>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</si>
  <si>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</si>
  <si>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</si>
  <si>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</si>
  <si>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</si>
  <si>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</si>
  <si>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</si>
  <si>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</si>
  <si>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</si>
  <si>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</si>
  <si>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</si>
  <si>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</si>
  <si>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</si>
  <si>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</si>
  <si>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</si>
  <si>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</si>
  <si>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</si>
  <si>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</si>
  <si>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</si>
  <si>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</si>
  <si>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</si>
  <si>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</si>
  <si>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</si>
  <si>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</si>
  <si>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</si>
  <si>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</si>
  <si>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</si>
  <si>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</si>
  <si>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</si>
  <si>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</si>
  <si>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</si>
  <si>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</si>
  <si>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</si>
  <si>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</si>
  <si>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</si>
  <si>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</si>
  <si>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</si>
  <si>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</si>
  <si>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</si>
  <si>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</si>
  <si>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</si>
  <si>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</si>
  <si>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</si>
  <si>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</si>
  <si>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</si>
  <si>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</si>
  <si>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</si>
  <si>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</si>
  <si>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</si>
  <si>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</si>
  <si>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</si>
  <si>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</si>
  <si>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</si>
  <si>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</si>
  <si>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</si>
  <si>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</si>
  <si>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</si>
  <si>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</si>
  <si>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</si>
  <si>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</si>
  <si>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</si>
  <si>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</si>
  <si>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</si>
  <si>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</si>
  <si>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</si>
  <si>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</si>
  <si>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</si>
  <si>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</si>
  <si>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</si>
  <si>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</si>
  <si>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</si>
  <si>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</si>
  <si>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</si>
  <si>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</si>
  <si>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</si>
  <si>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</si>
  <si>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</si>
  <si>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</si>
  <si>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</si>
  <si>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</si>
  <si>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</si>
  <si>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</si>
  <si>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</si>
  <si>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</si>
  <si>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</si>
  <si>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</si>
  <si>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</si>
  <si>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</si>
  <si>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</si>
  <si>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</si>
  <si>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</si>
  <si>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</si>
  <si>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</si>
  <si>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</si>
  <si>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</si>
  <si>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</si>
  <si>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</si>
  <si>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</si>
  <si>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</si>
  <si>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</si>
  <si>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</si>
  <si>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</si>
  <si>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</si>
  <si>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</si>
  <si>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</si>
  <si>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</si>
  <si>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</si>
  <si>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</si>
  <si>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</si>
  <si>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</si>
  <si>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</si>
  <si>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</si>
  <si>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</si>
  <si>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</si>
  <si>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</si>
  <si>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</si>
  <si>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</si>
  <si>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</si>
  <si>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</si>
  <si>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</si>
  <si>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</si>
  <si>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</si>
  <si>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</si>
  <si>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</si>
  <si>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</si>
  <si>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</si>
  <si>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</si>
  <si>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</si>
  <si>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</si>
  <si>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</si>
  <si>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</si>
  <si>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</si>
  <si>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</si>
  <si>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</si>
  <si>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</si>
  <si>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</si>
  <si>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</si>
  <si>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</si>
  <si>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</si>
  <si>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</si>
  <si>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</si>
  <si>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</si>
  <si>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</si>
  <si>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</si>
  <si>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</si>
  <si>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</si>
  <si>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</si>
  <si>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</si>
  <si>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</si>
  <si>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</si>
  <si>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</si>
  <si>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</si>
  <si>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</si>
  <si>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</si>
  <si>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</si>
  <si>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</si>
  <si>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</si>
  <si>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</si>
  <si>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</si>
  <si>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</si>
  <si>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</si>
  <si>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</si>
  <si>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</si>
  <si>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</si>
  <si>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</si>
  <si>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</si>
  <si>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</si>
  <si>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</si>
  <si>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</si>
  <si>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</si>
  <si>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</si>
  <si>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</si>
  <si>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</si>
  <si>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</si>
  <si>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</si>
  <si>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</si>
  <si>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</si>
  <si>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</si>
  <si>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</si>
  <si>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</si>
  <si>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</si>
  <si>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</si>
  <si>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</si>
  <si>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</si>
  <si>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</si>
  <si>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</si>
  <si>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</si>
  <si>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</si>
  <si>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</si>
  <si>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</si>
  <si>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</si>
  <si>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</si>
  <si>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</si>
  <si>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</si>
  <si>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</si>
  <si>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</si>
  <si>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</si>
  <si>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</si>
  <si>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</si>
  <si>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</si>
  <si>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</si>
  <si>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</si>
  <si>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</si>
  <si>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</si>
  <si>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</si>
  <si>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</si>
  <si>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</si>
  <si>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</si>
  <si>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</si>
  <si>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</si>
  <si>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</si>
  <si>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</si>
  <si>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</si>
  <si>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</si>
  <si>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</si>
  <si>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</si>
  <si>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</si>
  <si>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</si>
  <si>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</si>
  <si>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</si>
  <si>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</si>
  <si>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</si>
  <si>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</si>
  <si>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</si>
  <si>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</si>
  <si>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</si>
  <si>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</si>
  <si>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</si>
  <si>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</si>
  <si>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</si>
  <si>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</si>
  <si>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</si>
  <si>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</si>
  <si>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</si>
  <si>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</si>
  <si>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</si>
  <si>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</si>
  <si>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</si>
  <si>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</si>
  <si>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</si>
  <si>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</si>
  <si>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</si>
  <si>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</si>
  <si>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</si>
  <si>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</si>
  <si>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</si>
  <si>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</si>
  <si>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</si>
  <si>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</si>
  <si>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</si>
  <si>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</si>
  <si>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</si>
  <si>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</si>
  <si>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</si>
  <si>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</si>
  <si>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</si>
  <si>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</si>
  <si>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</si>
  <si>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</si>
  <si>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</si>
  <si>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</si>
  <si>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</si>
  <si>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</si>
  <si>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</si>
  <si>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</si>
  <si>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</si>
  <si>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</si>
  <si>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</si>
  <si>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</si>
  <si>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</si>
  <si>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</si>
  <si>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</si>
  <si>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</si>
  <si>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</si>
  <si>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</si>
  <si>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</si>
  <si>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</si>
  <si>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</si>
  <si>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</si>
  <si>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</si>
  <si>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</si>
  <si>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</si>
  <si>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</si>
  <si>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</si>
  <si>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</si>
  <si>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</si>
  <si>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</si>
  <si>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</si>
  <si>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</si>
  <si>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</si>
  <si>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</si>
  <si>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</si>
  <si>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</si>
  <si>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</si>
  <si>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</si>
  <si>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</si>
  <si>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</si>
  <si>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</si>
  <si>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</si>
  <si>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</si>
  <si>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</si>
  <si>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</si>
  <si>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</si>
  <si>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</si>
  <si>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</si>
  <si>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</si>
  <si>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</si>
  <si>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</si>
  <si>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</si>
  <si>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</si>
  <si>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</si>
  <si>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</si>
  <si>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</si>
  <si>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</si>
  <si>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</si>
  <si>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</si>
  <si>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</si>
  <si>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</si>
  <si>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</si>
  <si>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</si>
  <si>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</si>
  <si>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</si>
  <si>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</si>
  <si>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</si>
  <si>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</si>
  <si>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</si>
  <si>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</si>
  <si>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</si>
  <si>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</si>
  <si>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</si>
  <si>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</si>
  <si>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</si>
  <si>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</si>
  <si>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</si>
  <si>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</si>
  <si>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</si>
  <si>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</si>
  <si>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</si>
  <si>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</si>
  <si>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</si>
  <si>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</si>
  <si>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</si>
  <si>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</si>
  <si>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</si>
  <si>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</si>
  <si>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</si>
  <si>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</si>
  <si>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</si>
  <si>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</si>
  <si>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</si>
  <si>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</si>
  <si>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</si>
  <si>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</si>
  <si>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</si>
  <si>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</si>
  <si>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</si>
  <si>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</si>
  <si>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</si>
  <si>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</si>
  <si>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</si>
  <si>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</si>
  <si>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</si>
  <si>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</si>
  <si>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</si>
  <si>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</si>
  <si>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</si>
  <si>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</si>
  <si>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</si>
  <si>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</si>
  <si>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</si>
  <si>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</si>
  <si>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</si>
  <si>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</si>
  <si>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</si>
  <si>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</si>
  <si>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</si>
  <si>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</si>
  <si>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</si>
  <si>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</si>
  <si>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</si>
  <si>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</si>
  <si>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</si>
  <si>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</si>
  <si>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</si>
  <si>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</si>
  <si>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</si>
  <si>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</si>
  <si>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</si>
  <si>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</si>
  <si>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</si>
  <si>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</si>
  <si>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</si>
  <si>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</si>
  <si>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</si>
  <si>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</si>
  <si>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</si>
  <si>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</si>
  <si>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</si>
  <si>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</si>
  <si>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</si>
  <si>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</si>
  <si>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</si>
  <si>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</si>
  <si>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</si>
  <si>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</si>
  <si>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</si>
  <si>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</si>
  <si>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</si>
  <si>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</si>
  <si>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</si>
  <si>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</si>
  <si>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</si>
  <si>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</si>
  <si>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</si>
  <si>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</si>
  <si>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</si>
  <si>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</si>
  <si>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</si>
  <si>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</si>
  <si>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</si>
  <si>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</si>
  <si>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</si>
  <si>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</si>
  <si>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</si>
  <si>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</si>
  <si>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</si>
  <si>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</si>
  <si>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Cal State Bakersfield: 98 - 403 :Cal State Fullerton</t>
  </si>
  <si>
    <t>Cal State Northridge: 260 - 241 :California</t>
  </si>
  <si>
    <t>UPSET! Normal winner is Campbell</t>
  </si>
  <si>
    <t>Canisius: 19 - 482 :Central Arkansas</t>
  </si>
  <si>
    <t>Central Connecticut State: 211 - 290 :Central Michigan</t>
  </si>
  <si>
    <t>UPSET! Normal winner is Charleston Southern</t>
  </si>
  <si>
    <t>Auburn: 273 - 228 :Austin Peay</t>
  </si>
  <si>
    <t>Ball State: 69 - 432 :Baylor</t>
  </si>
  <si>
    <t>Bellarmine: 79 - 422 :Belmont</t>
  </si>
  <si>
    <t>UPSET! Normal winner is Bethune-Cookman</t>
  </si>
  <si>
    <t>Boise State: 409 - 92 :Boston College</t>
  </si>
  <si>
    <t>Drake: 4 - 497 :Duke</t>
  </si>
  <si>
    <t>Bradley: 85 - 416 :Brigham Young</t>
  </si>
  <si>
    <t>UPSET! Normal winner is Brown</t>
  </si>
  <si>
    <t>Abilene Christian: 442 - 59 :Air Force</t>
  </si>
  <si>
    <t>Akron: 154 - 347 :Alabama</t>
  </si>
  <si>
    <t>Alabama A&amp;M: 328 - 173 :Alabama State</t>
  </si>
  <si>
    <t>Albany (NY): 331 - 170 :Alcorn State</t>
  </si>
  <si>
    <t>American: 42 - 459 :Appalachian State</t>
  </si>
  <si>
    <t>Arizona: 491 - 10 :Arizona State</t>
  </si>
  <si>
    <t>Arkansas: 453 - 48 :Arkansas State</t>
  </si>
  <si>
    <t>Arkansas-Pine Bluff: 371 - 130 :Army</t>
  </si>
  <si>
    <t>UPSET! Normal winner is Chattanooga</t>
  </si>
  <si>
    <t>Cincinnati: 303 - 198 :Clemson</t>
  </si>
  <si>
    <t>Cleveland State: 59 - 442 :Coastal Carolina</t>
  </si>
  <si>
    <t>Colgate: 92 - 409 :College of Charleston</t>
  </si>
  <si>
    <t>UPSET! Normal winner is Colorado</t>
  </si>
  <si>
    <t>Columbia: 18 - 483 :Connecticut</t>
  </si>
  <si>
    <t>Coppin State: 26 - 475 :Cornell</t>
  </si>
  <si>
    <t>Creighton: 337 - 164 :Dartmouth</t>
  </si>
  <si>
    <t>UPSET! Normal winner is Butler</t>
  </si>
  <si>
    <t>Cal State Fullerton: 127 - 374 :Cal State Northridge</t>
  </si>
  <si>
    <t>California Baptist: 113 - 388 :Central Arkansas</t>
  </si>
  <si>
    <t>Central Michigan: 243 - 258 :Charlotte</t>
  </si>
  <si>
    <t>Auburn: 279 - 222 :Baylor</t>
  </si>
  <si>
    <t>Belmont: 455 - 46 :Binghamton</t>
  </si>
  <si>
    <t>Boise State: 34 - 467 :Duke</t>
  </si>
  <si>
    <t>Brigham Young: 490 - 11 :Bryant</t>
  </si>
  <si>
    <t>Abilene Christian: 1 - 500 :Alabama</t>
  </si>
  <si>
    <t>UPSET! Normal winner is Albany (NY)</t>
  </si>
  <si>
    <t>Appalachian State: 23 - 478 :Arizona</t>
  </si>
  <si>
    <t>Arkansas: 480 - 21 :Arkansas-Pine Bluff</t>
  </si>
  <si>
    <t>Chicago State: 8 - 493 :Cincinnati</t>
  </si>
  <si>
    <t>UPSET! Normal winner is College of Charleston</t>
  </si>
  <si>
    <t>UPSET! Normal winner is Connecticut</t>
  </si>
  <si>
    <t>Cornell: 181 - 320 :Creighton</t>
  </si>
  <si>
    <t>Buffalo: 204 - 297 :Cal State Northridge</t>
  </si>
  <si>
    <t>UPSET! Normal winner is Central Arkansas</t>
  </si>
  <si>
    <t>UPSET! Normal winner is Auburn</t>
  </si>
  <si>
    <t>Duke: 356 - 145 :Brigham Young</t>
  </si>
  <si>
    <t>Alabama: 494 - 7 :Alabama A&amp;M</t>
  </si>
  <si>
    <t>Arizona: 413 - 88 :Arkansas</t>
  </si>
  <si>
    <t>Cincinnati: 285 - 216 :Coastal Carolina</t>
  </si>
  <si>
    <t>UPSET! Normal winner is Colorado State</t>
  </si>
  <si>
    <t>Cal State Northridge: 415 - 86 :Charlotte</t>
  </si>
  <si>
    <t>Belmont: 48 - 453 :Duke</t>
  </si>
  <si>
    <t>Alabama: 116 - 385 :Arizona</t>
  </si>
  <si>
    <t>Cincinnati: 382 - 119 :Creighton</t>
  </si>
  <si>
    <t>Duke: 438 - 63 :Cal State Northridge</t>
  </si>
  <si>
    <t>Arizona: 476 - 25 :Cincinnati</t>
  </si>
  <si>
    <t>Arizona: 327 - 174 :Duke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</si>
</sst>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</v>
      </c>
      <c r="M7" s="82" t="e" vm="70">
        <f>_xlfn.XLOOKUP(I7,Teams!$C:$C,Teams!$E:$E,,0,1)</f>
        <v>#VALUE!</v>
      </c>
      <c r="N7" s="82">
        <v>0.8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Campbell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0.64</v>
      </c>
      <c r="M9" s="82" t="e" vm="74">
        <f>_xlfn.XLOOKUP(I9,Teams!$C:$C,Teams!$E:$E,,0,1)</f>
        <v>#VALUE!</v>
      </c>
      <c r="N9" s="82">
        <v>0.36</v>
      </c>
      <c r="O9" s="189" t="str">
        <f t="shared" si="3"/>
        <v>California Baptist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Charleston Southern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0.45</v>
      </c>
      <c r="M12" s="109" t="e" vm="80">
        <f>_xlfn.XLOOKUP(I12,Teams!$C:$C,Teams!$E:$E,,0,1)</f>
        <v>#VALUE!</v>
      </c>
      <c r="N12" s="109">
        <v>0.55000000000000004</v>
      </c>
      <c r="O12" s="190" t="str">
        <f t="shared" si="3"/>
        <v>Charlotte</v>
      </c>
      <c r="P12" s="205" t="e" vm="80">
        <f>_xlfn.XLOOKUP(O12,Teams!$C:$C,Teams!$E:$E,,0,1)</f>
        <v>#VALUE!</v>
      </c>
      <c r="Q12" s="224" t="s">
        <v>1138</v>
      </c>
      <c r="R12" s="6" t="b">
        <f t="shared" si="5"/>
        <v>1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Bellarmine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0.16</v>
      </c>
      <c r="M15" s="83" t="e" vm="86">
        <f>_xlfn.XLOOKUP(I15,Teams!$C:$C,Teams!$E:$E,,0,1)</f>
        <v>#VALUE!</v>
      </c>
      <c r="N15" s="83">
        <v>0.84</v>
      </c>
      <c r="O15" s="192" t="str">
        <f t="shared" si="3"/>
        <v>Belmont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Bethune-Cookman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0.17</v>
      </c>
      <c r="M16" s="83" t="e" vm="88">
        <f>_xlfn.XLOOKUP(I16,Teams!$C:$C,Teams!$E:$E,,0,1)</f>
        <v>#VALUE!</v>
      </c>
      <c r="N16" s="83">
        <v>0.83</v>
      </c>
      <c r="O16" s="192" t="str">
        <f t="shared" si="3"/>
        <v>Binghamton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Brown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0.4</v>
      </c>
      <c r="M20" s="126" t="e" vm="96">
        <f>_xlfn.XLOOKUP(I20,Teams!$C:$C,Teams!$E:$E,,0,1)</f>
        <v>#VALUE!</v>
      </c>
      <c r="N20" s="126">
        <v>0.6</v>
      </c>
      <c r="O20" s="193" t="str">
        <f t="shared" si="3"/>
        <v>Bryant</v>
      </c>
      <c r="P20" s="208" t="e" vm="96">
        <f>_xlfn.XLOOKUP(O20,Teams!$C:$C,Teams!$E:$E,,0,1)</f>
        <v>#VALUE!</v>
      </c>
      <c r="Q20" s="227" t="s">
        <v>1146</v>
      </c>
      <c r="R20" s="6" t="b">
        <f t="shared" si="5"/>
        <v>1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Akron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0.31</v>
      </c>
      <c r="M22" s="82" t="e" vm="100">
        <f>_xlfn.XLOOKUP(I22,Teams!$C:$C,Teams!$E:$E,,0,1)</f>
        <v>#VALUE!</v>
      </c>
      <c r="N22" s="82">
        <v>0.69</v>
      </c>
      <c r="O22" s="189" t="str">
        <f t="shared" si="3"/>
        <v>Alabama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Chattanooga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0.25</v>
      </c>
      <c r="M29" s="115" t="e" vm="114">
        <f>_xlfn.XLOOKUP(I29,Teams!$C:$C,Teams!$E:$E,,0,1)</f>
        <v>#VALUE!</v>
      </c>
      <c r="N29" s="115">
        <v>0.75</v>
      </c>
      <c r="O29" s="191" t="str">
        <f t="shared" si="3"/>
        <v>Chicago State</v>
      </c>
      <c r="P29" s="206" t="e" vm="114">
        <f>_xlfn.XLOOKUP(O29,Teams!$C:$C,Teams!$E:$E,,0,1)</f>
        <v>#VALUE!</v>
      </c>
      <c r="Q29" s="225" t="s">
        <v>1155</v>
      </c>
      <c r="R29" s="6" t="b">
        <f t="shared" si="5"/>
        <v>1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0.46</v>
      </c>
      <c r="M33" s="83" t="e" vm="122">
        <f>_xlfn.XLOOKUP(I33,Teams!$C:$C,Teams!$E:$E,,0,1)</f>
        <v>#VALUE!</v>
      </c>
      <c r="N33" s="83">
        <v>0.54</v>
      </c>
      <c r="O33" s="192" t="str">
        <f t="shared" si="3"/>
        <v>Colorado State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0.67</v>
      </c>
      <c r="M36" s="126" t="e" vm="128">
        <f>_xlfn.XLOOKUP(I36,Teams!$C:$C,Teams!$E:$E,,0,1)</f>
        <v>#VALUE!</v>
      </c>
      <c r="N36" s="126">
        <v>0.33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0.51</v>
      </c>
      <c r="M38" s="84" t="e" vm="67">
        <f>_xlfn.XLOOKUP(I38,Teams!$C:$C,Teams!$E:$E,,0,1)</f>
        <v>#VALUE!</v>
      </c>
      <c r="N38" s="84">
        <v>0.49</v>
      </c>
      <c r="O38" s="194" t="str">
        <f t="shared" ref="O38:O53" si="9">IF(L38&gt;N38,G38,I38)</f>
        <v>Buffalo</v>
      </c>
      <c r="P38" s="209" t="e" vm="66">
        <f>_xlfn.XLOOKUP(O38,Teams!$C:$C,Teams!$E:$E,,0,1)</f>
        <v>#VALUE!</v>
      </c>
      <c r="Q38" s="222" t="s">
        <v>1163</v>
      </c>
      <c r="R38" s="6" t="b">
        <f t="shared" si="5"/>
        <v>1</v>
      </c>
      <c r="S38" s="98"/>
    </row>
    <row r="39" spans="1:19" ht="24" customHeight="1" x14ac:dyDescent="0.25">
      <c r="A39" s="91" t="str">
        <f t="shared" ref="A39:A53" si="10">G39</f>
        <v>Cal State Fullerton</v>
      </c>
      <c r="B39" s="91" t="str">
        <f t="shared" ref="B39:B53" si="11">I39</f>
        <v>Cal State Northridge</v>
      </c>
      <c r="C39" s="91" t="str">
        <f t="shared" si="7"/>
        <v>Cal State Fullerton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66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0.25</v>
      </c>
      <c r="M39" s="82" t="e" vm="71">
        <f>_xlfn.XLOOKUP(I39,Teams!$C:$C,Teams!$E:$E,,0,1)</f>
        <v>#VALUE!</v>
      </c>
      <c r="N39" s="82">
        <v>0.75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California Baptist</v>
      </c>
      <c r="B40" s="91" t="str">
        <f t="shared" si="11"/>
        <v>Central Arkansas</v>
      </c>
      <c r="C40" s="91" t="str">
        <f t="shared" si="7"/>
        <v>California Baptist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69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3">
        <f>_xlfn.XLOOKUP(G40,Teams!$C:$C,Teams!$E:$E,,0,1)</f>
        <v>#VALUE!</v>
      </c>
      <c r="L40" s="82">
        <v>0.23</v>
      </c>
      <c r="M40" s="82" t="e" vm="76">
        <f>_xlfn.XLOOKUP(I40,Teams!$C:$C,Teams!$E:$E,,0,1)</f>
        <v>#VALUE!</v>
      </c>
      <c r="N40" s="82">
        <v>0.77</v>
      </c>
      <c r="O40" s="189" t="str">
        <f t="shared" si="9"/>
        <v>Central Arkansas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Charlotte</v>
      </c>
      <c r="C41" s="91" t="str">
        <f t="shared" si="7"/>
        <v>Central Michigan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76</v>
      </c>
      <c r="J41" s="138" cm="1">
        <f t="array" ref="J41">_xlfn.XLOOKUP(I41,Teams[[#All],[Team]],Teams[[#All],[Seed]],0,0,1)</f>
        <v>15</v>
      </c>
      <c r="K41" s="139" t="e" vm="78">
        <f>_xlfn.XLOOKUP(G41,Teams!$C:$C,Teams!$E:$E,,0,1)</f>
        <v>#VALUE!</v>
      </c>
      <c r="L41" s="139">
        <v>0.49</v>
      </c>
      <c r="M41" s="139" t="e" vm="80">
        <f>_xlfn.XLOOKUP(I41,Teams!$C:$C,Teams!$E:$E,,0,1)</f>
        <v>#VALUE!</v>
      </c>
      <c r="N41" s="139">
        <v>0.51</v>
      </c>
      <c r="O41" s="195" t="str">
        <f t="shared" si="9"/>
        <v>Charlotte</v>
      </c>
      <c r="P41" s="210" t="e" vm="80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Baylor</v>
      </c>
      <c r="C42" s="91" t="str">
        <f t="shared" si="7"/>
        <v>Baylor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0.56000000000000005</v>
      </c>
      <c r="M42" s="145" t="e" vm="84">
        <f>_xlfn.XLOOKUP(I42,Teams!$C:$C,Teams!$E:$E,,0,1)</f>
        <v>#VALUE!</v>
      </c>
      <c r="N42" s="145">
        <v>0.44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Belmont</v>
      </c>
      <c r="B43" s="91" t="str">
        <f t="shared" si="11"/>
        <v>Binghamton</v>
      </c>
      <c r="C43" s="91" t="str">
        <f t="shared" si="7"/>
        <v>Binghamton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50</v>
      </c>
      <c r="H43" s="178" t="s">
        <v>9</v>
      </c>
      <c r="I43" s="119" t="s">
        <v>52</v>
      </c>
      <c r="J43" s="120" cm="1">
        <f t="array" ref="J43">_xlfn.XLOOKUP(I43,Teams[[#All],[Team]],Teams[[#All],[Seed]],0,0,1)</f>
        <v>13</v>
      </c>
      <c r="K43" s="83" t="e" vm="86">
        <f>_xlfn.XLOOKUP(G43,Teams!$C:$C,Teams!$E:$E,,0,1)</f>
        <v>#VALUE!</v>
      </c>
      <c r="L43" s="83">
        <v>0.91</v>
      </c>
      <c r="M43" s="83" t="e" vm="88">
        <f>_xlfn.XLOOKUP(I43,Teams!$C:$C,Teams!$E:$E,,0,1)</f>
        <v>#VALUE!</v>
      </c>
      <c r="N43" s="83">
        <v>0.09</v>
      </c>
      <c r="O43" s="192" t="str">
        <f t="shared" si="9"/>
        <v>Belmont</v>
      </c>
      <c r="P43" s="207" t="e" vm="86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Bryant</v>
      </c>
      <c r="C45" s="91" t="str">
        <f t="shared" si="7"/>
        <v>Bryant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60</v>
      </c>
      <c r="J45" s="150" cm="1">
        <f t="array" ref="J45">_xlfn.XLOOKUP(I45,Teams[[#All],[Team]],Teams[[#All],[Seed]],0,0,1)</f>
        <v>15</v>
      </c>
      <c r="K45" s="151" t="e" vm="94">
        <f>_xlfn.XLOOKUP(G45,Teams!$C:$C,Teams!$E:$E,,0,1)</f>
        <v>#VALUE!</v>
      </c>
      <c r="L45" s="151">
        <v>0.98</v>
      </c>
      <c r="M45" s="151" t="e" vm="96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0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Alabama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32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</v>
      </c>
      <c r="M46" s="84" t="e" vm="100">
        <f>_xlfn.XLOOKUP(I46,Teams!$C:$C,Teams!$E:$E,,0,1)</f>
        <v>#VALUE!</v>
      </c>
      <c r="N46" s="84">
        <v>1</v>
      </c>
      <c r="O46" s="194" t="str">
        <f t="shared" si="9"/>
        <v>Alabama</v>
      </c>
      <c r="P46" s="209" t="e" vm="100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Albany (NY)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0.59</v>
      </c>
      <c r="M47" s="82" t="e" vm="103">
        <f>_xlfn.XLOOKUP(I47,Teams!$C:$C,Teams!$E:$E,,0,1)</f>
        <v>#VALUE!</v>
      </c>
      <c r="N47" s="82">
        <v>0.41</v>
      </c>
      <c r="O47" s="189" t="str">
        <f t="shared" si="9"/>
        <v>Alabama A&amp;M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0.96</v>
      </c>
      <c r="M49" s="139" t="e" vm="111">
        <f>_xlfn.XLOOKUP(I49,Teams!$C:$C,Teams!$E:$E,,0,1)</f>
        <v>#VALUE!</v>
      </c>
      <c r="N49" s="139">
        <v>0.04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Chicago State</v>
      </c>
      <c r="B50" s="91" t="str">
        <f t="shared" si="11"/>
        <v>Cincinnati</v>
      </c>
      <c r="C50" s="91" t="str">
        <f t="shared" si="7"/>
        <v>Chicago State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16</v>
      </c>
      <c r="G50" s="142" t="s">
        <v>78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4">
        <f>_xlfn.XLOOKUP(G50,Teams!$C:$C,Teams!$E:$E,,0,1)</f>
        <v>#VALUE!</v>
      </c>
      <c r="L50" s="145">
        <v>0.02</v>
      </c>
      <c r="M50" s="145" t="e" vm="115">
        <f>_xlfn.XLOOKUP(I50,Teams!$C:$C,Teams!$E:$E,,0,1)</f>
        <v>#VALUE!</v>
      </c>
      <c r="N50" s="145">
        <v>0.98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College of Charleston</v>
      </c>
      <c r="C51" s="91" t="str">
        <f t="shared" si="7"/>
        <v>College of Charleston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0.6</v>
      </c>
      <c r="M51" s="83" t="e" vm="120">
        <f>_xlfn.XLOOKUP(I51,Teams!$C:$C,Teams!$E:$E,,0,1)</f>
        <v>#VALUE!</v>
      </c>
      <c r="N51" s="83">
        <v>0.4</v>
      </c>
      <c r="O51" s="192" t="str">
        <f t="shared" si="9"/>
        <v>Coastal Carolina</v>
      </c>
      <c r="P51" s="207" t="e" vm="118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Colorado State</v>
      </c>
      <c r="B52" s="91" t="str">
        <f t="shared" si="11"/>
        <v>Connecticut</v>
      </c>
      <c r="C52" s="91" t="str">
        <f t="shared" si="7"/>
        <v>Connecticut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86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2">
        <f>_xlfn.XLOOKUP(G52,Teams!$C:$C,Teams!$E:$E,,0,1)</f>
        <v>#VALUE!</v>
      </c>
      <c r="L52" s="83">
        <v>0.89</v>
      </c>
      <c r="M52" s="83" t="e" vm="124">
        <f>_xlfn.XLOOKUP(I52,Teams!$C:$C,Teams!$E:$E,,0,1)</f>
        <v>#VALUE!</v>
      </c>
      <c r="N52" s="83">
        <v>0.11</v>
      </c>
      <c r="O52" s="192" t="str">
        <f t="shared" si="9"/>
        <v>Colorado State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0.36</v>
      </c>
      <c r="M53" s="151" t="e" vm="127">
        <f>_xlfn.XLOOKUP(I53,Teams!$C:$C,Teams!$E:$E,,0,1)</f>
        <v>#VALUE!</v>
      </c>
      <c r="N53" s="151">
        <v>0.64</v>
      </c>
      <c r="O53" s="197" t="str">
        <f t="shared" si="9"/>
        <v>Creighton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Buffalo</v>
      </c>
      <c r="B55" s="91" t="str">
        <f>I55</f>
        <v>Cal State Northridge</v>
      </c>
      <c r="C55" s="91" t="str">
        <f t="shared" ref="C55:C62" si="12">IF(O55="","",IF(A55=O55,B55,A55))</f>
        <v>Buffalo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16</v>
      </c>
      <c r="G55" s="94" t="s">
        <v>62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6">
        <f>_xlfn.XLOOKUP(G55,Teams!$C:$C,Teams!$E:$E,,0,1)</f>
        <v>#VALUE!</v>
      </c>
      <c r="L55" s="97">
        <v>0.41</v>
      </c>
      <c r="M55" s="97" t="e" vm="71">
        <f>_xlfn.XLOOKUP(I55,Teams!$C:$C,Teams!$E:$E,,0,1)</f>
        <v>#VALUE!</v>
      </c>
      <c r="N55" s="97">
        <v>0.59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Central Arkansas</v>
      </c>
      <c r="B56" s="91" t="str">
        <f t="shared" ref="B56:B62" si="16">I56</f>
        <v>Charlotte</v>
      </c>
      <c r="C56" s="91" t="str">
        <f t="shared" si="12"/>
        <v>Central Arkansas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72</v>
      </c>
      <c r="H56" s="182" t="s">
        <v>9</v>
      </c>
      <c r="I56" s="137" t="s">
        <v>76</v>
      </c>
      <c r="J56" s="138" cm="1">
        <f t="array" ref="J56">_xlfn.XLOOKUP(I56,Teams[[#All],[Team]],Teams[[#All],[Seed]],0,0,1)</f>
        <v>15</v>
      </c>
      <c r="K56" s="139" t="e" vm="76">
        <f>_xlfn.XLOOKUP(G56,Teams!$C:$C,Teams!$E:$E,,0,1)</f>
        <v>#VALUE!</v>
      </c>
      <c r="L56" s="139">
        <v>0.11</v>
      </c>
      <c r="M56" s="139" t="e" vm="80">
        <f>_xlfn.XLOOKUP(I56,Teams!$C:$C,Teams!$E:$E,,0,1)</f>
        <v>#VALUE!</v>
      </c>
      <c r="N56" s="139">
        <v>0.89</v>
      </c>
      <c r="O56" s="195" t="str">
        <f t="shared" si="14"/>
        <v>Charlotte</v>
      </c>
      <c r="P56" s="210" t="e" vm="80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Belmont</v>
      </c>
      <c r="C57" s="91" t="str">
        <f t="shared" si="12"/>
        <v>Auburn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50</v>
      </c>
      <c r="J57" s="144" cm="1">
        <f t="array" ref="J57">_xlfn.XLOOKUP(I57,Teams[[#All],[Team]],Teams[[#All],[Seed]],0,0,1)</f>
        <v>12</v>
      </c>
      <c r="K57" s="145" t="e" vm="81">
        <f>_xlfn.XLOOKUP(G57,Teams!$C:$C,Teams!$E:$E,,0,1)</f>
        <v>#VALUE!</v>
      </c>
      <c r="L57" s="145">
        <v>0.41</v>
      </c>
      <c r="M57" s="145" t="e" vm="86">
        <f>_xlfn.XLOOKUP(I57,Teams!$C:$C,Teams!$E:$E,,0,1)</f>
        <v>#VALUE!</v>
      </c>
      <c r="N57" s="145">
        <v>0.59</v>
      </c>
      <c r="O57" s="196" t="str">
        <f t="shared" si="14"/>
        <v>Belmont</v>
      </c>
      <c r="P57" s="211" t="e" vm="86">
        <f>_xlfn.XLOOKUP(O57,Teams!$C:$C,Teams!$E:$E,,0,1)</f>
        <v>#VALUE!</v>
      </c>
      <c r="Q57" s="225" t="s">
        <v>1181</v>
      </c>
      <c r="R57" s="6" t="b">
        <f t="shared" si="5"/>
        <v>1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0.71</v>
      </c>
      <c r="M58" s="151" t="e" vm="94">
        <f>_xlfn.XLOOKUP(I58,Teams!$C:$C,Teams!$E:$E,,0,1)</f>
        <v>#VALUE!</v>
      </c>
      <c r="N58" s="151">
        <v>0.28999999999999998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Alabama</v>
      </c>
      <c r="B59" s="152" t="str">
        <f t="shared" si="16"/>
        <v>Alabama A&amp;M</v>
      </c>
      <c r="C59" s="152" t="str">
        <f t="shared" si="12"/>
        <v>Alabama A&amp;M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9</v>
      </c>
      <c r="G59" s="131" t="s">
        <v>32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100">
        <f>_xlfn.XLOOKUP(G59,Teams!$C:$C,Teams!$E:$E,,0,1)</f>
        <v>#VALUE!</v>
      </c>
      <c r="L59" s="84">
        <v>0.99</v>
      </c>
      <c r="M59" s="84" t="e" vm="101">
        <f>_xlfn.XLOOKUP(I59,Teams!$C:$C,Teams!$E:$E,,0,1)</f>
        <v>#VALUE!</v>
      </c>
      <c r="N59" s="84">
        <v>0.01</v>
      </c>
      <c r="O59" s="194" t="str">
        <f t="shared" si="14"/>
        <v>Alabama</v>
      </c>
      <c r="P59" s="209" t="e" vm="100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Cincinnati</v>
      </c>
      <c r="B61" s="91" t="str">
        <f t="shared" si="16"/>
        <v>Coastal Carolina</v>
      </c>
      <c r="C61" s="91" t="str">
        <f t="shared" si="12"/>
        <v>Coastal Carolina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79</v>
      </c>
      <c r="H61" s="183" t="s">
        <v>9</v>
      </c>
      <c r="I61" s="143" t="s">
        <v>82</v>
      </c>
      <c r="J61" s="144" cm="1">
        <f t="array" ref="J61">_xlfn.XLOOKUP(I61,Teams[[#All],[Team]],Teams[[#All],[Seed]],0,0,1)</f>
        <v>12</v>
      </c>
      <c r="K61" s="145" t="e" vm="115">
        <f>_xlfn.XLOOKUP(G61,Teams!$C:$C,Teams!$E:$E,,0,1)</f>
        <v>#VALUE!</v>
      </c>
      <c r="L61" s="145">
        <v>0.56999999999999995</v>
      </c>
      <c r="M61" s="145" t="e" vm="118">
        <f>_xlfn.XLOOKUP(I61,Teams!$C:$C,Teams!$E:$E,,0,1)</f>
        <v>#VALUE!</v>
      </c>
      <c r="N61" s="145">
        <v>0.43</v>
      </c>
      <c r="O61" s="196" t="str">
        <f t="shared" si="14"/>
        <v>Cincinnati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Colorado State</v>
      </c>
      <c r="B62" s="91" t="str">
        <f t="shared" si="16"/>
        <v>Creighton</v>
      </c>
      <c r="C62" s="91" t="str">
        <f t="shared" si="12"/>
        <v>Colorado State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86</v>
      </c>
      <c r="H62" s="184" t="s">
        <v>9</v>
      </c>
      <c r="I62" s="149" t="s">
        <v>91</v>
      </c>
      <c r="J62" s="150" cm="1">
        <f t="array" ref="J62">_xlfn.XLOOKUP(I62,Teams[[#All],[Team]],Teams[[#All],[Seed]],0,0,1)</f>
        <v>2</v>
      </c>
      <c r="K62" s="151" t="e" vm="122">
        <f>_xlfn.XLOOKUP(G62,Teams!$C:$C,Teams!$E:$E,,0,1)</f>
        <v>#VALUE!</v>
      </c>
      <c r="L62" s="151">
        <v>0.49</v>
      </c>
      <c r="M62" s="151" t="e" vm="127">
        <f>_xlfn.XLOOKUP(I62,Teams!$C:$C,Teams!$E:$E,,0,1)</f>
        <v>#VALUE!</v>
      </c>
      <c r="N62" s="151">
        <v>0.51</v>
      </c>
      <c r="O62" s="197" t="str">
        <f t="shared" si="14"/>
        <v>Creighton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Charlotte</v>
      </c>
      <c r="C64" s="91" t="str">
        <f>IF(O64="","",IF(A64=O64,B64,A64))</f>
        <v>Charlotte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76</v>
      </c>
      <c r="J64" s="157" cm="1">
        <f t="array" ref="J64">_xlfn.XLOOKUP(I64,Teams[[#All],[Team]],Teams[[#All],[Seed]],0,0,1)</f>
        <v>15</v>
      </c>
      <c r="K64" s="158" t="e" vm="71">
        <f>_xlfn.XLOOKUP(G64,Teams!$C:$C,Teams!$E:$E,,0,1)</f>
        <v>#VALUE!</v>
      </c>
      <c r="L64" s="158">
        <v>0.83</v>
      </c>
      <c r="M64" s="158" t="e" vm="80">
        <f>_xlfn.XLOOKUP(I64,Teams!$C:$C,Teams!$E:$E,,0,1)</f>
        <v>#VALUE!</v>
      </c>
      <c r="N64" s="158">
        <v>0.17</v>
      </c>
      <c r="O64" s="198" t="str">
        <f>IF(L64&gt;N64,G64,I64)</f>
        <v>Cal State Northridge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Belmont</v>
      </c>
      <c r="B65" s="91" t="str">
        <f>I65</f>
        <v>Duke</v>
      </c>
      <c r="C65" s="91" t="str">
        <f>IF(O65="","",IF(A65=O65,B65,A65))</f>
        <v>Belmont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12</v>
      </c>
      <c r="G65" s="161" t="s">
        <v>50</v>
      </c>
      <c r="H65" s="186" t="s">
        <v>9</v>
      </c>
      <c r="I65" s="162" t="s">
        <v>95</v>
      </c>
      <c r="J65" s="163" cm="1">
        <f t="array" ref="J65">_xlfn.XLOOKUP(I65,Teams[[#All],[Team]],Teams[[#All],[Seed]],0,0,1)</f>
        <v>14</v>
      </c>
      <c r="K65" s="164" t="e" vm="86">
        <f>_xlfn.XLOOKUP(G65,Teams!$C:$C,Teams!$E:$E,,0,1)</f>
        <v>#VALUE!</v>
      </c>
      <c r="L65" s="164">
        <v>0.1</v>
      </c>
      <c r="M65" s="164" t="e" vm="92">
        <f>_xlfn.XLOOKUP(I65,Teams!$C:$C,Teams!$E:$E,,0,1)</f>
        <v>#VALUE!</v>
      </c>
      <c r="N65" s="164">
        <v>0.9</v>
      </c>
      <c r="O65" s="199" t="str">
        <f>IF(L65&gt;N65,G65,I65)</f>
        <v>Duke</v>
      </c>
      <c r="P65" s="207" t="e" vm="92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Alabama</v>
      </c>
      <c r="B66" s="91" t="str">
        <f>I66</f>
        <v>Arizona</v>
      </c>
      <c r="C66" s="91" t="str">
        <f>IF(O66="","",IF(A66=O66,B66,A66))</f>
        <v>Alabama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9</v>
      </c>
      <c r="G66" s="155" t="s">
        <v>32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100">
        <f>_xlfn.XLOOKUP(G66,Teams!$C:$C,Teams!$E:$E,,0,1)</f>
        <v>#VALUE!</v>
      </c>
      <c r="L66" s="158">
        <v>0.23</v>
      </c>
      <c r="M66" s="158" t="e" vm="107">
        <f>_xlfn.XLOOKUP(I66,Teams!$C:$C,Teams!$E:$E,,0,1)</f>
        <v>#VALUE!</v>
      </c>
      <c r="N66" s="158">
        <v>0.77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Cincinnati</v>
      </c>
      <c r="B67" s="91" t="str">
        <f>I67</f>
        <v>Creighton</v>
      </c>
      <c r="C67" s="91" t="str">
        <f>IF(O67="","",IF(A67=O67,B67,A67))</f>
        <v>Creighton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79</v>
      </c>
      <c r="H67" s="186" t="s">
        <v>9</v>
      </c>
      <c r="I67" s="162" t="s">
        <v>91</v>
      </c>
      <c r="J67" s="163" cm="1">
        <f t="array" ref="J67">_xlfn.XLOOKUP(I67,Teams[[#All],[Team]],Teams[[#All],[Seed]],0,0,1)</f>
        <v>2</v>
      </c>
      <c r="K67" s="164" t="e" vm="115">
        <f>_xlfn.XLOOKUP(G67,Teams!$C:$C,Teams!$E:$E,,0,1)</f>
        <v>#VALUE!</v>
      </c>
      <c r="L67" s="164">
        <v>0.76</v>
      </c>
      <c r="M67" s="164" t="e" vm="127">
        <f>_xlfn.XLOOKUP(I67,Teams!$C:$C,Teams!$E:$E,,0,1)</f>
        <v>#VALUE!</v>
      </c>
      <c r="N67" s="164">
        <v>0.24</v>
      </c>
      <c r="O67" s="199" t="str">
        <f>IF(L67&gt;N67,G67,I67)</f>
        <v>Cincinnati</v>
      </c>
      <c r="P67" s="207" t="e" vm="115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Cal State Northridge</v>
      </c>
      <c r="B69" s="91" t="str">
        <f>I69</f>
        <v>Duke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67</v>
      </c>
      <c r="H69" s="187" t="s">
        <v>9</v>
      </c>
      <c r="I69" s="168" t="s">
        <v>95</v>
      </c>
      <c r="J69" s="169" cm="1">
        <f t="array" ref="J69">_xlfn.XLOOKUP(I69,Teams[[#All],[Team]],Teams[[#All],[Seed]],0,0,1)</f>
        <v>14</v>
      </c>
      <c r="K69" s="170" t="e" vm="71">
        <f>_xlfn.XLOOKUP(G69,Teams!$C:$C,Teams!$E:$E,,0,1)</f>
        <v>#VALUE!</v>
      </c>
      <c r="L69" s="170">
        <v>0.87</v>
      </c>
      <c r="M69" s="170" t="e" vm="92">
        <f>_xlfn.XLOOKUP(I69,Teams!$C:$C,Teams!$E:$E,,0,1)</f>
        <v>#VALUE!</v>
      </c>
      <c r="N69" s="170">
        <v>0.13</v>
      </c>
      <c r="O69" s="200" t="str">
        <f>IF(L69&gt;N69,G69,I69)</f>
        <v>Cal State Northridge</v>
      </c>
      <c r="P69" s="210" t="e" vm="7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Cincinnati</v>
      </c>
      <c r="C70" s="91" t="str">
        <f>IF(O70="","",IF(A70=O70,B70,A70))</f>
        <v>Cincinnati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79</v>
      </c>
      <c r="J70" s="163" cm="1">
        <f t="array" ref="J70">_xlfn.XLOOKUP(I70,Teams[[#All],[Team]],Teams[[#All],[Seed]],0,0,1)</f>
        <v>8</v>
      </c>
      <c r="K70" s="164" t="e" vm="107">
        <f>_xlfn.XLOOKUP(G70,Teams!$C:$C,Teams!$E:$E,,0,1)</f>
        <v>#VALUE!</v>
      </c>
      <c r="L70" s="164">
        <v>0.95</v>
      </c>
      <c r="M70" s="164" t="e" vm="115">
        <f>_xlfn.XLOOKUP(I70,Teams!$C:$C,Teams!$E:$E,,0,1)</f>
        <v>#VALUE!</v>
      </c>
      <c r="N70" s="164">
        <v>0.05</v>
      </c>
      <c r="O70" s="199" t="str">
        <f>IF(L70&gt;N70,G70,I70)</f>
        <v>Arizona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14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3</v>
      </c>
      <c r="K72" s="158" t="e" vm="92">
        <f>_xlfn.XLOOKUP(G72,Teams!$C:$C,Teams!$E:$E,,0,1)</f>
        <v>#VALUE!</v>
      </c>
      <c r="L72" s="158">
        <v>0.65</v>
      </c>
      <c r="M72" s="158" t="e" vm="107">
        <f>_xlfn.XLOOKUP(I72,Teams!$C:$C,Teams!$E:$E,,0,1)</f>
        <v>#VALUE!</v>
      </c>
      <c r="N72" s="158">
        <v>0.35</v>
      </c>
      <c r="O72" s="198" t="str">
        <f>IF(L72&gt;N72,G72,I72)</f>
        <v>Duke</v>
      </c>
      <c r="P72" s="205" t="e" vm="92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0.51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Buffalo</v>
      </c>
      <c r="J7" s="247" t="e" vm="66">
        <f>_xlfn.XLOOKUP(I7,Teams!$C:$C,Teams!$E:$E,,0,1)</f>
        <v>#VALUE!</v>
      </c>
      <c r="K7" s="264">
        <f>Games!L55</f>
        <v>0.41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0.99</v>
      </c>
      <c r="AF7" s="297" t="e" vm="100">
        <f>_xlfn.XLOOKUP(AG7,Teams!$C:$C,Teams!$E:$E,,0,1)</f>
        <v>#VALUE!</v>
      </c>
      <c r="AG7" s="262" t="str">
        <f>Games!O46</f>
        <v>Alabama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0.49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1</v>
      </c>
      <c r="AI9" s="297" t="e" vm="100">
        <f>_xlfn.XLOOKUP(AJ9,Teams!$C:$C,Teams!$E:$E,,0,1)</f>
        <v>#VALUE!</v>
      </c>
      <c r="AJ9" s="262" t="str">
        <f>Games!O22</f>
        <v>Alabama</v>
      </c>
      <c r="AK9" s="58">
        <f>Games!L22</f>
        <v>0.31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0.83</v>
      </c>
      <c r="O11" s="25"/>
      <c r="P11" s="25"/>
      <c r="R11" s="25"/>
      <c r="S11" s="25"/>
      <c r="T11" s="251" t="e" vm="92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0.23</v>
      </c>
      <c r="AC11" s="249" t="e" vm="100">
        <f>_xlfn.XLOOKUP(AD11,Teams!$C:$C,Teams!$E:$E,,0,1)</f>
        <v>#VALUE!</v>
      </c>
      <c r="AD11" s="262" t="str">
        <f>Games!O59</f>
        <v>Alabama</v>
      </c>
      <c r="AE11" s="56"/>
      <c r="AG11" s="283">
        <f>IF($AU$5=TRUE,I59+1,"")</f>
        <v>53</v>
      </c>
      <c r="AJ11" s="24"/>
      <c r="AK11" s="59">
        <f>Games!N22</f>
        <v>0.69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</v>
      </c>
      <c r="F13" s="262" t="str">
        <f>Games!O7</f>
        <v>Cal State Fullerton</v>
      </c>
      <c r="G13" s="247" t="e" vm="70">
        <f>_xlfn.XLOOKUP(F13,Teams!$C:$C,Teams!$E:$E,,0,1)</f>
        <v>#VALUE!</v>
      </c>
      <c r="H13" s="264">
        <f>Games!L39</f>
        <v>0.25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0.59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0.8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0.59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0.01</v>
      </c>
      <c r="AF15" s="249" t="e" vm="101">
        <f>_xlfn.XLOOKUP(AG15,Teams!$C:$C,Teams!$E:$E,,0,1)</f>
        <v>#VALUE!</v>
      </c>
      <c r="AG15" s="262" t="str">
        <f>Games!O47</f>
        <v>Alabama A&amp;M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0.75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0.41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Cal State Northridge</v>
      </c>
      <c r="P19" s="247" t="e" vm="71">
        <f>_xlfn.XLOOKUP(O19,Teams!$C:$C,Teams!$E:$E,,0,1)</f>
        <v>#VALUE!</v>
      </c>
      <c r="Q19" s="264">
        <f>Games!L69</f>
        <v>0.87</v>
      </c>
      <c r="R19" s="25"/>
      <c r="S19" s="25"/>
      <c r="T19" s="257"/>
      <c r="U19" s="258"/>
      <c r="V19" s="259"/>
      <c r="W19" s="25"/>
      <c r="X19" s="25"/>
      <c r="Y19" s="264">
        <f>Games!L70</f>
        <v>0.95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0.64</v>
      </c>
      <c r="F21" s="262" t="str">
        <f>Games!O9</f>
        <v>California Baptist</v>
      </c>
      <c r="G21" s="247" t="e" vm="73">
        <f>_xlfn.XLOOKUP(F21,Teams!$C:$C,Teams!$E:$E,,0,1)</f>
        <v>#VALUE!</v>
      </c>
      <c r="H21" s="264">
        <f>Games!L40</f>
        <v>0.23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0.36</v>
      </c>
      <c r="F23" s="282">
        <f>IF($AU$5=TRUE,F15+1,"")</f>
        <v>35</v>
      </c>
      <c r="G23" s="14"/>
      <c r="H23" s="49"/>
      <c r="I23" s="279" t="str">
        <f>Games!O40</f>
        <v>Central Arkansas</v>
      </c>
      <c r="J23" s="247" t="e" vm="76">
        <f>_xlfn.XLOOKUP(I23,Teams!$C:$C,Teams!$E:$E,,0,1)</f>
        <v>#VALUE!</v>
      </c>
      <c r="K23" s="264">
        <f>Games!L56</f>
        <v>0.11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0.77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Charlotte</v>
      </c>
      <c r="M27" s="247" t="e" vm="80">
        <f>_xlfn.XLOOKUP(L27,Teams!$C:$C,Teams!$E:$E,,0,1)</f>
        <v>#VALUE!</v>
      </c>
      <c r="N27" s="277">
        <f>Games!N64</f>
        <v>0.17</v>
      </c>
      <c r="O27" s="25"/>
      <c r="P27" s="25"/>
      <c r="Q27" s="50"/>
      <c r="R27" s="279" t="str">
        <f>Games!O69</f>
        <v>Cal State Northridge</v>
      </c>
      <c r="S27" s="262"/>
      <c r="T27" s="262"/>
      <c r="U27" s="289" t="e" vm="71">
        <f>_xlfn.XLOOKUP(R27,Teams!$C:$C,Teams!$E:$E,,0,1)</f>
        <v>#VALUE!</v>
      </c>
      <c r="V27" s="267">
        <f>Games!L72</f>
        <v>0.65</v>
      </c>
      <c r="W27" s="24"/>
      <c r="X27" s="25"/>
      <c r="Y27" s="56"/>
      <c r="AA27" s="25"/>
      <c r="AB27" s="269">
        <f>Games!N66</f>
        <v>0.77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0.49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0.96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Charlotte</v>
      </c>
      <c r="J31" s="247" t="e" vm="80">
        <f>_xlfn.XLOOKUP(I31,Teams!$C:$C,Teams!$E:$E,,0,1)</f>
        <v>#VALUE!</v>
      </c>
      <c r="K31" s="277">
        <f>Games!N56</f>
        <v>0.89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Duke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0.45</v>
      </c>
      <c r="F33" s="262" t="str">
        <f>Games!O12</f>
        <v>Charlotte</v>
      </c>
      <c r="G33" s="247" t="e" vm="80">
        <f>_xlfn.XLOOKUP(F33,Teams!$C:$C,Teams!$E:$E,,0,1)</f>
        <v>#VALUE!</v>
      </c>
      <c r="H33" s="277">
        <f>Games!N41</f>
        <v>0.51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0.55000000000000004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0.56000000000000005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0.02</v>
      </c>
      <c r="AI37" s="249" t="e" vm="114">
        <f>_xlfn.XLOOKUP(AJ37,Teams!$C:$C,Teams!$E:$E,,0,1)</f>
        <v>#VALUE!</v>
      </c>
      <c r="AJ37" s="262" t="str">
        <f>Games!O29</f>
        <v>Chicago State</v>
      </c>
      <c r="AK37" s="58">
        <f>Games!L29</f>
        <v>0.25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0.41</v>
      </c>
      <c r="L39" s="25"/>
      <c r="M39" s="25"/>
      <c r="O39" s="25"/>
      <c r="P39" s="25"/>
      <c r="Q39" s="50"/>
      <c r="R39" s="25"/>
      <c r="S39" s="25"/>
      <c r="T39" s="267">
        <f>Games!N72</f>
        <v>0.35</v>
      </c>
      <c r="U39" s="293" t="e" vm="10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0.56999999999999995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0.75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0.44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0.98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Belmont</v>
      </c>
      <c r="M43" s="247" t="e" vm="86">
        <f>_xlfn.XLOOKUP(L43,Teams!$C:$C,Teams!$E:$E,,0,1)</f>
        <v>#VALUE!</v>
      </c>
      <c r="N43" s="264">
        <f>Games!L65</f>
        <v>0.1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0.76</v>
      </c>
      <c r="AC43" s="249" t="e" vm="115">
        <f>_xlfn.XLOOKUP(AD43,Teams!$C:$C,Teams!$E:$E,,0,1)</f>
        <v>#VALUE!</v>
      </c>
      <c r="AD43" s="291" t="str">
        <f>Games!O61</f>
        <v>Cincinnati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0.16</v>
      </c>
      <c r="F45" s="262" t="str">
        <f>Games!O15</f>
        <v>Belmont</v>
      </c>
      <c r="G45" s="247" t="e" vm="86">
        <f>_xlfn.XLOOKUP(F45,Teams!$C:$C,Teams!$E:$E,,0,1)</f>
        <v>#VALUE!</v>
      </c>
      <c r="H45" s="264">
        <f>Games!L43</f>
        <v>0.91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0.84</v>
      </c>
      <c r="F47" s="282">
        <f>IF($AU$5=TRUE,F39+1,"")</f>
        <v>38</v>
      </c>
      <c r="G47" s="14"/>
      <c r="H47" s="49"/>
      <c r="I47" s="279" t="str">
        <f>Games!O43</f>
        <v>Belmont</v>
      </c>
      <c r="J47" s="247" t="e" vm="86">
        <f>_xlfn.XLOOKUP(I47,Teams!$C:$C,Teams!$E:$E,,0,1)</f>
        <v>#VALUE!</v>
      </c>
      <c r="K47" s="277">
        <f>Games!N57</f>
        <v>0.59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0.43</v>
      </c>
      <c r="AF47" s="249" t="e" vm="118">
        <f>_xlfn.XLOOKUP(AG47,Teams!$C:$C,Teams!$E:$E,,0,1)</f>
        <v>#VALUE!</v>
      </c>
      <c r="AG47" s="262" t="str">
        <f>Games!O51</f>
        <v>Coastal Carolina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0.17</v>
      </c>
      <c r="F49" s="262" t="str">
        <f>Games!O16</f>
        <v>Binghamton</v>
      </c>
      <c r="G49" s="247" t="e" vm="88">
        <f>_xlfn.XLOOKUP(F49,Teams!$C:$C,Teams!$E:$E,,0,1)</f>
        <v>#VALUE!</v>
      </c>
      <c r="H49" s="277">
        <f>Games!N43</f>
        <v>0.09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0.4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0.83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Duke</v>
      </c>
      <c r="P51" s="247" t="e" vm="92">
        <f>_xlfn.XLOOKUP(O51,Teams!$C:$C,Teams!$E:$E,,0,1)</f>
        <v>#VALUE!</v>
      </c>
      <c r="Q51" s="277">
        <f>Games!N69</f>
        <v>0.13</v>
      </c>
      <c r="R51" s="25"/>
      <c r="S51" s="25"/>
      <c r="T51" s="25"/>
      <c r="U51" s="75"/>
      <c r="V51" s="25"/>
      <c r="W51" s="25"/>
      <c r="X51" s="25"/>
      <c r="Y51" s="269">
        <f>Games!N70</f>
        <v>0.05</v>
      </c>
      <c r="Z51" s="249" t="e" vm="115">
        <f>_xlfn.XLOOKUP(AA51,Teams!$C:$C,Teams!$E:$E,,0,1)</f>
        <v>#VALUE!</v>
      </c>
      <c r="AA51" s="262" t="str">
        <f>Games!O67</f>
        <v>Cincinnati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0.89</v>
      </c>
      <c r="AI53" s="249" t="e" vm="122">
        <f>_xlfn.XLOOKUP(AJ53,Teams!$C:$C,Teams!$E:$E,,0,1)</f>
        <v>#VALUE!</v>
      </c>
      <c r="AJ53" s="262" t="str">
        <f>Games!O33</f>
        <v>Colorado State</v>
      </c>
      <c r="AK53" s="58">
        <f>Games!L33</f>
        <v>0.46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0.71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0.49</v>
      </c>
      <c r="AF55" s="249" t="e" vm="122">
        <f>_xlfn.XLOOKUP(AG55,Teams!$C:$C,Teams!$E:$E,,0,1)</f>
        <v>#VALUE!</v>
      </c>
      <c r="AG55" s="262" t="str">
        <f>Games!O52</f>
        <v>Colorado State</v>
      </c>
      <c r="AH55" s="55"/>
      <c r="AI55" s="51"/>
      <c r="AJ55" s="282">
        <f>IF($AU$5=TRUE,AJ47+1,"")</f>
        <v>47</v>
      </c>
      <c r="AK55" s="59">
        <f>Games!N33</f>
        <v>0.54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0.11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0.9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0.24</v>
      </c>
      <c r="AC59" s="249" t="e" vm="127">
        <f>_xlfn.XLOOKUP(AD59,Teams!$C:$C,Teams!$E:$E,,0,1)</f>
        <v>#VALUE!</v>
      </c>
      <c r="AD59" s="262" t="str">
        <f>Games!O62</f>
        <v>Creighton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0.36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0.28999999999999998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0.51</v>
      </c>
      <c r="AF63" s="249" t="e" vm="127">
        <f>_xlfn.XLOOKUP(AG63,Teams!$C:$C,Teams!$E:$E,,0,1)</f>
        <v>#VALUE!</v>
      </c>
      <c r="AG63" s="262" t="str">
        <f>Games!O53</f>
        <v>Creighton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0.4</v>
      </c>
      <c r="F65" s="262" t="str">
        <f>Games!O20</f>
        <v>Bryant</v>
      </c>
      <c r="G65" s="247" t="e" vm="96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0.64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0.67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0.6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0.33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2026-03-06T05:22:41Z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