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9BED2AFC-4A08-46BD-AD5D-8E59650E8354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<sst xmlns="http://schemas.openxmlformats.org/spreadsheetml/2006/main" count="1526" uniqueCount="1194">
  <si>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</si>
  <si>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</si>
  <si>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</si>
  <si>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</si>
  <si>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</si>
  <si>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</si>
  <si>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</si>
  <si>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</si>
  <si>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</si>
  <si>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</si>
  <si>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</si>
  <si>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</si>
  <si>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</si>
  <si>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</si>
  <si>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</si>
  <si>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</si>
  <si>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</si>
  <si>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</si>
  <si>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</si>
  <si>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</si>
  <si>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</si>
  <si>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</si>
  <si>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</si>
  <si>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</si>
  <si>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</si>
  <si>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</si>
  <si>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</si>
  <si>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</si>
  <si>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</si>
  <si>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</si>
  <si>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</si>
  <si>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</si>
  <si>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</si>
  <si>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</si>
  <si>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</si>
  <si>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</si>
  <si>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</si>
  <si>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</si>
  <si>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</si>
  <si>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</si>
  <si>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</si>
  <si>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</si>
  <si>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</si>
  <si>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</si>
  <si>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</si>
  <si>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</si>
  <si>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</si>
  <si>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</si>
  <si>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</si>
  <si>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</si>
  <si>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</si>
  <si>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</si>
  <si>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</si>
  <si>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</si>
  <si>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</si>
  <si>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</si>
  <si>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</si>
  <si>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</si>
  <si>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</si>
  <si>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</si>
  <si>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</si>
  <si>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</si>
  <si>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</si>
  <si>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</si>
  <si>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</si>
  <si>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</si>
  <si>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</si>
  <si>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</si>
  <si>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</si>
  <si>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</si>
  <si>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</si>
  <si>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</si>
  <si>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</si>
  <si>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</si>
  <si>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</si>
  <si>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</si>
  <si>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</si>
  <si>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</si>
  <si>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</si>
  <si>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</si>
  <si>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</si>
  <si>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</si>
  <si>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</si>
  <si>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</si>
  <si>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</si>
  <si>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</si>
  <si>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</si>
  <si>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</si>
  <si>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</si>
  <si>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</si>
  <si>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</si>
  <si>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</si>
  <si>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</si>
  <si>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</si>
  <si>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</si>
  <si>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</si>
  <si>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</si>
  <si>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</si>
  <si>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</si>
  <si>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</si>
  <si>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</si>
  <si>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</si>
  <si>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</si>
  <si>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</si>
  <si>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</si>
  <si>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</si>
  <si>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</si>
  <si>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</si>
  <si>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</si>
  <si>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</si>
  <si>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</si>
  <si>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</si>
  <si>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</si>
  <si>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</si>
  <si>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</si>
  <si>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</si>
  <si>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</si>
  <si>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</si>
  <si>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</si>
  <si>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</si>
  <si>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</si>
  <si>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</si>
  <si>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</si>
  <si>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</si>
  <si>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</si>
  <si>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</si>
  <si>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</si>
  <si>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</si>
  <si>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</si>
  <si>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</si>
  <si>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</si>
  <si>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</si>
  <si>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</si>
  <si>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</si>
  <si>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</si>
  <si>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</si>
  <si>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</si>
  <si>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</si>
  <si>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</si>
  <si>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</si>
  <si>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</si>
  <si>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</si>
  <si>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</si>
  <si>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</si>
  <si>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</si>
  <si>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</si>
  <si>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</si>
  <si>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</si>
  <si>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</si>
  <si>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</si>
  <si>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</si>
  <si>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</si>
  <si>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</si>
  <si>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</si>
  <si>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</si>
  <si>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</si>
  <si>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</si>
  <si>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</si>
  <si>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</si>
  <si>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</si>
  <si>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</si>
  <si>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</si>
  <si>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</si>
  <si>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</si>
  <si>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</si>
  <si>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</si>
  <si>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</si>
  <si>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</si>
  <si>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</si>
  <si>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</si>
  <si>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</si>
  <si>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</si>
  <si>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</si>
  <si>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</si>
  <si>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</si>
  <si>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</si>
  <si>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</si>
  <si>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</si>
  <si>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</si>
  <si>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</si>
  <si>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</si>
  <si>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</si>
  <si>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</si>
  <si>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</si>
  <si>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</si>
  <si>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</si>
  <si>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</si>
  <si>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</si>
  <si>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</si>
  <si>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</si>
  <si>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</si>
  <si>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</si>
  <si>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</si>
  <si>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</si>
  <si>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</si>
  <si>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</si>
  <si>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</si>
  <si>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</si>
  <si>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</si>
  <si>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</si>
  <si>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</si>
  <si>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</si>
  <si>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</si>
  <si>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</si>
  <si>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</si>
  <si>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</si>
  <si>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</si>
  <si>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</si>
  <si>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</si>
  <si>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</si>
  <si>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</si>
  <si>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</si>
  <si>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</si>
  <si>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</si>
  <si>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</si>
  <si>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</si>
  <si>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</si>
  <si>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</si>
  <si>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</si>
  <si>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</si>
  <si>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</si>
  <si>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</si>
  <si>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</si>
  <si>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</si>
  <si>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</si>
  <si>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</si>
  <si>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</si>
  <si>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</si>
  <si>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</si>
  <si>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</si>
  <si>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</si>
  <si>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</si>
  <si>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</si>
  <si>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</si>
  <si>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</si>
  <si>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</si>
  <si>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</si>
  <si>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</si>
  <si>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</si>
  <si>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</si>
  <si>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</si>
  <si>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</si>
  <si>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</si>
  <si>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</si>
  <si>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</si>
  <si>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</si>
  <si>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</si>
  <si>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</si>
  <si>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</si>
  <si>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</si>
  <si>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</si>
  <si>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</si>
  <si>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</si>
  <si>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</si>
  <si>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</si>
  <si>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</si>
  <si>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</si>
  <si>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</si>
  <si>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</si>
  <si>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</si>
  <si>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</si>
  <si>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</si>
  <si>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</si>
  <si>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</si>
  <si>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</si>
  <si>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</si>
  <si>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</si>
  <si>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</si>
  <si>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</si>
  <si>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</si>
  <si>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</si>
  <si>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</si>
  <si>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</si>
  <si>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</si>
  <si>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</si>
  <si>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</si>
  <si>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</si>
  <si>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</si>
  <si>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</si>
  <si>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</si>
  <si>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</si>
  <si>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</si>
  <si>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</si>
  <si>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</si>
  <si>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</si>
  <si>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</si>
  <si>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</si>
  <si>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</si>
  <si>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</si>
  <si>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</si>
  <si>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</si>
  <si>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</si>
  <si>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</si>
  <si>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</si>
  <si>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</si>
  <si>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</si>
  <si>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</si>
  <si>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</si>
  <si>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</si>
  <si>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</si>
  <si>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</si>
  <si>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</si>
  <si>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</si>
  <si>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</si>
  <si>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</si>
  <si>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</si>
  <si>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</si>
  <si>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</si>
  <si>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</si>
  <si>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</si>
  <si>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</si>
  <si>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</si>
  <si>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</si>
  <si>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</si>
  <si>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</si>
  <si>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</si>
  <si>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</si>
  <si>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</si>
  <si>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</si>
  <si>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</si>
  <si>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</si>
  <si>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</si>
  <si>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</si>
  <si>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</si>
  <si>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</si>
  <si>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</si>
  <si>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</si>
  <si>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</si>
  <si>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</si>
  <si>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</si>
  <si>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</si>
  <si>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</si>
  <si>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</si>
  <si>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</si>
  <si>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</si>
  <si>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</si>
  <si>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</si>
  <si>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</si>
  <si>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</si>
  <si>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</si>
  <si>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</si>
  <si>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</si>
  <si>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</si>
  <si>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</si>
  <si>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</si>
  <si>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</si>
  <si>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</si>
  <si>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</si>
  <si>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</si>
  <si>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</si>
  <si>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</si>
  <si>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</si>
  <si>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</si>
  <si>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</si>
  <si>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</si>
  <si>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</si>
  <si>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</si>
  <si>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</si>
  <si>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</si>
  <si>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</si>
  <si>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</si>
  <si>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</si>
  <si>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</si>
  <si>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</si>
  <si>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</si>
  <si>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</si>
  <si>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</si>
  <si>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</si>
  <si>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</si>
  <si>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</si>
  <si>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</si>
  <si>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</si>
  <si>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</si>
  <si>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</si>
  <si>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</si>
  <si>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</si>
  <si>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</si>
  <si>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</si>
  <si>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</si>
  <si>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</si>
  <si>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</si>
  <si>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</si>
  <si>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</si>
  <si>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</si>
  <si>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</si>
  <si>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</si>
  <si>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</si>
  <si>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</si>
  <si>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</si>
  <si>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</si>
  <si>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</si>
  <si>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</si>
  <si>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</si>
  <si>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</si>
  <si>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</si>
  <si>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</si>
  <si>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</si>
  <si>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</si>
  <si>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</si>
  <si>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</si>
  <si>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</si>
  <si>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</si>
  <si>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</si>
  <si>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</si>
  <si>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</si>
  <si>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</si>
  <si>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</si>
  <si>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</si>
  <si>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</si>
  <si>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</si>
  <si>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</si>
  <si>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</si>
  <si>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</si>
  <si>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</si>
  <si>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</si>
  <si>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</si>
  <si>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</si>
  <si>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</si>
  <si>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</si>
  <si>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</si>
  <si>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</si>
  <si>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</si>
  <si>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</si>
  <si>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</si>
  <si>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</si>
  <si>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</si>
  <si>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</si>
  <si>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</si>
  <si>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</si>
  <si>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</si>
  <si>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</si>
  <si>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</si>
  <si>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</si>
  <si>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</si>
  <si>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</si>
  <si>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</si>
  <si>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</si>
  <si>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</si>
  <si>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</si>
  <si>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</si>
  <si>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</si>
  <si>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</si>
  <si>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</si>
  <si>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</si>
  <si>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</si>
  <si>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</si>
  <si>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</si>
  <si>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</si>
  <si>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</si>
  <si>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</si>
  <si>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</si>
  <si>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</si>
  <si>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</si>
  <si>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</si>
  <si>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</si>
  <si>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</si>
  <si>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</si>
  <si>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</si>
  <si>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</si>
  <si>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</si>
  <si>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</si>
  <si>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</si>
  <si>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</si>
  <si>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</si>
  <si>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</si>
  <si>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</si>
  <si>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</si>
  <si>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</si>
  <si>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</si>
  <si>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</si>
  <si>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</si>
  <si>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</si>
  <si>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</si>
  <si>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</si>
  <si>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</si>
  <si>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</si>
  <si>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</si>
  <si>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</si>
  <si>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</si>
  <si>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</si>
  <si>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</si>
  <si>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</si>
  <si>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</si>
  <si>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</si>
  <si>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</si>
  <si>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</si>
  <si>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</si>
  <si>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</si>
  <si>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</si>
  <si>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</si>
  <si>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</si>
  <si>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</si>
  <si>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</si>
  <si>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</si>
  <si>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</si>
  <si>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</si>
  <si>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</si>
  <si>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</si>
  <si>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</si>
  <si>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</si>
  <si>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</si>
  <si>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</si>
  <si>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</si>
  <si>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</si>
  <si>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</si>
  <si>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</si>
  <si>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</si>
  <si>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</si>
  <si>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</si>
  <si>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</si>
  <si>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</si>
  <si>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</si>
  <si>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</si>
  <si>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</si>
  <si>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</si>
  <si>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</si>
  <si>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</si>
  <si>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</si>
  <si>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</si>
  <si>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</si>
  <si>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</si>
  <si>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</si>
  <si>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</si>
  <si>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</si>
  <si>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</si>
  <si>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</si>
  <si>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</si>
  <si>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</si>
  <si>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</si>
  <si>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</si>
  <si>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</si>
  <si>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</si>
  <si>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</si>
  <si>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</si>
  <si>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</si>
  <si>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</si>
  <si>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</si>
  <si>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</si>
  <si>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</si>
  <si>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</si>
  <si>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</si>
  <si>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</si>
  <si>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</si>
  <si>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</si>
  <si>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</si>
  <si>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</si>
  <si>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</si>
  <si>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</si>
  <si>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</si>
  <si>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</si>
  <si>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</si>
  <si>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</si>
  <si>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</si>
  <si>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</si>
  <si>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</si>
  <si>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</si>
  <si>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</si>
  <si>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</si>
  <si>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</si>
  <si>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</si>
  <si>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</si>
  <si>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</si>
  <si>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</si>
  <si>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</si>
  <si>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</si>
  <si>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</si>
  <si>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</si>
  <si>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</si>
  <si>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</si>
  <si>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</si>
  <si>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</si>
  <si>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</si>
  <si>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</si>
  <si>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</si>
  <si>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</si>
  <si>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</si>
  <si>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</si>
  <si>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</si>
  <si>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</si>
  <si>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</si>
  <si>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</si>
  <si>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</si>
  <si>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</si>
  <si>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</si>
  <si>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</si>
  <si>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</si>
  <si>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</si>
  <si>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</si>
  <si>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</si>
  <si>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</si>
  <si>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</si>
  <si>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</si>
  <si>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</si>
  <si>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</si>
  <si>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</si>
  <si>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</si>
  <si>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</si>
  <si>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</si>
  <si>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</si>
  <si>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</si>
  <si>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</si>
  <si>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</si>
  <si>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</si>
  <si>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</si>
  <si>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</si>
  <si>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</si>
  <si>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</si>
  <si>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</si>
  <si>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</si>
  <si>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</si>
  <si>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</si>
  <si>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</si>
  <si>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</si>
  <si>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</si>
  <si>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</si>
  <si>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</si>
  <si>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</si>
  <si>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</si>
  <si>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</si>
  <si>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</si>
  <si>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</si>
  <si>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</si>
  <si>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</si>
  <si>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</si>
  <si>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</si>
  <si>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</si>
  <si>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</si>
  <si>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</si>
  <si>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</si>
  <si>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</si>
  <si>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</si>
  <si>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</si>
  <si>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</si>
  <si>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</si>
  <si>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</si>
  <si>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</si>
  <si>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</si>
  <si>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</si>
  <si>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</si>
  <si>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</si>
  <si>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</si>
  <si>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</si>
  <si>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</si>
  <si>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</si>
  <si>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</si>
  <si>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</si>
  <si>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</si>
  <si>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</si>
  <si>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</si>
  <si>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</si>
  <si>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</si>
  <si>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</si>
  <si>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</si>
  <si>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</si>
  <si>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</si>
  <si>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</si>
  <si>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</si>
  <si>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</si>
  <si>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</si>
  <si>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</si>
  <si>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</si>
  <si>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</si>
  <si>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</si>
  <si>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</si>
  <si>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</si>
  <si>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</si>
  <si>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</si>
  <si>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</si>
  <si>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</si>
  <si>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</si>
  <si>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</si>
  <si>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</si>
  <si>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</si>
  <si>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</si>
  <si>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</si>
  <si>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</si>
  <si>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</si>
  <si>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</si>
  <si>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</si>
  <si>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</si>
  <si>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</si>
  <si>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</si>
  <si>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</si>
  <si>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</si>
  <si>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</si>
  <si>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</si>
  <si>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</si>
  <si>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</si>
  <si>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</si>
  <si>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</si>
  <si>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</si>
  <si>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</si>
  <si>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</si>
  <si>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</si>
  <si>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</si>
  <si>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</si>
  <si>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</si>
  <si>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</si>
  <si>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</si>
  <si>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</si>
  <si>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</si>
  <si>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</si>
  <si>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</si>
  <si>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</si>
  <si>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</si>
  <si>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</si>
  <si>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</si>
  <si>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</si>
  <si>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</si>
  <si>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</si>
  <si>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</si>
  <si>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</si>
  <si>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</si>
  <si>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</si>
  <si>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</si>
  <si>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</si>
  <si>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</si>
  <si>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</si>
  <si>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</si>
  <si>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</si>
  <si>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</si>
  <si>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</si>
  <si>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</si>
  <si>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</si>
  <si>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</si>
  <si>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</si>
  <si>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</si>
  <si>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</si>
  <si>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</si>
  <si>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</si>
  <si>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</si>
  <si>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</si>
  <si>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</si>
  <si>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</si>
  <si>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</si>
  <si>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</si>
  <si>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</si>
  <si>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</si>
  <si>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</si>
  <si>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</si>
  <si>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</si>
  <si>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</si>
  <si>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</si>
  <si>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</si>
  <si>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</si>
  <si>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</si>
  <si>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</si>
  <si>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</si>
  <si>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</si>
  <si>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</si>
  <si>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</si>
  <si>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</si>
  <si>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</si>
  <si>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</si>
  <si>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</si>
  <si>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</si>
  <si>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</si>
  <si>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</si>
  <si>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</si>
  <si>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</si>
  <si>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</si>
  <si>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</si>
  <si>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</si>
  <si>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</si>
  <si>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</si>
  <si>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</si>
  <si>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</si>
  <si>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</si>
  <si>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</si>
  <si>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</si>
  <si>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</si>
  <si>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</si>
  <si>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</si>
  <si>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</si>
  <si>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</si>
  <si>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</si>
  <si>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</si>
  <si>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</si>
  <si>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</si>
  <si>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</si>
  <si>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</si>
  <si>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</si>
  <si>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</si>
  <si>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</si>
  <si>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</si>
  <si>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</si>
  <si>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</si>
  <si>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</si>
  <si>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</si>
  <si>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</si>
  <si>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</si>
  <si>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</si>
  <si>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</si>
  <si>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</si>
  <si>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</si>
  <si>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</si>
  <si>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</si>
  <si>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</si>
  <si>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</si>
  <si>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</si>
  <si>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</si>
  <si>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</si>
  <si>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</si>
  <si>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</si>
  <si>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</si>
  <si>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</si>
  <si>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</si>
  <si>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</si>
  <si>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</si>
  <si>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</si>
  <si>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</si>
  <si>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</si>
  <si>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</si>
  <si>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</si>
  <si>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</si>
  <si>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</si>
  <si>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</si>
  <si>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</si>
  <si>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</si>
  <si>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</si>
  <si>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</si>
  <si>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</si>
  <si>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</si>
  <si>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</si>
  <si>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</si>
  <si>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</si>
  <si>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</si>
  <si>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</si>
  <si>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</si>
  <si>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</si>
  <si>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</si>
  <si>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</si>
  <si>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</si>
  <si>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</si>
  <si>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</si>
  <si>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</si>
  <si>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</si>
  <si>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</si>
  <si>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</si>
  <si>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</si>
  <si>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</si>
  <si>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</si>
  <si>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</si>
  <si>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</si>
  <si>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</si>
  <si>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</si>
  <si>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</si>
  <si>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</si>
  <si>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</si>
  <si>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</si>
  <si>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</si>
  <si>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</si>
  <si>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</si>
  <si>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</si>
  <si>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</si>
  <si>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</si>
  <si>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</si>
  <si>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</si>
  <si>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</si>
  <si>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</si>
  <si>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</si>
  <si>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</si>
  <si>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</si>
  <si>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</si>
  <si>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</si>
  <si>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</si>
  <si>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</si>
  <si>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</si>
  <si>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</si>
  <si>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</si>
  <si>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</si>
  <si>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</si>
  <si>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</si>
  <si>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</si>
  <si>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</si>
  <si>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</si>
  <si>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</si>
  <si>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</si>
  <si>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</si>
  <si>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</si>
  <si>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</si>
  <si>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</si>
  <si>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</si>
  <si>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</si>
  <si>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</si>
  <si>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</si>
  <si>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</si>
  <si>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</si>
  <si>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</si>
  <si>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</si>
  <si>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</si>
  <si>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</si>
  <si>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</si>
  <si>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</si>
  <si>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</si>
  <si>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</si>
  <si>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</si>
  <si>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</si>
  <si>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</si>
  <si>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</si>
  <si>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</si>
  <si>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</si>
  <si>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</si>
  <si>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</si>
  <si>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</si>
  <si>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</si>
  <si>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</si>
  <si>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</si>
  <si>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</si>
  <si>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</si>
  <si>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</si>
  <si>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</si>
  <si>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</si>
  <si>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</si>
  <si>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</si>
  <si>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</si>
  <si>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</si>
  <si>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</si>
  <si>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</si>
  <si>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</si>
  <si>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</si>
  <si>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</si>
  <si>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</si>
  <si>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</si>
  <si>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</si>
  <si>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</si>
  <si>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</si>
  <si>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</si>
  <si>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</si>
  <si>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</si>
  <si>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</si>
  <si>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</si>
  <si>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</si>
  <si>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</si>
  <si>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</si>
  <si>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</si>
  <si>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</si>
  <si>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</si>
  <si>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</si>
  <si>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</si>
  <si>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</si>
  <si>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</si>
  <si>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</si>
  <si>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</si>
  <si>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</si>
  <si>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</si>
  <si>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</si>
  <si>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</si>
  <si>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</si>
  <si>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</si>
  <si>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</si>
  <si>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</si>
  <si>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</si>
  <si>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</si>
  <si>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</si>
  <si>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</si>
  <si>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</si>
  <si>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</si>
  <si>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</si>
  <si>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</si>
  <si>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</si>
  <si>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</si>
  <si>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</si>
  <si>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</si>
  <si>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</si>
  <si>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</si>
  <si>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</si>
  <si>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</si>
  <si>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</si>
  <si>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</si>
  <si>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</si>
  <si>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</si>
  <si>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</si>
  <si>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</si>
  <si>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</si>
  <si>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</si>
  <si>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</si>
  <si>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</si>
  <si>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</si>
  <si>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</si>
  <si>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</si>
  <si>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</si>
  <si>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</si>
  <si>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</si>
  <si>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</si>
  <si>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</si>
  <si>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</si>
  <si>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</si>
  <si>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</si>
  <si>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</si>
  <si>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</si>
  <si>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</si>
  <si>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</si>
  <si>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</si>
  <si>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</si>
  <si>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</si>
  <si>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</si>
  <si>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</si>
  <si>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</si>
  <si>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</si>
  <si>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</si>
  <si>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</si>
  <si>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</si>
  <si>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</si>
  <si>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</si>
  <si>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</si>
  <si>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</si>
  <si>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</si>
  <si>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</si>
  <si>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</si>
  <si>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</si>
  <si>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</si>
  <si>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</si>
  <si>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</si>
  <si>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</si>
  <si>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</si>
  <si>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</si>
  <si>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</si>
  <si>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</si>
  <si>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</si>
  <si>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</si>
  <si>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</si>
  <si>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</si>
  <si>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</si>
  <si>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</si>
  <si>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</si>
  <si>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</si>
  <si>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</si>
  <si>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</si>
  <si>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</si>
  <si>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</si>
  <si>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</si>
  <si>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</si>
  <si>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</si>
  <si>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</si>
  <si>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</si>
  <si>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</si>
  <si>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</si>
  <si>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</si>
  <si>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</si>
  <si>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</si>
  <si>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</si>
  <si>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</si>
  <si>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</si>
  <si>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</si>
  <si>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</si>
  <si>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</si>
  <si>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</si>
  <si>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</si>
  <si>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</si>
  <si>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</si>
  <si>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</si>
  <si>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</si>
  <si>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</si>
  <si>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</si>
  <si>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</si>
  <si>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</si>
  <si>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</si>
  <si>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</si>
  <si>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</si>
  <si>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</si>
  <si>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</si>
  <si>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</si>
  <si>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</si>
  <si>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</si>
  <si>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</si>
  <si>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</si>
  <si>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</si>
  <si>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</si>
  <si>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</si>
  <si>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</si>
  <si>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</si>
  <si>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</si>
  <si>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</si>
  <si>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</si>
  <si>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</si>
  <si>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</si>
  <si>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</si>
  <si>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</si>
  <si>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</si>
  <si>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</si>
  <si>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</si>
  <si>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</si>
  <si>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</si>
  <si>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</si>
  <si>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</si>
  <si>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</si>
  <si>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</si>
  <si>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</si>
  <si>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</si>
  <si>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</si>
  <si>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</si>
  <si>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</si>
  <si>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</si>
  <si>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</si>
  <si>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</si>
  <si>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</si>
  <si>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</si>
  <si>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</si>
  <si>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</si>
  <si>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</si>
  <si>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</si>
  <si>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</si>
  <si>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</si>
  <si>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</si>
  <si>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</si>
  <si>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</si>
  <si>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</si>
  <si>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</si>
  <si>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</si>
  <si>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</si>
  <si>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</si>
  <si>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</si>
  <si>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</si>
  <si>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</si>
  <si>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</si>
  <si>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</si>
  <si>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</si>
  <si>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</si>
  <si>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</si>
  <si>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</si>
  <si>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</si>
  <si>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</si>
  <si>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</si>
  <si>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</si>
  <si>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</si>
  <si>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</si>
  <si>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</si>
  <si>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</si>
  <si>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</si>
  <si>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</si>
  <si>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</si>
  <si>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</si>
  <si>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</si>
  <si>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UPSET! Normal winner is Arizona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</si>
  <si>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</si>
  <si>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</si>
  <si>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</si>
  <si>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</si>
  <si>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</si>
  <si>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</si>
  <si>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</si>
  <si>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</si>
  <si>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</si>
  <si>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</si>
  <si>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</si>
  <si>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</si>
  <si>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</si>
  <si>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Louisville: 403 - 98 :Creighton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</si>
  <si>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</si>
  <si>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</si>
  <si>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</si>
  <si>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</si>
  <si>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</si>
  <si>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</si>
  <si>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</si>
  <si>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</si>
  <si>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</si>
  <si>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Purdue: 341 - 160 :High Point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</si>
  <si>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</si>
  <si>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</si>
  <si>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</si>
  <si>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</si>
  <si>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</si>
  <si>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229 - 272 :Akron</t>
  </si>
  <si>
    <t>Brigham Young: 291 - 210 :Wisconsin</t>
  </si>
  <si>
    <t>Saint Mary's (CA): 256 - 245 :Alabama</t>
  </si>
  <si>
    <t>Florida: 399 - 102 :Connecticut</t>
  </si>
  <si>
    <t>Colorado State: 114 - 387 :Grand Canyon</t>
  </si>
  <si>
    <t>Missouri: 57 - 444 :Texas Tech</t>
  </si>
  <si>
    <t>Kansas: 290 - 211 :St. John's (NY)</t>
  </si>
  <si>
    <t>UPSET! Normal winner is Auburn</t>
  </si>
  <si>
    <t>Michigan: 384 - 117 :Yale</t>
  </si>
  <si>
    <t>North Carolina: 223 - 278 :Iowa State</t>
  </si>
  <si>
    <t>New Mexico: 218 - 283 :Michigan State</t>
  </si>
  <si>
    <t>Houston: 222 - 279 :Gonzaga</t>
  </si>
  <si>
    <t>McNeese State: 144 - 357 :Purdue</t>
  </si>
  <si>
    <t>Illinois: 372 - 129 :Kentucky</t>
  </si>
  <si>
    <t>UCLA: 214 - 287 :Tennessee</t>
  </si>
  <si>
    <t>Duke: 391 - 110 :Akron</t>
  </si>
  <si>
    <t>Brigham Young: 219 - 282 :Saint Mary's (CA)</t>
  </si>
  <si>
    <t>Florida: 451 - 50 :Grand Canyon</t>
  </si>
  <si>
    <t>Texas Tech: 338 - 163 :Kansas</t>
  </si>
  <si>
    <t>Louisville: 105 - 396 :Michigan</t>
  </si>
  <si>
    <t>Iowa State: 333 - 168 :Michigan State</t>
  </si>
  <si>
    <t>Gonzaga: 270 - 231 :Purdue</t>
  </si>
  <si>
    <t>Illinois: 352 - 149 :Tennessee</t>
  </si>
  <si>
    <t>Duke: 301 - 200 :Saint Mary's (CA)</t>
  </si>
  <si>
    <t>UPSET! Normal winner is Florida</t>
  </si>
  <si>
    <t>Michigan: 291 - 210 :Iowa State</t>
  </si>
  <si>
    <t>Gonzaga: 231 - 270 :Illinois</t>
  </si>
  <si>
    <t>Texas Tech: 281 - 220 :Duke</t>
  </si>
  <si>
    <t>Michigan: 259 - 242 :Illinois</t>
  </si>
  <si>
    <t>Michigan: 171 - 330 :Texas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</si>
</sst>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Arizona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0.12</v>
      </c>
      <c r="M8" s="82" t="e" vm="72">
        <f>_xlfn.XLOOKUP(I8,Teams!$C:$C,Teams!$E:$E,,0,1)</f>
        <v>#VALUE!</v>
      </c>
      <c r="N8" s="82">
        <v>0.88</v>
      </c>
      <c r="O8" s="189" t="str">
        <f t="shared" si="3"/>
        <v>Akron</v>
      </c>
      <c r="P8" s="204" t="e" vm="72">
        <f>_xlfn.XLOOKUP(O8,Teams!$C:$C,Teams!$E:$E,,0,1)</f>
        <v>#VALUE!</v>
      </c>
      <c r="Q8" s="223" t="s">
        <v>1134</v>
      </c>
      <c r="R8" s="6" t="b">
        <f t="shared" si="5"/>
        <v>1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Creighton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0.8</v>
      </c>
      <c r="M22" s="82" t="e" vm="100">
        <f>_xlfn.XLOOKUP(I22,Teams!$C:$C,Teams!$E:$E,,0,1)</f>
        <v>#VALUE!</v>
      </c>
      <c r="N22" s="82">
        <v>0.2</v>
      </c>
      <c r="O22" s="189" t="str">
        <f t="shared" si="3"/>
        <v>Louisville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Akron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31</v>
      </c>
      <c r="J39" s="103" cm="1">
        <f t="array" ref="J39">_xlfn.XLOOKUP(I39,Teams[[#All],[Team]],Teams[[#All],[Seed]],0,0,1)</f>
        <v>13</v>
      </c>
      <c r="K39" s="82" t="e" vm="70">
        <f>_xlfn.XLOOKUP(G39,Teams!$C:$C,Teams!$E:$E,,0,1)</f>
        <v>#VALUE!</v>
      </c>
      <c r="L39" s="82">
        <v>0.46</v>
      </c>
      <c r="M39" s="82" t="e" vm="72">
        <f>_xlfn.XLOOKUP(I39,Teams!$C:$C,Teams!$E:$E,,0,1)</f>
        <v>#VALUE!</v>
      </c>
      <c r="N39" s="82">
        <v>0.54</v>
      </c>
      <c r="O39" s="189" t="str">
        <f t="shared" si="9"/>
        <v>Akron</v>
      </c>
      <c r="P39" s="204" t="e" vm="72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Louisville</v>
      </c>
      <c r="C46" s="152" t="str">
        <f t="shared" si="7"/>
        <v>Auburn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122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0.5</v>
      </c>
      <c r="M46" s="84" t="e" vm="99">
        <f>_xlfn.XLOOKUP(I46,Teams!$C:$C,Teams!$E:$E,,0,1)</f>
        <v>#VALUE!</v>
      </c>
      <c r="N46" s="84">
        <v>0.5</v>
      </c>
      <c r="O46" s="194" t="str">
        <f t="shared" si="9"/>
        <v>Louisville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Purdue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0.28999999999999998</v>
      </c>
      <c r="M51" s="83" t="e" vm="119">
        <f>_xlfn.XLOOKUP(I51,Teams!$C:$C,Teams!$E:$E,,0,1)</f>
        <v>#VALUE!</v>
      </c>
      <c r="N51" s="83">
        <v>0.71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Akron</v>
      </c>
      <c r="C55" s="91" t="str">
        <f t="shared" ref="C55:C62" si="12">IF(O55="","",IF(A55=O55,B55,A55))</f>
        <v>Akron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31</v>
      </c>
      <c r="J55" s="96" cm="1">
        <f t="array" ref="J55">_xlfn.XLOOKUP(I55,Teams[[#All],[Team]],Teams[[#All],[Seed]],0,0,1)</f>
        <v>13</v>
      </c>
      <c r="K55" s="97" t="e" vm="65">
        <f>_xlfn.XLOOKUP(G55,Teams!$C:$C,Teams!$E:$E,,0,1)</f>
        <v>#VALUE!</v>
      </c>
      <c r="L55" s="97">
        <v>0.78</v>
      </c>
      <c r="M55" s="97" t="e" vm="72">
        <f>_xlfn.XLOOKUP(I55,Teams!$C:$C,Teams!$E:$E,,0,1)</f>
        <v>#VALUE!</v>
      </c>
      <c r="N55" s="97">
        <v>0.22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Louisville</v>
      </c>
      <c r="B59" s="152" t="str">
        <f t="shared" si="16"/>
        <v>Michigan</v>
      </c>
      <c r="C59" s="152" t="str">
        <f t="shared" si="12"/>
        <v>Louisville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122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9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Purdue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0.54</v>
      </c>
      <c r="M61" s="145" t="e" vm="119">
        <f>_xlfn.XLOOKUP(I61,Teams!$C:$C,Teams!$E:$E,,0,1)</f>
        <v>#VALUE!</v>
      </c>
      <c r="N61" s="145">
        <v>0.46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0.7</v>
      </c>
      <c r="M62" s="151" t="e" vm="127">
        <f>_xlfn.XLOOKUP(I62,Teams!$C:$C,Teams!$E:$E,,0,1)</f>
        <v>#VALUE!</v>
      </c>
      <c r="N62" s="151">
        <v>0.3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65">
        <f>_xlfn.XLOOKUP(G64,Teams!$C:$C,Teams!$E:$E,,0,1)</f>
        <v>#VALUE!</v>
      </c>
      <c r="L64" s="158">
        <v>0.6</v>
      </c>
      <c r="M64" s="158" t="e" vm="77">
        <f>_xlfn.XLOOKUP(I64,Teams!$C:$C,Teams!$E:$E,,0,1)</f>
        <v>#VALUE!</v>
      </c>
      <c r="N64" s="158">
        <v>0.4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Florida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0.46</v>
      </c>
      <c r="M65" s="164" t="e" vm="91">
        <f>_xlfn.XLOOKUP(I65,Teams!$C:$C,Teams!$E:$E,,0,1)</f>
        <v>#VALUE!</v>
      </c>
      <c r="N65" s="164">
        <v>0.54</v>
      </c>
      <c r="O65" s="199" t="str">
        <f>IF(L65&gt;N65,G65,I65)</f>
        <v>Texas Tech</v>
      </c>
      <c r="P65" s="207" t="e" vm="91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Gonzaga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0.46</v>
      </c>
      <c r="M67" s="164" t="e" vm="121">
        <f>_xlfn.XLOOKUP(I67,Teams!$C:$C,Teams!$E:$E,,0,1)</f>
        <v>#VALUE!</v>
      </c>
      <c r="N67" s="164">
        <v>0.54</v>
      </c>
      <c r="O67" s="199" t="str">
        <f>IF(L67&gt;N67,G67,I67)</f>
        <v>Illinois</v>
      </c>
      <c r="P67" s="207" t="e" vm="121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Texas Tech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106</v>
      </c>
      <c r="J69" s="169" cm="1">
        <f t="array" ref="J69">_xlfn.XLOOKUP(I69,Teams[[#All],[Team]],Teams[[#All],[Seed]],0,0,1)</f>
        <v>3</v>
      </c>
      <c r="K69" s="170" t="e" vm="65">
        <f>_xlfn.XLOOKUP(G69,Teams!$C:$C,Teams!$E:$E,,0,1)</f>
        <v>#VALUE!</v>
      </c>
      <c r="L69" s="170">
        <v>0.44</v>
      </c>
      <c r="M69" s="170" t="e" vm="91">
        <f>_xlfn.XLOOKUP(I69,Teams!$C:$C,Teams!$E:$E,,0,1)</f>
        <v>#VALUE!</v>
      </c>
      <c r="N69" s="170">
        <v>0.56000000000000005</v>
      </c>
      <c r="O69" s="200" t="str">
        <f>IF(L69&gt;N69,G69,I69)</f>
        <v>Texas Tech</v>
      </c>
      <c r="P69" s="210" t="e" vm="9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Illinois</v>
      </c>
      <c r="C70" s="91" t="str">
        <f>IF(O70="","",IF(A70=O70,B70,A70))</f>
        <v>Illinois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133</v>
      </c>
      <c r="J70" s="163" cm="1">
        <f t="array" ref="J70">_xlfn.XLOOKUP(I70,Teams[[#All],[Team]],Teams[[#All],[Seed]],0,0,1)</f>
        <v>6</v>
      </c>
      <c r="K70" s="164" t="e" vm="101">
        <f>_xlfn.XLOOKUP(G70,Teams!$C:$C,Teams!$E:$E,,0,1)</f>
        <v>#VALUE!</v>
      </c>
      <c r="L70" s="164">
        <v>0.52</v>
      </c>
      <c r="M70" s="164" t="e" vm="121">
        <f>_xlfn.XLOOKUP(I70,Teams!$C:$C,Teams!$E:$E,,0,1)</f>
        <v>#VALUE!</v>
      </c>
      <c r="N70" s="164">
        <v>0.48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Texas Tech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3</v>
      </c>
      <c r="G72" s="155" t="s">
        <v>106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91">
        <f>_xlfn.XLOOKUP(G72,Teams!$C:$C,Teams!$E:$E,,0,1)</f>
        <v>#VALUE!</v>
      </c>
      <c r="L72" s="158">
        <v>0.66</v>
      </c>
      <c r="M72" s="158" t="e" vm="101">
        <f>_xlfn.XLOOKUP(I72,Teams!$C:$C,Teams!$E:$E,,0,1)</f>
        <v>#VALUE!</v>
      </c>
      <c r="N72" s="158">
        <v>0.34</v>
      </c>
      <c r="O72" s="198" t="str">
        <f>IF(L72&gt;N72,G72,I72)</f>
        <v>Texas Tech</v>
      </c>
      <c r="P72" s="205" t="e" vm="9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0.5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0.78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9">
        <f>_xlfn.XLOOKUP(AG7,Teams!$C:$C,Teams!$E:$E,,0,1)</f>
        <v>#VALUE!</v>
      </c>
      <c r="AG7" s="256" t="str">
        <f>Games!O46</f>
        <v>Louisville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0.5</v>
      </c>
      <c r="AI9" s="247" t="e" vm="99">
        <f>_xlfn.XLOOKUP(AJ9,Teams!$C:$C,Teams!$E:$E,,0,1)</f>
        <v>#VALUE!</v>
      </c>
      <c r="AJ9" s="256" t="str">
        <f>Games!O22</f>
        <v>Louisville</v>
      </c>
      <c r="AK9" s="58">
        <f>Games!L22</f>
        <v>0.8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0.6</v>
      </c>
      <c r="O11" s="25"/>
      <c r="P11" s="25"/>
      <c r="R11" s="25"/>
      <c r="S11" s="25"/>
      <c r="T11" s="282" t="e" vm="9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0.2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0.46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Akron</v>
      </c>
      <c r="J15" s="259" t="e" vm="72">
        <f>_xlfn.XLOOKUP(I15,Teams!$C:$C,Teams!$E:$E,,0,1)</f>
        <v>#VALUE!</v>
      </c>
      <c r="K15" s="261">
        <f>Games!N55</f>
        <v>0.22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0.12</v>
      </c>
      <c r="F17" s="256" t="str">
        <f>Games!O8</f>
        <v>Akron</v>
      </c>
      <c r="G17" s="259" t="e" vm="72">
        <f>_xlfn.XLOOKUP(F17,Teams!$C:$C,Teams!$E:$E,,0,1)</f>
        <v>#VALUE!</v>
      </c>
      <c r="H17" s="261">
        <f>Games!N39</f>
        <v>0.54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0.88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0.44</v>
      </c>
      <c r="R19" s="25"/>
      <c r="S19" s="25"/>
      <c r="T19" s="288"/>
      <c r="U19" s="289"/>
      <c r="V19" s="290"/>
      <c r="W19" s="25"/>
      <c r="X19" s="25"/>
      <c r="Y19" s="251">
        <f>Games!L70</f>
        <v>0.52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0.4</v>
      </c>
      <c r="O27" s="25"/>
      <c r="P27" s="25"/>
      <c r="Q27" s="50"/>
      <c r="R27" s="265" t="str">
        <f>Games!O69</f>
        <v>Texas Tech</v>
      </c>
      <c r="S27" s="256"/>
      <c r="T27" s="256"/>
      <c r="U27" s="271" t="e" vm="91">
        <f>_xlfn.XLOOKUP(R27,Teams!$C:$C,Teams!$E:$E,,0,1)</f>
        <v>#VALUE!</v>
      </c>
      <c r="V27" s="273">
        <f>Games!L72</f>
        <v>0.66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Texas Tech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0.34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0.54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0.46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0.46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0.28999999999999998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0.46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0.71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Texas Tech</v>
      </c>
      <c r="P51" s="259" t="e" vm="91">
        <f>_xlfn.XLOOKUP(O51,Teams!$C:$C,Teams!$E:$E,,0,1)</f>
        <v>#VALUE!</v>
      </c>
      <c r="Q51" s="261">
        <f>Games!N69</f>
        <v>0.56000000000000005</v>
      </c>
      <c r="R51" s="25"/>
      <c r="S51" s="25"/>
      <c r="T51" s="25"/>
      <c r="U51" s="75"/>
      <c r="V51" s="25"/>
      <c r="W51" s="25"/>
      <c r="X51" s="25"/>
      <c r="Y51" s="253">
        <f>Games!N70</f>
        <v>0.48</v>
      </c>
      <c r="Z51" s="249" t="e" vm="121">
        <f>_xlfn.XLOOKUP(AA51,Teams!$C:$C,Teams!$E:$E,,0,1)</f>
        <v>#VALUE!</v>
      </c>
      <c r="AA51" s="256" t="str">
        <f>Games!O67</f>
        <v>Illinois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0.54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0.54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2026-03-13T00:28:57Z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