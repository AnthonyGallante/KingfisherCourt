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WebImage.xml" ContentType="application/vnd.ms-excel.rdrichvaluewebimage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3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mgal\Documents\Data Science\KingfisherCourt\output\"/>
    </mc:Choice>
  </mc:AlternateContent>
  <xr:revisionPtr revIDLastSave="0" documentId="8_{BB1EC5CD-28FD-4D58-AC8E-CED7B782422E}" xr6:coauthVersionLast="47" xr6:coauthVersionMax="47" xr10:uidLastSave="{00000000-0000-0000-0000-000000000000}"/>
  <bookViews>
    <workbookView xWindow="-108" yWindow="-108" windowWidth="30936" windowHeight="16776" activeTab="2" xr2:uid="{00000000-000D-0000-FFFF-FFFF00000000}"/>
  </bookViews>
  <sheets>
    <sheet name="Team_Links" sheetId="6" r:id="rId1"/>
    <sheet name="Teams" sheetId="3" r:id="rId2"/>
    <sheet name="Games" sheetId="2" r:id="rId3"/>
    <sheet name="Bracket" sheetId="1" r:id="rId4"/>
  </sheets>
  <externalReferences>
    <externalReference r:id="rId5"/>
  </externalReferences>
  <definedNames>
    <definedName name="All_Teams">OFFSET(Games!#REF!,0,0,COUNTA(Games!#REF!)-1,1)</definedName>
    <definedName name="ExternalData_1" localSheetId="0" hidden="1">Team_Links!$A$1:$D$366</definedName>
    <definedName name="Method">Games!#REF!</definedName>
    <definedName name="_xlnm.Print_Area" localSheetId="3">Bracket!$B$1:$AN$67</definedName>
    <definedName name="_xlnm.Print_Area" localSheetId="2">Games!$A$1:$O$72</definedName>
    <definedName name="SeedInfo">Games!#REF!</definedName>
    <definedName name="SeedType">Games!#REF!</definedName>
    <definedName name="snowball">[1]Calculator!$F$21</definedName>
    <definedName name="strategy">[1]Calculator!$F$20</definedName>
    <definedName name="valuevx">42.314159</definedName>
    <definedName name="vertex42_copyright" hidden="1">"© 2012-2017 Vertex42 LLC"</definedName>
    <definedName name="vertex42_id" hidden="1">"march-madness-bracket.xlsx"</definedName>
    <definedName name="vertex42_title" hidden="1">"NCAA Basketball Tournament Bracket"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6" l="1" a="1"/>
  <c r="E2" i="6"/>
  <c r="E3" i="6" a="1"/>
  <c r="E3" i="6"/>
  <c r="E4" i="6" a="1"/>
  <c r="E4" i="6"/>
  <c r="E5" i="6" a="1"/>
  <c r="E5" i="6"/>
  <c r="E6" i="6" a="1"/>
  <c r="E6" i="6"/>
  <c r="E7" i="6" a="1"/>
  <c r="E7" i="6"/>
  <c r="E8" i="6" a="1"/>
  <c r="E8" i="6"/>
  <c r="E9" i="6" a="1"/>
  <c r="E9" i="6"/>
  <c r="E10" i="6" a="1"/>
  <c r="E10" i="6"/>
  <c r="E11" i="6" a="1"/>
  <c r="E11" i="6"/>
  <c r="E12" i="6" a="1"/>
  <c r="E12" i="6"/>
  <c r="E13" i="6" a="1"/>
  <c r="E13" i="6"/>
  <c r="E14" i="6" a="1"/>
  <c r="E14" i="6"/>
  <c r="E15" i="6" a="1"/>
  <c r="E15" i="6"/>
  <c r="E16" i="6" a="1"/>
  <c r="E16" i="6"/>
  <c r="E17" i="6" a="1"/>
  <c r="E17" i="6"/>
  <c r="E18" i="6" a="1"/>
  <c r="E18" i="6"/>
  <c r="E19" i="6" a="1"/>
  <c r="E19" i="6"/>
  <c r="E20" i="6" a="1"/>
  <c r="E20" i="6"/>
  <c r="E21" i="6" a="1"/>
  <c r="E21" i="6"/>
  <c r="E22" i="6" a="1"/>
  <c r="E22" i="6"/>
  <c r="E23" i="6" a="1"/>
  <c r="E23" i="6"/>
  <c r="E24" i="6" a="1"/>
  <c r="E24" i="6"/>
  <c r="E25" i="6" a="1"/>
  <c r="E25" i="6"/>
  <c r="E26" i="6" a="1"/>
  <c r="E26" i="6"/>
  <c r="E27" i="6" a="1"/>
  <c r="E27" i="6"/>
  <c r="E28" i="6" a="1"/>
  <c r="E28" i="6"/>
  <c r="E29" i="6" a="1"/>
  <c r="E29" i="6"/>
  <c r="E30" i="6" a="1"/>
  <c r="E30" i="6" s="1"/>
  <c r="E31" i="6" a="1"/>
  <c r="E31" i="6" s="1"/>
  <c r="E32" i="6" a="1"/>
  <c r="E32" i="6" s="1"/>
  <c r="E33" i="6" a="1"/>
  <c r="E33" i="6"/>
  <c r="E34" i="6" a="1"/>
  <c r="E34" i="6"/>
  <c r="E35" i="6" a="1"/>
  <c r="E35" i="6"/>
  <c r="E36" i="6" a="1"/>
  <c r="E36" i="6"/>
  <c r="E37" i="6" a="1"/>
  <c r="E37" i="6"/>
  <c r="E38" i="6" a="1"/>
  <c r="E38" i="6"/>
  <c r="E39" i="6" a="1"/>
  <c r="E39" i="6"/>
  <c r="E40" i="6" a="1"/>
  <c r="E40" i="6"/>
  <c r="E41" i="6" a="1"/>
  <c r="E41" i="6"/>
  <c r="E42" i="6" a="1"/>
  <c r="E42" i="6"/>
  <c r="E43" i="6" a="1"/>
  <c r="E43" i="6"/>
  <c r="E44" i="6" a="1"/>
  <c r="E44" i="6"/>
  <c r="E45" i="6" a="1"/>
  <c r="E45" i="6"/>
  <c r="E46" i="6" a="1"/>
  <c r="E46" i="6"/>
  <c r="E47" i="6" a="1"/>
  <c r="E47" i="6"/>
  <c r="E48" i="6" a="1"/>
  <c r="E48" i="6"/>
  <c r="E49" i="6" a="1"/>
  <c r="E49" i="6"/>
  <c r="E50" i="6" a="1"/>
  <c r="E50" i="6"/>
  <c r="E51" i="6" a="1"/>
  <c r="E51" i="6"/>
  <c r="E52" i="6" a="1"/>
  <c r="E52" i="6"/>
  <c r="E53" i="6" a="1"/>
  <c r="E53" i="6"/>
  <c r="E54" i="6" a="1"/>
  <c r="E54" i="6"/>
  <c r="E55" i="6" a="1"/>
  <c r="E55" i="6"/>
  <c r="E56" i="6" a="1"/>
  <c r="E56" i="6" s="1"/>
  <c r="E57" i="6" a="1"/>
  <c r="E57" i="6" s="1"/>
  <c r="E58" i="6" a="1"/>
  <c r="E58" i="6" s="1"/>
  <c r="E59" i="6" a="1"/>
  <c r="E59" i="6" s="1"/>
  <c r="E60" i="6" a="1"/>
  <c r="E60" i="6" s="1"/>
  <c r="E61" i="6" a="1"/>
  <c r="E61" i="6" s="1"/>
  <c r="E62" i="6" a="1"/>
  <c r="E62" i="6" s="1"/>
  <c r="E63" i="6" a="1"/>
  <c r="E63" i="6" s="1"/>
  <c r="E64" i="6" a="1"/>
  <c r="E64" i="6" s="1"/>
  <c r="E65" i="6" a="1"/>
  <c r="E65" i="6" s="1"/>
  <c r="E66" i="6" a="1"/>
  <c r="E66" i="6" s="1"/>
  <c r="E67" i="6" a="1"/>
  <c r="E67" i="6" s="1"/>
  <c r="E68" i="6" a="1"/>
  <c r="E68" i="6" s="1"/>
  <c r="E69" i="6" a="1"/>
  <c r="E69" i="6" s="1"/>
  <c r="E70" i="6" a="1"/>
  <c r="E70" i="6" s="1"/>
  <c r="E71" i="6" a="1"/>
  <c r="E71" i="6" s="1"/>
  <c r="E72" i="6" a="1"/>
  <c r="E72" i="6" s="1"/>
  <c r="E73" i="6" a="1"/>
  <c r="E73" i="6" s="1"/>
  <c r="E74" i="6" a="1"/>
  <c r="E74" i="6" s="1"/>
  <c r="E75" i="6" a="1"/>
  <c r="E75" i="6" s="1"/>
  <c r="E76" i="6" a="1"/>
  <c r="E76" i="6" s="1"/>
  <c r="E77" i="6" a="1"/>
  <c r="E77" i="6" s="1"/>
  <c r="E78" i="6" a="1"/>
  <c r="E78" i="6" s="1"/>
  <c r="E79" i="6" a="1"/>
  <c r="E79" i="6" s="1"/>
  <c r="E80" i="6" a="1"/>
  <c r="E80" i="6" s="1"/>
  <c r="E81" i="6" a="1"/>
  <c r="E81" i="6" s="1"/>
  <c r="E82" i="6" a="1"/>
  <c r="E82" i="6" s="1"/>
  <c r="E83" i="6" a="1"/>
  <c r="E83" i="6" s="1"/>
  <c r="E84" i="6" a="1"/>
  <c r="E84" i="6" s="1"/>
  <c r="E85" i="6" a="1"/>
  <c r="E85" i="6" s="1"/>
  <c r="E86" i="6" a="1"/>
  <c r="E86" i="6" s="1"/>
  <c r="E87" i="6" a="1"/>
  <c r="E87" i="6" s="1"/>
  <c r="E88" i="6" a="1"/>
  <c r="E88" i="6" s="1"/>
  <c r="E89" i="6" a="1"/>
  <c r="E89" i="6" s="1"/>
  <c r="E90" i="6" a="1"/>
  <c r="E90" i="6" s="1"/>
  <c r="E91" i="6" a="1"/>
  <c r="E91" i="6" s="1"/>
  <c r="E92" i="6" a="1"/>
  <c r="E92" i="6" s="1"/>
  <c r="E93" i="6" a="1"/>
  <c r="E93" i="6" s="1"/>
  <c r="E94" i="6" a="1"/>
  <c r="E94" i="6" s="1"/>
  <c r="E95" i="6" a="1"/>
  <c r="E95" i="6" s="1"/>
  <c r="E96" i="6" a="1"/>
  <c r="E96" i="6" s="1"/>
  <c r="E97" i="6" a="1"/>
  <c r="E97" i="6" s="1"/>
  <c r="E98" i="6" a="1"/>
  <c r="E98" i="6" s="1"/>
  <c r="E99" i="6" a="1"/>
  <c r="E99" i="6" s="1"/>
  <c r="E100" i="6" a="1"/>
  <c r="E100" i="6" s="1"/>
  <c r="E101" i="6" a="1"/>
  <c r="E101" i="6" s="1"/>
  <c r="E102" i="6" a="1"/>
  <c r="E102" i="6" s="1"/>
  <c r="E103" i="6" a="1"/>
  <c r="E103" i="6" s="1"/>
  <c r="E104" i="6" a="1"/>
  <c r="E104" i="6" s="1"/>
  <c r="E105" i="6" a="1"/>
  <c r="E105" i="6" s="1"/>
  <c r="E106" i="6" a="1"/>
  <c r="E106" i="6" s="1"/>
  <c r="E107" i="6" a="1"/>
  <c r="E107" i="6" s="1"/>
  <c r="E108" i="6" a="1"/>
  <c r="E108" i="6" s="1"/>
  <c r="E109" i="6" a="1"/>
  <c r="E109" i="6" s="1"/>
  <c r="E110" i="6" a="1"/>
  <c r="E110" i="6" s="1"/>
  <c r="E111" i="6" a="1"/>
  <c r="E111" i="6" s="1"/>
  <c r="E112" i="6" a="1"/>
  <c r="E112" i="6" s="1"/>
  <c r="E113" i="6" a="1"/>
  <c r="E113" i="6" s="1"/>
  <c r="E114" i="6" a="1"/>
  <c r="E114" i="6" s="1"/>
  <c r="E115" i="6" a="1"/>
  <c r="E115" i="6" s="1"/>
  <c r="E116" i="6" a="1"/>
  <c r="E116" i="6" s="1"/>
  <c r="E117" i="6" a="1"/>
  <c r="E117" i="6" s="1"/>
  <c r="E118" i="6" a="1"/>
  <c r="E118" i="6" s="1"/>
  <c r="E119" i="6" a="1"/>
  <c r="E119" i="6" s="1"/>
  <c r="E120" i="6" a="1"/>
  <c r="E120" i="6" s="1"/>
  <c r="E121" i="6" a="1"/>
  <c r="E121" i="6" s="1"/>
  <c r="E122" i="6" a="1"/>
  <c r="E122" i="6" s="1"/>
  <c r="E123" i="6" a="1"/>
  <c r="E123" i="6" s="1"/>
  <c r="E124" i="6" a="1"/>
  <c r="E124" i="6" s="1"/>
  <c r="E125" i="6" a="1"/>
  <c r="E125" i="6" s="1"/>
  <c r="E126" i="6" a="1"/>
  <c r="E126" i="6" s="1"/>
  <c r="E127" i="6" a="1"/>
  <c r="E127" i="6" s="1"/>
  <c r="E128" i="6" a="1"/>
  <c r="E128" i="6" s="1"/>
  <c r="E129" i="6" a="1"/>
  <c r="E129" i="6" s="1"/>
  <c r="E130" i="6" a="1"/>
  <c r="E130" i="6" s="1"/>
  <c r="E131" i="6" a="1"/>
  <c r="E131" i="6" s="1"/>
  <c r="E132" i="6" a="1"/>
  <c r="E132" i="6" s="1"/>
  <c r="E133" i="6" a="1"/>
  <c r="E133" i="6" s="1"/>
  <c r="E134" i="6" a="1"/>
  <c r="E134" i="6" s="1"/>
  <c r="E135" i="6" a="1"/>
  <c r="E135" i="6" s="1"/>
  <c r="E136" i="6" a="1"/>
  <c r="E136" i="6" s="1"/>
  <c r="E137" i="6" a="1"/>
  <c r="E137" i="6" s="1"/>
  <c r="E138" i="6" a="1"/>
  <c r="E138" i="6" s="1"/>
  <c r="E139" i="6" a="1"/>
  <c r="E139" i="6" s="1"/>
  <c r="E140" i="6" a="1"/>
  <c r="E140" i="6" s="1"/>
  <c r="E141" i="6" a="1"/>
  <c r="E141" i="6" s="1"/>
  <c r="E142" i="6" a="1"/>
  <c r="E142" i="6" s="1"/>
  <c r="E143" i="6" a="1"/>
  <c r="E143" i="6" s="1"/>
  <c r="E144" i="6" a="1"/>
  <c r="E144" i="6" s="1"/>
  <c r="E145" i="6" a="1"/>
  <c r="E145" i="6" s="1"/>
  <c r="E146" i="6" a="1"/>
  <c r="E146" i="6" s="1"/>
  <c r="E147" i="6" a="1"/>
  <c r="E147" i="6" s="1"/>
  <c r="E148" i="6" a="1"/>
  <c r="E148" i="6" s="1"/>
  <c r="E149" i="6" a="1"/>
  <c r="E149" i="6" s="1"/>
  <c r="E150" i="6" a="1"/>
  <c r="E150" i="6" s="1"/>
  <c r="E151" i="6" a="1"/>
  <c r="E151" i="6" s="1"/>
  <c r="E152" i="6" a="1"/>
  <c r="E152" i="6" s="1"/>
  <c r="E153" i="6" a="1"/>
  <c r="E153" i="6" s="1"/>
  <c r="E154" i="6" a="1"/>
  <c r="E154" i="6" s="1"/>
  <c r="E155" i="6" a="1"/>
  <c r="E155" i="6"/>
  <c r="E156" i="6" a="1"/>
  <c r="E156" i="6"/>
  <c r="E157" i="6" a="1"/>
  <c r="E157" i="6"/>
  <c r="E158" i="6" a="1"/>
  <c r="E158" i="6"/>
  <c r="E159" i="6" a="1"/>
  <c r="E159" i="6"/>
  <c r="E160" i="6" a="1"/>
  <c r="E160" i="6"/>
  <c r="E161" i="6" a="1"/>
  <c r="E161" i="6"/>
  <c r="E162" i="6" a="1"/>
  <c r="E162" i="6"/>
  <c r="E163" i="6" a="1"/>
  <c r="E163" i="6"/>
  <c r="E164" i="6" a="1"/>
  <c r="E164" i="6"/>
  <c r="E165" i="6" a="1"/>
  <c r="E165" i="6"/>
  <c r="E166" i="6" a="1"/>
  <c r="E166" i="6"/>
  <c r="E167" i="6" a="1"/>
  <c r="E167" i="6"/>
  <c r="E168" i="6" a="1"/>
  <c r="E168" i="6"/>
  <c r="E169" i="6" a="1"/>
  <c r="E169" i="6"/>
  <c r="E170" i="6" a="1"/>
  <c r="E170" i="6"/>
  <c r="E171" i="6" a="1"/>
  <c r="E171" i="6"/>
  <c r="E172" i="6" a="1"/>
  <c r="E172" i="6"/>
  <c r="E173" i="6" a="1"/>
  <c r="E173" i="6"/>
  <c r="E174" i="6" a="1"/>
  <c r="E174" i="6"/>
  <c r="E175" i="6" a="1"/>
  <c r="E175" i="6"/>
  <c r="E176" i="6" a="1"/>
  <c r="E176" i="6"/>
  <c r="E177" i="6" a="1"/>
  <c r="E177" i="6"/>
  <c r="E178" i="6" a="1"/>
  <c r="E178" i="6"/>
  <c r="E179" i="6" a="1"/>
  <c r="E179" i="6"/>
  <c r="E180" i="6" a="1"/>
  <c r="E180" i="6" s="1"/>
  <c r="E181" i="6" a="1"/>
  <c r="E181" i="6" s="1"/>
  <c r="E182" i="6" a="1"/>
  <c r="E182" i="6" s="1"/>
  <c r="E183" i="6" a="1"/>
  <c r="E183" i="6" s="1"/>
  <c r="E184" i="6" a="1"/>
  <c r="E184" i="6" s="1"/>
  <c r="E185" i="6" a="1"/>
  <c r="E185" i="6" s="1"/>
  <c r="E186" i="6" a="1"/>
  <c r="E186" i="6" s="1"/>
  <c r="E187" i="6" a="1"/>
  <c r="E187" i="6" s="1"/>
  <c r="E188" i="6" a="1"/>
  <c r="E188" i="6" s="1"/>
  <c r="E189" i="6" a="1"/>
  <c r="E189" i="6" s="1"/>
  <c r="E190" i="6" a="1"/>
  <c r="E190" i="6" s="1"/>
  <c r="E191" i="6" a="1"/>
  <c r="E191" i="6" s="1"/>
  <c r="E192" i="6" a="1"/>
  <c r="E192" i="6" s="1"/>
  <c r="E193" i="6" a="1"/>
  <c r="E193" i="6" s="1"/>
  <c r="E194" i="6" a="1"/>
  <c r="E194" i="6" s="1"/>
  <c r="E195" i="6" a="1"/>
  <c r="E195" i="6" s="1"/>
  <c r="E196" i="6" a="1"/>
  <c r="E196" i="6" s="1"/>
  <c r="E197" i="6" a="1"/>
  <c r="E197" i="6" s="1"/>
  <c r="E198" i="6" a="1"/>
  <c r="E198" i="6" s="1"/>
  <c r="E199" i="6" a="1"/>
  <c r="E199" i="6" s="1"/>
  <c r="E200" i="6" a="1"/>
  <c r="E200" i="6" s="1"/>
  <c r="E201" i="6" a="1"/>
  <c r="E201" i="6" s="1"/>
  <c r="E202" i="6" a="1"/>
  <c r="E202" i="6" s="1"/>
  <c r="E203" i="6" a="1"/>
  <c r="E203" i="6" s="1"/>
  <c r="E204" i="6" a="1"/>
  <c r="E204" i="6" s="1"/>
  <c r="E205" i="6" a="1"/>
  <c r="E205" i="6" s="1"/>
  <c r="E206" i="6" a="1"/>
  <c r="E206" i="6" s="1"/>
  <c r="E207" i="6" a="1"/>
  <c r="E207" i="6" s="1"/>
  <c r="E208" i="6" a="1"/>
  <c r="E208" i="6" s="1"/>
  <c r="E209" i="6" a="1"/>
  <c r="E209" i="6" s="1"/>
  <c r="E210" i="6" a="1"/>
  <c r="E210" i="6" s="1"/>
  <c r="E211" i="6" a="1"/>
  <c r="E211" i="6" s="1"/>
  <c r="E212" i="6" a="1"/>
  <c r="E212" i="6" s="1"/>
  <c r="E213" i="6" a="1"/>
  <c r="E213" i="6" s="1"/>
  <c r="E214" i="6" a="1"/>
  <c r="E214" i="6" s="1"/>
  <c r="E215" i="6" a="1"/>
  <c r="E215" i="6" s="1"/>
  <c r="E216" i="6" a="1"/>
  <c r="E216" i="6" s="1"/>
  <c r="E217" i="6" a="1"/>
  <c r="E217" i="6" s="1"/>
  <c r="E218" i="6" a="1"/>
  <c r="E218" i="6" s="1"/>
  <c r="E219" i="6" a="1"/>
  <c r="E219" i="6" s="1"/>
  <c r="E220" i="6" a="1"/>
  <c r="E220" i="6" s="1"/>
  <c r="E221" i="6" a="1"/>
  <c r="E221" i="6" s="1"/>
  <c r="E222" i="6" a="1"/>
  <c r="E222" i="6" s="1"/>
  <c r="E223" i="6" a="1"/>
  <c r="E223" i="6" s="1"/>
  <c r="E224" i="6" a="1"/>
  <c r="E224" i="6" s="1"/>
  <c r="E225" i="6" a="1"/>
  <c r="E225" i="6" s="1"/>
  <c r="E226" i="6" a="1"/>
  <c r="E226" i="6" s="1"/>
  <c r="E227" i="6" a="1"/>
  <c r="E227" i="6" s="1"/>
  <c r="E228" i="6" a="1"/>
  <c r="E228" i="6" s="1"/>
  <c r="E229" i="6" a="1"/>
  <c r="E229" i="6" s="1"/>
  <c r="E230" i="6" a="1"/>
  <c r="E230" i="6" s="1"/>
  <c r="E231" i="6" a="1"/>
  <c r="E231" i="6" s="1"/>
  <c r="E232" i="6" a="1"/>
  <c r="E232" i="6" s="1"/>
  <c r="E233" i="6" a="1"/>
  <c r="E233" i="6" s="1"/>
  <c r="E234" i="6" a="1"/>
  <c r="E234" i="6" s="1"/>
  <c r="E235" i="6" a="1"/>
  <c r="E235" i="6" s="1"/>
  <c r="E236" i="6" a="1"/>
  <c r="E236" i="6" s="1"/>
  <c r="E237" i="6" a="1"/>
  <c r="E237" i="6" s="1"/>
  <c r="E238" i="6" a="1"/>
  <c r="E238" i="6" s="1"/>
  <c r="E239" i="6" a="1"/>
  <c r="E239" i="6" s="1"/>
  <c r="E240" i="6" a="1"/>
  <c r="E240" i="6" s="1"/>
  <c r="E241" i="6" a="1"/>
  <c r="E241" i="6" s="1"/>
  <c r="E242" i="6" a="1"/>
  <c r="E242" i="6" s="1"/>
  <c r="E243" i="6" a="1"/>
  <c r="E243" i="6" s="1"/>
  <c r="E244" i="6" a="1"/>
  <c r="E244" i="6" s="1"/>
  <c r="E245" i="6" a="1"/>
  <c r="E245" i="6" s="1"/>
  <c r="E246" i="6" a="1"/>
  <c r="E246" i="6" s="1"/>
  <c r="E247" i="6" a="1"/>
  <c r="E247" i="6" s="1"/>
  <c r="E248" i="6" a="1"/>
  <c r="E248" i="6" s="1"/>
  <c r="E249" i="6" a="1"/>
  <c r="E249" i="6" s="1"/>
  <c r="E250" i="6" a="1"/>
  <c r="E250" i="6" s="1"/>
  <c r="E251" i="6" a="1"/>
  <c r="E251" i="6" s="1"/>
  <c r="E252" i="6" a="1"/>
  <c r="E252" i="6" s="1"/>
  <c r="E253" i="6" a="1"/>
  <c r="E253" i="6" s="1"/>
  <c r="E254" i="6" a="1"/>
  <c r="E254" i="6" s="1"/>
  <c r="E255" i="6" a="1"/>
  <c r="E255" i="6" s="1"/>
  <c r="E256" i="6" a="1"/>
  <c r="E256" i="6" s="1"/>
  <c r="E257" i="6" a="1"/>
  <c r="E257" i="6" s="1"/>
  <c r="E258" i="6" a="1"/>
  <c r="E258" i="6" s="1"/>
  <c r="E259" i="6" a="1"/>
  <c r="E259" i="6" s="1"/>
  <c r="E260" i="6" a="1"/>
  <c r="E260" i="6" s="1"/>
  <c r="E261" i="6" a="1"/>
  <c r="E261" i="6" s="1"/>
  <c r="E262" i="6" a="1"/>
  <c r="E262" i="6" s="1"/>
  <c r="E263" i="6" a="1"/>
  <c r="E263" i="6" s="1"/>
  <c r="E264" i="6" a="1"/>
  <c r="E264" i="6" s="1"/>
  <c r="E265" i="6" a="1"/>
  <c r="E265" i="6" s="1"/>
  <c r="E266" i="6" a="1"/>
  <c r="E266" i="6" s="1"/>
  <c r="E267" i="6" a="1"/>
  <c r="E267" i="6" s="1"/>
  <c r="E268" i="6" a="1"/>
  <c r="E268" i="6" s="1"/>
  <c r="E269" i="6" a="1"/>
  <c r="E269" i="6" s="1"/>
  <c r="E270" i="6" a="1"/>
  <c r="E270" i="6" s="1"/>
  <c r="E271" i="6" a="1"/>
  <c r="E271" i="6" s="1"/>
  <c r="E272" i="6" a="1"/>
  <c r="E272" i="6" s="1"/>
  <c r="E273" i="6" a="1"/>
  <c r="E273" i="6" s="1"/>
  <c r="E274" i="6" a="1"/>
  <c r="E274" i="6" s="1"/>
  <c r="E275" i="6" a="1"/>
  <c r="E275" i="6" s="1"/>
  <c r="E276" i="6" a="1"/>
  <c r="E276" i="6" s="1"/>
  <c r="E277" i="6" a="1"/>
  <c r="E277" i="6" s="1"/>
  <c r="E278" i="6" a="1"/>
  <c r="E278" i="6" s="1"/>
  <c r="E279" i="6" a="1"/>
  <c r="E279" i="6" s="1"/>
  <c r="E280" i="6" a="1"/>
  <c r="E280" i="6" s="1"/>
  <c r="E281" i="6" a="1"/>
  <c r="E281" i="6" s="1"/>
  <c r="E282" i="6" a="1"/>
  <c r="E282" i="6" s="1"/>
  <c r="E283" i="6" a="1"/>
  <c r="E283" i="6" s="1"/>
  <c r="E284" i="6" a="1"/>
  <c r="E284" i="6" s="1"/>
  <c r="E285" i="6" a="1"/>
  <c r="E285" i="6" s="1"/>
  <c r="E286" i="6" a="1"/>
  <c r="E286" i="6" s="1"/>
  <c r="E287" i="6" a="1"/>
  <c r="E287" i="6" s="1"/>
  <c r="E288" i="6" a="1"/>
  <c r="E288" i="6" s="1"/>
  <c r="E289" i="6" a="1"/>
  <c r="E289" i="6" s="1"/>
  <c r="E290" i="6" a="1"/>
  <c r="E290" i="6" s="1"/>
  <c r="E291" i="6" a="1"/>
  <c r="E291" i="6" s="1"/>
  <c r="E292" i="6" a="1"/>
  <c r="E292" i="6" s="1"/>
  <c r="E293" i="6" a="1"/>
  <c r="E293" i="6" s="1"/>
  <c r="E294" i="6" a="1"/>
  <c r="E294" i="6" s="1"/>
  <c r="E295" i="6" a="1"/>
  <c r="E295" i="6" s="1"/>
  <c r="E296" i="6" a="1"/>
  <c r="E296" i="6" s="1"/>
  <c r="E297" i="6" a="1"/>
  <c r="E297" i="6" s="1"/>
  <c r="E298" i="6" a="1"/>
  <c r="E298" i="6" s="1"/>
  <c r="E299" i="6" a="1"/>
  <c r="E299" i="6" s="1"/>
  <c r="E300" i="6" a="1"/>
  <c r="E300" i="6" s="1"/>
  <c r="E301" i="6" a="1"/>
  <c r="E301" i="6" s="1"/>
  <c r="E302" i="6" a="1"/>
  <c r="E302" i="6" s="1"/>
  <c r="E303" i="6" a="1"/>
  <c r="E303" i="6" s="1"/>
  <c r="E304" i="6" a="1"/>
  <c r="E304" i="6" s="1"/>
  <c r="E305" i="6" a="1"/>
  <c r="E305" i="6" s="1"/>
  <c r="E306" i="6" a="1"/>
  <c r="E306" i="6" s="1"/>
  <c r="E307" i="6" a="1"/>
  <c r="E307" i="6" s="1"/>
  <c r="E308" i="6" a="1"/>
  <c r="E308" i="6" s="1"/>
  <c r="E309" i="6" a="1"/>
  <c r="E309" i="6"/>
  <c r="E310" i="6" a="1"/>
  <c r="E310" i="6"/>
  <c r="E311" i="6" a="1"/>
  <c r="E311" i="6"/>
  <c r="E312" i="6" a="1"/>
  <c r="E312" i="6"/>
  <c r="E313" i="6" a="1"/>
  <c r="E313" i="6"/>
  <c r="E314" i="6" a="1"/>
  <c r="E314" i="6"/>
  <c r="E315" i="6" a="1"/>
  <c r="E315" i="6"/>
  <c r="E316" i="6" a="1"/>
  <c r="E316" i="6"/>
  <c r="E317" i="6" a="1"/>
  <c r="E317" i="6"/>
  <c r="E318" i="6" a="1"/>
  <c r="E318" i="6"/>
  <c r="E319" i="6" a="1"/>
  <c r="E319" i="6"/>
  <c r="E320" i="6" a="1"/>
  <c r="E320" i="6"/>
  <c r="E321" i="6" a="1"/>
  <c r="E321" i="6"/>
  <c r="E322" i="6" a="1"/>
  <c r="E322" i="6"/>
  <c r="E323" i="6" a="1"/>
  <c r="E323" i="6"/>
  <c r="E324" i="6" a="1"/>
  <c r="E324" i="6"/>
  <c r="E325" i="6" a="1"/>
  <c r="E325" i="6"/>
  <c r="E326" i="6" a="1"/>
  <c r="E326" i="6"/>
  <c r="E327" i="6" a="1"/>
  <c r="E327" i="6"/>
  <c r="E328" i="6" a="1"/>
  <c r="E328" i="6"/>
  <c r="E329" i="6" a="1"/>
  <c r="E329" i="6"/>
  <c r="E330" i="6" a="1"/>
  <c r="E330" i="6"/>
  <c r="E331" i="6" a="1"/>
  <c r="E331" i="6"/>
  <c r="E332" i="6" a="1"/>
  <c r="E332" i="6"/>
  <c r="E333" i="6" a="1"/>
  <c r="E333" i="6"/>
  <c r="E334" i="6" a="1"/>
  <c r="E334" i="6"/>
  <c r="E335" i="6" a="1"/>
  <c r="E335" i="6"/>
  <c r="E336" i="6" a="1"/>
  <c r="E336" i="6" s="1"/>
  <c r="E337" i="6" a="1"/>
  <c r="E337" i="6"/>
  <c r="E338" i="6" a="1"/>
  <c r="E338" i="6"/>
  <c r="E339" i="6" a="1"/>
  <c r="E339" i="6" s="1"/>
  <c r="E340" i="6" a="1"/>
  <c r="E340" i="6"/>
  <c r="E341" i="6" a="1"/>
  <c r="E341" i="6"/>
  <c r="E342" i="6" a="1"/>
  <c r="E342" i="6"/>
  <c r="E343" i="6" a="1"/>
  <c r="E343" i="6"/>
  <c r="E344" i="6" a="1"/>
  <c r="E344" i="6"/>
  <c r="E345" i="6" a="1"/>
  <c r="E345" i="6"/>
  <c r="E346" i="6" a="1"/>
  <c r="E346" i="6"/>
  <c r="E347" i="6" a="1"/>
  <c r="E347" i="6"/>
  <c r="E348" i="6" a="1"/>
  <c r="E348" i="6"/>
  <c r="E349" i="6" a="1"/>
  <c r="E349" i="6"/>
  <c r="E350" i="6" a="1"/>
  <c r="E350" i="6"/>
  <c r="E351" i="6" a="1"/>
  <c r="E351" i="6"/>
  <c r="E352" i="6" a="1"/>
  <c r="E352" i="6"/>
  <c r="E353" i="6" a="1"/>
  <c r="E353" i="6"/>
  <c r="E354" i="6" a="1"/>
  <c r="E354" i="6"/>
  <c r="E355" i="6" a="1"/>
  <c r="E355" i="6"/>
  <c r="E356" i="6" a="1"/>
  <c r="E356" i="6"/>
  <c r="E357" i="6" a="1"/>
  <c r="E357" i="6"/>
  <c r="E358" i="6" a="1"/>
  <c r="E358" i="6"/>
  <c r="E359" i="6" a="1"/>
  <c r="E359" i="6"/>
  <c r="E360" i="6" a="1"/>
  <c r="E360" i="6"/>
  <c r="E361" i="6" a="1"/>
  <c r="E361" i="6"/>
  <c r="E362" i="6" a="1"/>
  <c r="E362" i="6"/>
  <c r="E363" i="6" a="1"/>
  <c r="E363" i="6"/>
  <c r="E364" i="6" a="1"/>
  <c r="E364" i="6"/>
  <c r="E365" i="6" a="1"/>
  <c r="E365" i="6"/>
  <c r="E366" i="6" a="1"/>
  <c r="E366" i="6" s="1"/>
  <c r="V27" i="1"/>
  <c r="Y19" i="1"/>
  <c r="Q19" i="1"/>
  <c r="AB43" i="1"/>
  <c r="AB11" i="1"/>
  <c r="N43" i="1"/>
  <c r="N11" i="1"/>
  <c r="AE55" i="1"/>
  <c r="AE39" i="1"/>
  <c r="AE23" i="1"/>
  <c r="AE7" i="1"/>
  <c r="K55" i="1"/>
  <c r="K39" i="1"/>
  <c r="K23" i="1"/>
  <c r="K7" i="1"/>
  <c r="AH61" i="1"/>
  <c r="AH53" i="1"/>
  <c r="AH45" i="1"/>
  <c r="AH37" i="1"/>
  <c r="AH29" i="1"/>
  <c r="AH21" i="1"/>
  <c r="AH13" i="1"/>
  <c r="AH5" i="1"/>
  <c r="H61" i="1"/>
  <c r="H53" i="1"/>
  <c r="H45" i="1"/>
  <c r="H37" i="1"/>
  <c r="H29" i="1"/>
  <c r="H21" i="1"/>
  <c r="H13" i="1"/>
  <c r="H5" i="1"/>
  <c r="AK65" i="1"/>
  <c r="AK57" i="1"/>
  <c r="AK53" i="1"/>
  <c r="AK49" i="1"/>
  <c r="AK45" i="1"/>
  <c r="AK41" i="1"/>
  <c r="AK37" i="1"/>
  <c r="AK25" i="1"/>
  <c r="AK21" i="1"/>
  <c r="AK17" i="1"/>
  <c r="AK13" i="1"/>
  <c r="AK9" i="1"/>
  <c r="AK5" i="1"/>
  <c r="E25" i="1"/>
  <c r="E9" i="1"/>
  <c r="F54" i="2"/>
  <c r="T39" i="1"/>
  <c r="Y51" i="1"/>
  <c r="Q51" i="1"/>
  <c r="AB59" i="1"/>
  <c r="AB27" i="1"/>
  <c r="N59" i="1"/>
  <c r="N27" i="1"/>
  <c r="AE63" i="1"/>
  <c r="AE47" i="1"/>
  <c r="AE31" i="1"/>
  <c r="AE15" i="1"/>
  <c r="K63" i="1"/>
  <c r="K47" i="1"/>
  <c r="K31" i="1"/>
  <c r="K15" i="1"/>
  <c r="AH65" i="1"/>
  <c r="AH57" i="1"/>
  <c r="AH49" i="1"/>
  <c r="AH41" i="1"/>
  <c r="AH33" i="1"/>
  <c r="AH25" i="1"/>
  <c r="AH17" i="1"/>
  <c r="AH9" i="1"/>
  <c r="H65" i="1"/>
  <c r="H57" i="1"/>
  <c r="H49" i="1"/>
  <c r="H41" i="1"/>
  <c r="H33" i="1"/>
  <c r="H25" i="1"/>
  <c r="H17" i="1"/>
  <c r="H9" i="1"/>
  <c r="AK67" i="1"/>
  <c r="AK63" i="1"/>
  <c r="AK59" i="1"/>
  <c r="AK55" i="1"/>
  <c r="AK51" i="1"/>
  <c r="AK47" i="1"/>
  <c r="AK43" i="1"/>
  <c r="AK39" i="1"/>
  <c r="AK35" i="1"/>
  <c r="AK31" i="1"/>
  <c r="AK27" i="1"/>
  <c r="AK23" i="1"/>
  <c r="AK19" i="1"/>
  <c r="AK15" i="1"/>
  <c r="AK11" i="1"/>
  <c r="AK7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" i="1"/>
  <c r="F37" i="2"/>
  <c r="F63" i="2"/>
  <c r="F68" i="2"/>
  <c r="F71" i="2"/>
  <c r="AJ2" i="1"/>
  <c r="AM2" i="1"/>
  <c r="D61" i="3" l="1"/>
  <c r="E61" i="3" s="1"/>
  <c r="D64" i="3"/>
  <c r="E64" i="3" s="1"/>
  <c r="D53" i="3"/>
  <c r="E53" i="3" s="1"/>
  <c r="D65" i="3"/>
  <c r="E65" i="3" s="1"/>
  <c r="D52" i="3"/>
  <c r="E52" i="3" s="1"/>
  <c r="D62" i="3"/>
  <c r="E62" i="3" s="1"/>
  <c r="D60" i="3"/>
  <c r="E60" i="3" s="1"/>
  <c r="D50" i="3"/>
  <c r="E50" i="3" s="1"/>
  <c r="D55" i="3"/>
  <c r="E55" i="3" s="1"/>
  <c r="D46" i="3"/>
  <c r="E46" i="3" s="1"/>
  <c r="D56" i="3"/>
  <c r="E56" i="3" s="1"/>
  <c r="D63" i="3"/>
  <c r="E63" i="3" s="1"/>
  <c r="D51" i="3"/>
  <c r="E51" i="3" s="1"/>
  <c r="D20" i="3"/>
  <c r="E20" i="3" s="1"/>
  <c r="K14" i="2" s="1"/>
  <c r="D45" i="3"/>
  <c r="E45" i="3" s="1"/>
  <c r="D35" i="3"/>
  <c r="E35" i="3" s="1"/>
  <c r="D54" i="3"/>
  <c r="E54" i="3" s="1"/>
  <c r="D57" i="3"/>
  <c r="E57" i="3" s="1"/>
  <c r="D58" i="3"/>
  <c r="E58" i="3" s="1"/>
  <c r="D59" i="3"/>
  <c r="E59" i="3" s="1"/>
  <c r="D41" i="3"/>
  <c r="E41" i="3" s="1"/>
  <c r="D2" i="3"/>
  <c r="E2" i="3" s="1"/>
  <c r="D36" i="3"/>
  <c r="E36" i="3" s="1"/>
  <c r="D37" i="3"/>
  <c r="E37" i="3" s="1"/>
  <c r="D38" i="3"/>
  <c r="E38" i="3" s="1"/>
  <c r="D39" i="3"/>
  <c r="E39" i="3" s="1"/>
  <c r="D40" i="3"/>
  <c r="E40" i="3" s="1"/>
  <c r="D42" i="3"/>
  <c r="E42" i="3" s="1"/>
  <c r="D43" i="3"/>
  <c r="E43" i="3" s="1"/>
  <c r="D44" i="3"/>
  <c r="E44" i="3" s="1"/>
  <c r="D47" i="3"/>
  <c r="E47" i="3" s="1"/>
  <c r="D48" i="3"/>
  <c r="E48" i="3" s="1"/>
  <c r="D49" i="3"/>
  <c r="E49" i="3" s="1"/>
  <c r="D34" i="3"/>
  <c r="E34" i="3" s="1"/>
  <c r="D19" i="3"/>
  <c r="E19" i="3" s="1"/>
  <c r="M13" i="2" s="1"/>
  <c r="D21" i="3"/>
  <c r="E21" i="3" s="1"/>
  <c r="M14" i="2" s="1"/>
  <c r="D22" i="3"/>
  <c r="E22" i="3" s="1"/>
  <c r="K15" i="2" s="1"/>
  <c r="D23" i="3"/>
  <c r="E23" i="3" s="1"/>
  <c r="M15" i="2" s="1"/>
  <c r="D24" i="3"/>
  <c r="E24" i="3" s="1"/>
  <c r="K16" i="2" s="1"/>
  <c r="D25" i="3"/>
  <c r="E25" i="3" s="1"/>
  <c r="M16" i="2" s="1"/>
  <c r="D26" i="3"/>
  <c r="E26" i="3" s="1"/>
  <c r="K17" i="2" s="1"/>
  <c r="D27" i="3"/>
  <c r="E27" i="3" s="1"/>
  <c r="M17" i="2" s="1"/>
  <c r="D28" i="3"/>
  <c r="E28" i="3" s="1"/>
  <c r="K18" i="2" s="1"/>
  <c r="D31" i="3"/>
  <c r="E31" i="3" s="1"/>
  <c r="D32" i="3"/>
  <c r="E32" i="3" s="1"/>
  <c r="D33" i="3"/>
  <c r="E33" i="3" s="1"/>
  <c r="D18" i="3"/>
  <c r="E18" i="3" s="1"/>
  <c r="D3" i="3"/>
  <c r="E3" i="3" s="1"/>
  <c r="D4" i="3"/>
  <c r="E4" i="3" s="1"/>
  <c r="D5" i="3"/>
  <c r="E5" i="3" s="1"/>
  <c r="D6" i="3"/>
  <c r="E6" i="3" s="1"/>
  <c r="D7" i="3"/>
  <c r="E7" i="3" s="1"/>
  <c r="D8" i="3"/>
  <c r="E8" i="3" s="1"/>
  <c r="D9" i="3"/>
  <c r="E9" i="3" s="1"/>
  <c r="D10" i="3"/>
  <c r="E10" i="3" s="1"/>
  <c r="D11" i="3"/>
  <c r="E11" i="3" s="1"/>
  <c r="M9" i="2" s="1"/>
  <c r="D12" i="3"/>
  <c r="E12" i="3" s="1"/>
  <c r="K10" i="2" s="1"/>
  <c r="D13" i="3"/>
  <c r="E13" i="3" s="1"/>
  <c r="M10" i="2" s="1"/>
  <c r="D14" i="3"/>
  <c r="E14" i="3" s="1"/>
  <c r="K11" i="2" s="1"/>
  <c r="J11" i="2" a="1"/>
  <c r="J11" i="2" s="1"/>
  <c r="D15" i="3"/>
  <c r="E15" i="3" s="1"/>
  <c r="D16" i="3"/>
  <c r="E16" i="3" s="1"/>
  <c r="D17" i="3"/>
  <c r="E17" i="3" s="1"/>
  <c r="J18" i="2" a="1"/>
  <c r="J18" i="2" s="1"/>
  <c r="D29" i="3"/>
  <c r="E29" i="3" s="1"/>
  <c r="D30" i="3"/>
  <c r="E30" i="3" s="1"/>
  <c r="C47" i="1"/>
  <c r="C39" i="1"/>
  <c r="C51" i="1"/>
  <c r="C55" i="1"/>
  <c r="C57" i="1"/>
  <c r="O35" i="2"/>
  <c r="AK61" i="1"/>
  <c r="AK33" i="1"/>
  <c r="AK29" i="1"/>
  <c r="E65" i="1"/>
  <c r="E61" i="1"/>
  <c r="E57" i="1"/>
  <c r="O17" i="2"/>
  <c r="E53" i="1"/>
  <c r="O16" i="2"/>
  <c r="E49" i="1"/>
  <c r="O15" i="2"/>
  <c r="E45" i="1"/>
  <c r="O14" i="2"/>
  <c r="E41" i="1"/>
  <c r="E37" i="1"/>
  <c r="O13" i="2"/>
  <c r="E33" i="1"/>
  <c r="E29" i="1"/>
  <c r="E21" i="1"/>
  <c r="E17" i="1"/>
  <c r="E13" i="1"/>
  <c r="E11" i="1"/>
  <c r="E5" i="1"/>
  <c r="C53" i="1"/>
  <c r="C43" i="1"/>
  <c r="C31" i="1"/>
  <c r="C49" i="1"/>
  <c r="C45" i="1"/>
  <c r="C41" i="1"/>
  <c r="C37" i="1"/>
  <c r="J13" i="2" a="1"/>
  <c r="J13" i="2" s="1"/>
  <c r="J14" i="2" a="1"/>
  <c r="J14" i="2" s="1"/>
  <c r="J15" i="2" a="1"/>
  <c r="J15" i="2" s="1"/>
  <c r="J16" i="2" a="1"/>
  <c r="J16" i="2" s="1"/>
  <c r="J17" i="2" a="1"/>
  <c r="J17" i="2" s="1"/>
  <c r="F18" i="2" a="1"/>
  <c r="F18" i="2" s="1"/>
  <c r="F16" i="2" a="1"/>
  <c r="F16" i="2" s="1"/>
  <c r="F13" i="2" a="1"/>
  <c r="F13" i="2" s="1"/>
  <c r="F14" i="2" a="1"/>
  <c r="F14" i="2" s="1"/>
  <c r="F15" i="2" a="1"/>
  <c r="F15" i="2" s="1"/>
  <c r="F17" i="2" a="1"/>
  <c r="F17" i="2" s="1"/>
  <c r="AU5" i="1"/>
  <c r="K29" i="2" l="1"/>
  <c r="M30" i="2"/>
  <c r="K36" i="2"/>
  <c r="K30" i="2"/>
  <c r="K35" i="2"/>
  <c r="K34" i="2"/>
  <c r="K27" i="2"/>
  <c r="M34" i="2"/>
  <c r="K13" i="2"/>
  <c r="K12" i="2"/>
  <c r="M18" i="2"/>
  <c r="K5" i="2"/>
  <c r="K19" i="2"/>
  <c r="M5" i="2"/>
  <c r="M6" i="2"/>
  <c r="K8" i="2"/>
  <c r="M11" i="2"/>
  <c r="M29" i="2"/>
  <c r="K32" i="2"/>
  <c r="M35" i="2"/>
  <c r="P35" i="2"/>
  <c r="J6" i="2" a="1"/>
  <c r="J6" i="2" s="1"/>
  <c r="C11" i="1"/>
  <c r="D11" i="1" s="1"/>
  <c r="C23" i="1"/>
  <c r="J9" i="2" a="1"/>
  <c r="J9" i="2" s="1"/>
  <c r="D47" i="1"/>
  <c r="D23" i="1"/>
  <c r="D39" i="1"/>
  <c r="D51" i="1"/>
  <c r="K21" i="2"/>
  <c r="K23" i="2"/>
  <c r="K24" i="2"/>
  <c r="D55" i="1"/>
  <c r="D57" i="1"/>
  <c r="K20" i="2"/>
  <c r="M20" i="2"/>
  <c r="M21" i="2"/>
  <c r="M22" i="2"/>
  <c r="M23" i="2"/>
  <c r="K28" i="2"/>
  <c r="M28" i="2"/>
  <c r="K33" i="2"/>
  <c r="M33" i="2"/>
  <c r="K31" i="2"/>
  <c r="M32" i="2"/>
  <c r="P14" i="2"/>
  <c r="P13" i="2"/>
  <c r="D41" i="1"/>
  <c r="D43" i="1"/>
  <c r="D31" i="1"/>
  <c r="O5" i="2"/>
  <c r="F5" i="2" a="1"/>
  <c r="F5" i="2" s="1"/>
  <c r="C5" i="1"/>
  <c r="D5" i="1" s="1"/>
  <c r="F8" i="2" a="1"/>
  <c r="F8" i="2" s="1"/>
  <c r="C17" i="1"/>
  <c r="D17" i="1" s="1"/>
  <c r="J8" i="2" a="1"/>
  <c r="J8" i="2" s="1"/>
  <c r="C19" i="1"/>
  <c r="D19" i="1" s="1"/>
  <c r="M8" i="2"/>
  <c r="O8" i="2"/>
  <c r="F9" i="2" a="1"/>
  <c r="F9" i="2" s="1"/>
  <c r="C21" i="1"/>
  <c r="D21" i="1" s="1"/>
  <c r="K9" i="2"/>
  <c r="O9" i="2"/>
  <c r="C25" i="1"/>
  <c r="D25" i="1" s="1"/>
  <c r="F10" i="2" a="1"/>
  <c r="F10" i="2" s="1"/>
  <c r="O10" i="2"/>
  <c r="C27" i="1"/>
  <c r="D27" i="1" s="1"/>
  <c r="J10" i="2" a="1"/>
  <c r="J10" i="2" s="1"/>
  <c r="O11" i="2"/>
  <c r="P11" i="2" s="1"/>
  <c r="C29" i="1"/>
  <c r="D29" i="1" s="1"/>
  <c r="F11" i="2" a="1"/>
  <c r="F11" i="2" s="1"/>
  <c r="O12" i="2"/>
  <c r="C33" i="1"/>
  <c r="D33" i="1" s="1"/>
  <c r="F12" i="2" a="1"/>
  <c r="F12" i="2" s="1"/>
  <c r="M12" i="2"/>
  <c r="C35" i="1"/>
  <c r="D35" i="1" s="1"/>
  <c r="J12" i="2" a="1"/>
  <c r="J12" i="2" s="1"/>
  <c r="C61" i="1"/>
  <c r="D61" i="1" s="1"/>
  <c r="F19" i="2" a="1"/>
  <c r="F19" i="2" s="1"/>
  <c r="K26" i="2"/>
  <c r="M27" i="2"/>
  <c r="P17" i="2"/>
  <c r="P16" i="2"/>
  <c r="P15" i="2"/>
  <c r="D53" i="1"/>
  <c r="D49" i="1"/>
  <c r="D45" i="1"/>
  <c r="D37" i="1"/>
  <c r="C7" i="1"/>
  <c r="D7" i="1" s="1"/>
  <c r="J5" i="2" a="1"/>
  <c r="J5" i="2" s="1"/>
  <c r="K6" i="2"/>
  <c r="O6" i="2"/>
  <c r="C9" i="1"/>
  <c r="D9" i="1" s="1"/>
  <c r="F6" i="2" a="1"/>
  <c r="F6" i="2" s="1"/>
  <c r="K7" i="2"/>
  <c r="C13" i="1"/>
  <c r="D13" i="1" s="1"/>
  <c r="F7" i="2" a="1"/>
  <c r="F7" i="2" s="1"/>
  <c r="C15" i="1"/>
  <c r="D15" i="1" s="1"/>
  <c r="M7" i="2"/>
  <c r="O7" i="2"/>
  <c r="J7" i="2" a="1"/>
  <c r="J7" i="2" s="1"/>
  <c r="O18" i="2"/>
  <c r="C59" i="1"/>
  <c r="D59" i="1" s="1"/>
  <c r="M36" i="2"/>
  <c r="AM67" i="1"/>
  <c r="AL67" i="1" s="1"/>
  <c r="O34" i="2"/>
  <c r="P34" i="2" s="1"/>
  <c r="O19" i="2"/>
  <c r="P19" i="2" s="1"/>
  <c r="M19" i="2"/>
  <c r="O22" i="2"/>
  <c r="K22" i="2"/>
  <c r="AM19" i="1"/>
  <c r="AL19" i="1" s="1"/>
  <c r="O24" i="2"/>
  <c r="P24" i="2" s="1"/>
  <c r="J24" i="2" a="1"/>
  <c r="J24" i="2" s="1"/>
  <c r="M24" i="2"/>
  <c r="AM21" i="1"/>
  <c r="AL21" i="1" s="1"/>
  <c r="O25" i="2"/>
  <c r="P25" i="2" s="1"/>
  <c r="F25" i="2" a="1"/>
  <c r="F25" i="2" s="1"/>
  <c r="K25" i="2"/>
  <c r="AM23" i="1"/>
  <c r="AL23" i="1" s="1"/>
  <c r="J25" i="2" a="1"/>
  <c r="J25" i="2" s="1"/>
  <c r="M25" i="2"/>
  <c r="J26" i="2" a="1"/>
  <c r="J26" i="2" s="1"/>
  <c r="M26" i="2"/>
  <c r="O31" i="2"/>
  <c r="M31" i="2"/>
  <c r="O28" i="2"/>
  <c r="P28" i="2" s="1"/>
  <c r="O26" i="2"/>
  <c r="P26" i="2" s="1"/>
  <c r="AM27" i="1"/>
  <c r="AL27" i="1" s="1"/>
  <c r="O27" i="2"/>
  <c r="P27" i="2" s="1"/>
  <c r="AM31" i="1"/>
  <c r="AL31" i="1" s="1"/>
  <c r="J27" i="2" a="1"/>
  <c r="J27" i="2" s="1"/>
  <c r="AM35" i="1"/>
  <c r="AL35" i="1" s="1"/>
  <c r="J28" i="2" a="1"/>
  <c r="J28" i="2" s="1"/>
  <c r="C63" i="1"/>
  <c r="D63" i="1" s="1"/>
  <c r="J19" i="2" a="1"/>
  <c r="J19" i="2" s="1"/>
  <c r="C65" i="1"/>
  <c r="D65" i="1" s="1"/>
  <c r="F20" i="2" a="1"/>
  <c r="F20" i="2" s="1"/>
  <c r="C67" i="1"/>
  <c r="D67" i="1" s="1"/>
  <c r="O20" i="2"/>
  <c r="P20" i="2" s="1"/>
  <c r="J20" i="2" a="1"/>
  <c r="J20" i="2" s="1"/>
  <c r="O21" i="2"/>
  <c r="P21" i="2" s="1"/>
  <c r="AM7" i="1"/>
  <c r="AL7" i="1" s="1"/>
  <c r="J21" i="2" a="1"/>
  <c r="J21" i="2" s="1"/>
  <c r="AM11" i="1"/>
  <c r="AL11" i="1" s="1"/>
  <c r="J22" i="2" a="1"/>
  <c r="J22" i="2" s="1"/>
  <c r="AM15" i="1"/>
  <c r="AL15" i="1" s="1"/>
  <c r="O23" i="2"/>
  <c r="P23" i="2" s="1"/>
  <c r="J23" i="2" a="1"/>
  <c r="J23" i="2" s="1"/>
  <c r="AM5" i="1"/>
  <c r="AL5" i="1" s="1"/>
  <c r="F21" i="2" a="1"/>
  <c r="F21" i="2" s="1"/>
  <c r="AM9" i="1"/>
  <c r="AL9" i="1" s="1"/>
  <c r="F22" i="2" a="1"/>
  <c r="F22" i="2" s="1"/>
  <c r="AM13" i="1"/>
  <c r="AL13" i="1" s="1"/>
  <c r="F23" i="2" a="1"/>
  <c r="F23" i="2" s="1"/>
  <c r="AM17" i="1"/>
  <c r="AL17" i="1" s="1"/>
  <c r="F24" i="2" a="1"/>
  <c r="F24" i="2" s="1"/>
  <c r="AM25" i="1"/>
  <c r="AL25" i="1" s="1"/>
  <c r="F26" i="2" a="1"/>
  <c r="F26" i="2" s="1"/>
  <c r="AM29" i="1"/>
  <c r="AL29" i="1" s="1"/>
  <c r="F27" i="2" a="1"/>
  <c r="F27" i="2" s="1"/>
  <c r="AM33" i="1"/>
  <c r="AL33" i="1" s="1"/>
  <c r="F28" i="2" a="1"/>
  <c r="F28" i="2" s="1"/>
  <c r="AM37" i="1"/>
  <c r="AL37" i="1" s="1"/>
  <c r="F29" i="2" a="1"/>
  <c r="F29" i="2" s="1"/>
  <c r="AM39" i="1"/>
  <c r="AL39" i="1" s="1"/>
  <c r="O29" i="2"/>
  <c r="P29" i="2" s="1"/>
  <c r="J29" i="2" a="1"/>
  <c r="J29" i="2" s="1"/>
  <c r="AM41" i="1"/>
  <c r="AL41" i="1" s="1"/>
  <c r="O30" i="2"/>
  <c r="P30" i="2" s="1"/>
  <c r="F30" i="2" a="1"/>
  <c r="F30" i="2" s="1"/>
  <c r="AM43" i="1"/>
  <c r="AL43" i="1" s="1"/>
  <c r="J30" i="2" a="1"/>
  <c r="J30" i="2" s="1"/>
  <c r="AM45" i="1"/>
  <c r="AL45" i="1" s="1"/>
  <c r="F31" i="2" a="1"/>
  <c r="F31" i="2" s="1"/>
  <c r="AM47" i="1"/>
  <c r="AL47" i="1" s="1"/>
  <c r="J31" i="2" a="1"/>
  <c r="J31" i="2" s="1"/>
  <c r="AM49" i="1"/>
  <c r="AL49" i="1" s="1"/>
  <c r="F32" i="2" a="1"/>
  <c r="F32" i="2" s="1"/>
  <c r="O32" i="2"/>
  <c r="P32" i="2" s="1"/>
  <c r="AM51" i="1"/>
  <c r="AL51" i="1" s="1"/>
  <c r="J32" i="2" a="1"/>
  <c r="J32" i="2" s="1"/>
  <c r="AM53" i="1"/>
  <c r="AL53" i="1" s="1"/>
  <c r="O33" i="2"/>
  <c r="P33" i="2" s="1"/>
  <c r="F33" i="2" a="1"/>
  <c r="F33" i="2" s="1"/>
  <c r="AM55" i="1"/>
  <c r="AL55" i="1" s="1"/>
  <c r="J33" i="2" a="1"/>
  <c r="J33" i="2" s="1"/>
  <c r="AM57" i="1"/>
  <c r="AL57" i="1" s="1"/>
  <c r="F34" i="2" a="1"/>
  <c r="F34" i="2" s="1"/>
  <c r="AM59" i="1"/>
  <c r="AL59" i="1" s="1"/>
  <c r="J34" i="2" a="1"/>
  <c r="J34" i="2" s="1"/>
  <c r="AM61" i="1"/>
  <c r="AL61" i="1" s="1"/>
  <c r="F35" i="2" a="1"/>
  <c r="F35" i="2" s="1"/>
  <c r="AM63" i="1"/>
  <c r="AL63" i="1" s="1"/>
  <c r="J35" i="2" a="1"/>
  <c r="J35" i="2" s="1"/>
  <c r="AM65" i="1"/>
  <c r="AL65" i="1" s="1"/>
  <c r="O36" i="2"/>
  <c r="P36" i="2" s="1"/>
  <c r="F36" i="2" a="1"/>
  <c r="F36" i="2" s="1"/>
  <c r="J36" i="2" a="1"/>
  <c r="J36" i="2" s="1"/>
  <c r="R17" i="2"/>
  <c r="R16" i="2"/>
  <c r="R15" i="2"/>
  <c r="R14" i="2"/>
  <c r="R13" i="2"/>
  <c r="K53" i="2"/>
  <c r="AJ61" i="1"/>
  <c r="AI61" i="1" s="1"/>
  <c r="K44" i="2"/>
  <c r="F53" i="1"/>
  <c r="G53" i="1" s="1"/>
  <c r="M43" i="2"/>
  <c r="F49" i="1"/>
  <c r="G49" i="1" s="1"/>
  <c r="F37" i="1"/>
  <c r="G37" i="1" s="1"/>
  <c r="K42" i="2"/>
  <c r="K43" i="2"/>
  <c r="F45" i="1"/>
  <c r="G45" i="1" s="1"/>
  <c r="F41" i="1"/>
  <c r="G41" i="1" s="1"/>
  <c r="M42" i="2"/>
  <c r="A5" i="2"/>
  <c r="D55" i="2"/>
  <c r="D56" i="2"/>
  <c r="D57" i="2"/>
  <c r="D58" i="2"/>
  <c r="D59" i="2"/>
  <c r="D60" i="2"/>
  <c r="D61" i="2"/>
  <c r="D62" i="2"/>
  <c r="D72" i="2"/>
  <c r="D70" i="2"/>
  <c r="D69" i="2"/>
  <c r="D65" i="2"/>
  <c r="D66" i="2"/>
  <c r="D67" i="2"/>
  <c r="D64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38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5" i="2"/>
  <c r="A6" i="1"/>
  <c r="A10" i="1" s="1"/>
  <c r="A14" i="1" s="1"/>
  <c r="A18" i="1" s="1"/>
  <c r="A21" i="1" s="1"/>
  <c r="A26" i="1" s="1"/>
  <c r="A30" i="1" s="1"/>
  <c r="A34" i="1" s="1"/>
  <c r="A38" i="1" s="1"/>
  <c r="A42" i="1" s="1"/>
  <c r="A46" i="1" s="1"/>
  <c r="A50" i="1" s="1"/>
  <c r="A54" i="1" s="1"/>
  <c r="A58" i="1" s="1"/>
  <c r="A62" i="1" s="1"/>
  <c r="A66" i="1" s="1"/>
  <c r="AO6" i="1" s="1"/>
  <c r="AO10" i="1" s="1"/>
  <c r="AO14" i="1" s="1"/>
  <c r="AO18" i="1" s="1"/>
  <c r="AO22" i="1" s="1"/>
  <c r="AO26" i="1" s="1"/>
  <c r="AO30" i="1" s="1"/>
  <c r="AO34" i="1" s="1"/>
  <c r="AO38" i="1" s="1"/>
  <c r="AO42" i="1" s="1"/>
  <c r="AO46" i="1" s="1"/>
  <c r="AO50" i="1" s="1"/>
  <c r="AO54" i="1" s="1"/>
  <c r="AO58" i="1" s="1"/>
  <c r="AO62" i="1" s="1"/>
  <c r="AO66" i="1" s="1"/>
  <c r="F7" i="1" s="1"/>
  <c r="A22" i="2"/>
  <c r="B22" i="2"/>
  <c r="A23" i="2"/>
  <c r="B23" i="2"/>
  <c r="A24" i="2"/>
  <c r="B24" i="2"/>
  <c r="A25" i="2"/>
  <c r="B25" i="2"/>
  <c r="A26" i="2"/>
  <c r="B26" i="2"/>
  <c r="A27" i="2"/>
  <c r="B27" i="2"/>
  <c r="A28" i="2"/>
  <c r="B28" i="2"/>
  <c r="A29" i="2"/>
  <c r="B29" i="2"/>
  <c r="A30" i="2"/>
  <c r="B30" i="2"/>
  <c r="A31" i="2"/>
  <c r="B31" i="2"/>
  <c r="A32" i="2"/>
  <c r="B32" i="2"/>
  <c r="A33" i="2"/>
  <c r="B33" i="2"/>
  <c r="A34" i="2"/>
  <c r="B34" i="2"/>
  <c r="A35" i="2"/>
  <c r="B35" i="2"/>
  <c r="A36" i="2"/>
  <c r="B36" i="2"/>
  <c r="B21" i="2"/>
  <c r="A21" i="2"/>
  <c r="B20" i="2"/>
  <c r="A20" i="2"/>
  <c r="B19" i="2"/>
  <c r="A19" i="2"/>
  <c r="B18" i="2"/>
  <c r="A18" i="2"/>
  <c r="B17" i="2"/>
  <c r="A17" i="2"/>
  <c r="B16" i="2"/>
  <c r="A16" i="2"/>
  <c r="C16" i="2" s="1"/>
  <c r="B15" i="2"/>
  <c r="A15" i="2"/>
  <c r="C15" i="2" s="1"/>
  <c r="B14" i="2"/>
  <c r="A14" i="2"/>
  <c r="C14" i="2" s="1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R5" i="2" l="1"/>
  <c r="P5" i="2"/>
  <c r="F38" i="2" a="1"/>
  <c r="F38" i="2" s="1"/>
  <c r="F5" i="1"/>
  <c r="G5" i="1" s="1"/>
  <c r="P8" i="2"/>
  <c r="R8" i="2"/>
  <c r="J39" i="2" a="1"/>
  <c r="J39" i="2" s="1"/>
  <c r="F17" i="1"/>
  <c r="G17" i="1" s="1"/>
  <c r="P9" i="2"/>
  <c r="R9" i="2"/>
  <c r="F21" i="1"/>
  <c r="G21" i="1" s="1"/>
  <c r="P10" i="2"/>
  <c r="R10" i="2"/>
  <c r="J40" i="2" a="1"/>
  <c r="J40" i="2" s="1"/>
  <c r="F25" i="1"/>
  <c r="G25" i="1" s="1"/>
  <c r="R11" i="2"/>
  <c r="F29" i="1"/>
  <c r="G29" i="1" s="1"/>
  <c r="P12" i="2"/>
  <c r="R12" i="2"/>
  <c r="J41" i="2" a="1"/>
  <c r="J41" i="2" s="1"/>
  <c r="F33" i="1"/>
  <c r="G33" i="1" s="1"/>
  <c r="C11" i="2"/>
  <c r="C8" i="2"/>
  <c r="P6" i="2"/>
  <c r="R6" i="2"/>
  <c r="F9" i="1"/>
  <c r="G9" i="1" s="1"/>
  <c r="P7" i="2"/>
  <c r="R7" i="2"/>
  <c r="F39" i="2" a="1"/>
  <c r="F39" i="2" s="1"/>
  <c r="F13" i="1"/>
  <c r="G13" i="1" s="1"/>
  <c r="C7" i="2"/>
  <c r="P18" i="2"/>
  <c r="R18" i="2"/>
  <c r="F57" i="1"/>
  <c r="G57" i="1" s="1"/>
  <c r="O44" i="2"/>
  <c r="P44" i="2" s="1"/>
  <c r="C6" i="2"/>
  <c r="R35" i="2"/>
  <c r="P22" i="2"/>
  <c r="J46" i="2" a="1"/>
  <c r="J46" i="2" s="1"/>
  <c r="AJ9" i="1"/>
  <c r="AI9" i="1" s="1"/>
  <c r="P31" i="2"/>
  <c r="AJ45" i="1"/>
  <c r="AI45" i="1" s="1"/>
  <c r="R19" i="2"/>
  <c r="F61" i="1"/>
  <c r="G61" i="1" s="1"/>
  <c r="F45" i="2" a="1"/>
  <c r="F45" i="2" s="1"/>
  <c r="F65" i="1"/>
  <c r="G65" i="1" s="1"/>
  <c r="R34" i="2"/>
  <c r="R22" i="2"/>
  <c r="R24" i="2"/>
  <c r="R31" i="2"/>
  <c r="J52" i="2" a="1"/>
  <c r="J52" i="2" s="1"/>
  <c r="AJ57" i="1"/>
  <c r="AI57" i="1" s="1"/>
  <c r="AJ17" i="1"/>
  <c r="AI17" i="1" s="1"/>
  <c r="R25" i="2"/>
  <c r="AJ21" i="1"/>
  <c r="AI21" i="1" s="1"/>
  <c r="AJ33" i="1"/>
  <c r="AI33" i="1" s="1"/>
  <c r="AJ25" i="1"/>
  <c r="AI25" i="1" s="1"/>
  <c r="R20" i="2"/>
  <c r="M45" i="2"/>
  <c r="J43" i="2" a="1"/>
  <c r="J43" i="2" s="1"/>
  <c r="K49" i="2"/>
  <c r="AJ29" i="1"/>
  <c r="AI29" i="1" s="1"/>
  <c r="F53" i="2" a="1"/>
  <c r="F53" i="2" s="1"/>
  <c r="R28" i="2"/>
  <c r="R26" i="2"/>
  <c r="R27" i="2"/>
  <c r="R23" i="2"/>
  <c r="AJ13" i="1"/>
  <c r="AI13" i="1" s="1"/>
  <c r="K47" i="2"/>
  <c r="M51" i="2"/>
  <c r="AJ49" i="1"/>
  <c r="AI49" i="1" s="1"/>
  <c r="R21" i="2"/>
  <c r="K52" i="2"/>
  <c r="AJ53" i="1"/>
  <c r="AI53" i="1" s="1"/>
  <c r="K46" i="2"/>
  <c r="AJ5" i="1"/>
  <c r="M53" i="2"/>
  <c r="AJ65" i="1"/>
  <c r="AI65" i="1" s="1"/>
  <c r="M50" i="2"/>
  <c r="AJ41" i="1"/>
  <c r="AI41" i="1" s="1"/>
  <c r="R29" i="2"/>
  <c r="R30" i="2"/>
  <c r="R36" i="2"/>
  <c r="R33" i="2"/>
  <c r="R32" i="2"/>
  <c r="AJ37" i="1"/>
  <c r="AI37" i="1" s="1"/>
  <c r="K50" i="2"/>
  <c r="O43" i="2"/>
  <c r="P43" i="2" s="1"/>
  <c r="A44" i="2"/>
  <c r="F44" i="2" a="1"/>
  <c r="F44" i="2" s="1"/>
  <c r="O42" i="2"/>
  <c r="P42" i="2" s="1"/>
  <c r="F42" i="2" a="1"/>
  <c r="F42" i="2" s="1"/>
  <c r="F43" i="2" a="1"/>
  <c r="F43" i="2" s="1"/>
  <c r="J42" i="2" a="1"/>
  <c r="J42" i="2" s="1"/>
  <c r="B42" i="2"/>
  <c r="C22" i="2"/>
  <c r="C23" i="2"/>
  <c r="C28" i="2"/>
  <c r="C30" i="2"/>
  <c r="C35" i="2"/>
  <c r="C36" i="2"/>
  <c r="C27" i="2"/>
  <c r="C20" i="2"/>
  <c r="C12" i="2"/>
  <c r="C33" i="2"/>
  <c r="C5" i="2"/>
  <c r="C31" i="2"/>
  <c r="C21" i="2"/>
  <c r="C32" i="2"/>
  <c r="B43" i="2"/>
  <c r="C18" i="2"/>
  <c r="A43" i="2"/>
  <c r="C26" i="2"/>
  <c r="C25" i="2"/>
  <c r="C9" i="2"/>
  <c r="C17" i="2"/>
  <c r="E38" i="2"/>
  <c r="F15" i="1"/>
  <c r="F23" i="1" s="1"/>
  <c r="F31" i="1" s="1"/>
  <c r="F39" i="1" s="1"/>
  <c r="F47" i="1" s="1"/>
  <c r="F55" i="1" s="1"/>
  <c r="F63" i="1" s="1"/>
  <c r="AJ7" i="1" s="1"/>
  <c r="AJ15" i="1" s="1"/>
  <c r="AJ23" i="1" s="1"/>
  <c r="AJ31" i="1" s="1"/>
  <c r="AJ39" i="1" s="1"/>
  <c r="AJ47" i="1" s="1"/>
  <c r="AJ55" i="1" s="1"/>
  <c r="AJ63" i="1" s="1"/>
  <c r="I11" i="1" s="1"/>
  <c r="I27" i="1" s="1"/>
  <c r="I43" i="1" s="1"/>
  <c r="I59" i="1" s="1"/>
  <c r="AG11" i="1" s="1"/>
  <c r="AG27" i="1" s="1"/>
  <c r="AG43" i="1" s="1"/>
  <c r="AG59" i="1" s="1"/>
  <c r="L21" i="1" s="1"/>
  <c r="L53" i="1" s="1"/>
  <c r="AD21" i="1" s="1"/>
  <c r="AD53" i="1" s="1"/>
  <c r="O35" i="1" s="1"/>
  <c r="AA35" i="1" s="1"/>
  <c r="T35" i="1" s="1"/>
  <c r="C34" i="2"/>
  <c r="C24" i="2"/>
  <c r="C29" i="2"/>
  <c r="A42" i="2"/>
  <c r="C13" i="2"/>
  <c r="C19" i="2"/>
  <c r="A53" i="2"/>
  <c r="F41" i="2" l="1" a="1"/>
  <c r="F41" i="2" s="1"/>
  <c r="O41" i="2"/>
  <c r="O39" i="2"/>
  <c r="K40" i="2"/>
  <c r="A40" i="2"/>
  <c r="F40" i="2" a="1"/>
  <c r="F40" i="2" s="1"/>
  <c r="O40" i="2"/>
  <c r="O38" i="2"/>
  <c r="J38" i="2" a="1"/>
  <c r="J38" i="2" s="1"/>
  <c r="M41" i="2"/>
  <c r="B41" i="2"/>
  <c r="M44" i="2"/>
  <c r="J44" i="2" a="1"/>
  <c r="J44" i="2" s="1"/>
  <c r="R44" i="2" s="1"/>
  <c r="B44" i="2"/>
  <c r="C44" i="2" s="1"/>
  <c r="K38" i="2"/>
  <c r="A38" i="2"/>
  <c r="M39" i="2"/>
  <c r="B39" i="2"/>
  <c r="M40" i="2"/>
  <c r="B40" i="2"/>
  <c r="K41" i="2"/>
  <c r="A41" i="2"/>
  <c r="M38" i="2"/>
  <c r="B38" i="2"/>
  <c r="K39" i="2"/>
  <c r="A39" i="2"/>
  <c r="K51" i="2"/>
  <c r="A51" i="2"/>
  <c r="F51" i="2" a="1"/>
  <c r="F51" i="2" s="1"/>
  <c r="M46" i="2"/>
  <c r="B46" i="2"/>
  <c r="K45" i="2"/>
  <c r="A45" i="2"/>
  <c r="M52" i="2"/>
  <c r="B52" i="2"/>
  <c r="M47" i="2"/>
  <c r="J47" i="2" a="1"/>
  <c r="J47" i="2" s="1"/>
  <c r="B47" i="2"/>
  <c r="K48" i="2"/>
  <c r="A48" i="2"/>
  <c r="F48" i="2" a="1"/>
  <c r="F48" i="2" s="1"/>
  <c r="AI5" i="1"/>
  <c r="M49" i="2"/>
  <c r="J49" i="2" a="1"/>
  <c r="J49" i="2" s="1"/>
  <c r="B48" i="2"/>
  <c r="J48" i="2" a="1"/>
  <c r="J48" i="2" s="1"/>
  <c r="M48" i="2"/>
  <c r="O48" i="2"/>
  <c r="P48" i="2" s="1"/>
  <c r="B49" i="2"/>
  <c r="J45" i="2" a="1"/>
  <c r="J45" i="2" s="1"/>
  <c r="B45" i="2"/>
  <c r="O45" i="2"/>
  <c r="P45" i="2" s="1"/>
  <c r="O51" i="2"/>
  <c r="P51" i="2" s="1"/>
  <c r="O53" i="2"/>
  <c r="P53" i="2" s="1"/>
  <c r="A46" i="2"/>
  <c r="F46" i="2" a="1"/>
  <c r="F46" i="2" s="1"/>
  <c r="O49" i="2"/>
  <c r="P49" i="2" s="1"/>
  <c r="A49" i="2"/>
  <c r="F49" i="2" a="1"/>
  <c r="F49" i="2" s="1"/>
  <c r="O47" i="2"/>
  <c r="P47" i="2" s="1"/>
  <c r="O52" i="2"/>
  <c r="P52" i="2" s="1"/>
  <c r="O46" i="2"/>
  <c r="P46" i="2" s="1"/>
  <c r="F47" i="2" a="1"/>
  <c r="F47" i="2" s="1"/>
  <c r="A47" i="2"/>
  <c r="B51" i="2"/>
  <c r="J51" i="2" a="1"/>
  <c r="J51" i="2" s="1"/>
  <c r="A52" i="2"/>
  <c r="F52" i="2" a="1"/>
  <c r="F52" i="2" s="1"/>
  <c r="B53" i="2"/>
  <c r="J53" i="2" a="1"/>
  <c r="J53" i="2" s="1"/>
  <c r="O50" i="2"/>
  <c r="P50" i="2" s="1"/>
  <c r="J50" i="2" a="1"/>
  <c r="J50" i="2" s="1"/>
  <c r="B50" i="2"/>
  <c r="F50" i="2" a="1"/>
  <c r="F50" i="2" s="1"/>
  <c r="A50" i="2"/>
  <c r="R42" i="2"/>
  <c r="R43" i="2"/>
  <c r="I55" i="1"/>
  <c r="J55" i="1" s="1"/>
  <c r="K58" i="2"/>
  <c r="K57" i="2"/>
  <c r="I39" i="1"/>
  <c r="J39" i="1" s="1"/>
  <c r="C43" i="2"/>
  <c r="M57" i="2"/>
  <c r="I47" i="1"/>
  <c r="J47" i="1" s="1"/>
  <c r="C42" i="2"/>
  <c r="C10" i="2"/>
  <c r="P41" i="2" l="1"/>
  <c r="R41" i="2"/>
  <c r="B56" i="2"/>
  <c r="I31" i="1"/>
  <c r="J31" i="1" s="1"/>
  <c r="C41" i="2"/>
  <c r="C40" i="2"/>
  <c r="P39" i="2"/>
  <c r="R39" i="2"/>
  <c r="I15" i="1"/>
  <c r="J15" i="1" s="1"/>
  <c r="P40" i="2"/>
  <c r="R40" i="2"/>
  <c r="I23" i="1"/>
  <c r="J23" i="1" s="1"/>
  <c r="P38" i="2"/>
  <c r="R38" i="2"/>
  <c r="I7" i="1"/>
  <c r="J7" i="1" s="1"/>
  <c r="C38" i="2"/>
  <c r="C39" i="2"/>
  <c r="R48" i="2"/>
  <c r="C48" i="2"/>
  <c r="AG23" i="1"/>
  <c r="AF23" i="1" s="1"/>
  <c r="C45" i="2"/>
  <c r="M58" i="2"/>
  <c r="R45" i="2"/>
  <c r="I63" i="1"/>
  <c r="J63" i="1" s="1"/>
  <c r="C51" i="2"/>
  <c r="R51" i="2"/>
  <c r="C53" i="2"/>
  <c r="R53" i="2"/>
  <c r="R49" i="2"/>
  <c r="AG47" i="1"/>
  <c r="AF47" i="1" s="1"/>
  <c r="M61" i="2"/>
  <c r="M62" i="2"/>
  <c r="AG63" i="1"/>
  <c r="AF63" i="1" s="1"/>
  <c r="AG31" i="1"/>
  <c r="AF31" i="1" s="1"/>
  <c r="M60" i="2"/>
  <c r="C49" i="2"/>
  <c r="R47" i="2"/>
  <c r="C47" i="2"/>
  <c r="C52" i="2"/>
  <c r="R52" i="2"/>
  <c r="M59" i="2"/>
  <c r="AG15" i="1"/>
  <c r="AF15" i="1" s="1"/>
  <c r="K62" i="2"/>
  <c r="AG55" i="1"/>
  <c r="AF55" i="1" s="1"/>
  <c r="R46" i="2"/>
  <c r="C46" i="2"/>
  <c r="K59" i="2"/>
  <c r="AG7" i="1"/>
  <c r="AF7" i="1" s="1"/>
  <c r="R50" i="2"/>
  <c r="K61" i="2"/>
  <c r="AG39" i="1"/>
  <c r="AF39" i="1" s="1"/>
  <c r="C50" i="2"/>
  <c r="A58" i="2"/>
  <c r="F58" i="2" a="1"/>
  <c r="F58" i="2" s="1"/>
  <c r="O57" i="2"/>
  <c r="P57" i="2" s="1"/>
  <c r="A57" i="2"/>
  <c r="F57" i="2" a="1"/>
  <c r="F57" i="2" s="1"/>
  <c r="B57" i="2"/>
  <c r="J57" i="2" a="1"/>
  <c r="J57" i="2" s="1"/>
  <c r="O56" i="2" l="1"/>
  <c r="M56" i="2"/>
  <c r="J56" i="2" a="1"/>
  <c r="J56" i="2" s="1"/>
  <c r="M55" i="2"/>
  <c r="B55" i="2"/>
  <c r="J55" i="2" a="1"/>
  <c r="J55" i="2" s="1"/>
  <c r="K56" i="2"/>
  <c r="A56" i="2"/>
  <c r="F56" i="2" a="1"/>
  <c r="F56" i="2" s="1"/>
  <c r="K55" i="2"/>
  <c r="F55" i="2" a="1"/>
  <c r="F55" i="2" s="1"/>
  <c r="A55" i="2"/>
  <c r="O55" i="2"/>
  <c r="K60" i="2"/>
  <c r="A60" i="2"/>
  <c r="F60" i="2" a="1"/>
  <c r="F60" i="2" s="1"/>
  <c r="J58" i="2" a="1"/>
  <c r="J58" i="2" s="1"/>
  <c r="B58" i="2"/>
  <c r="O58" i="2"/>
  <c r="P58" i="2" s="1"/>
  <c r="J61" i="2" a="1"/>
  <c r="J61" i="2" s="1"/>
  <c r="B61" i="2"/>
  <c r="O62" i="2"/>
  <c r="P62" i="2" s="1"/>
  <c r="J62" i="2" a="1"/>
  <c r="J62" i="2" s="1"/>
  <c r="B62" i="2"/>
  <c r="O60" i="2"/>
  <c r="P60" i="2" s="1"/>
  <c r="B60" i="2"/>
  <c r="J60" i="2" a="1"/>
  <c r="J60" i="2" s="1"/>
  <c r="O59" i="2"/>
  <c r="P59" i="2" s="1"/>
  <c r="J59" i="2" a="1"/>
  <c r="J59" i="2" s="1"/>
  <c r="B59" i="2"/>
  <c r="F62" i="2" a="1"/>
  <c r="F62" i="2" s="1"/>
  <c r="A62" i="2"/>
  <c r="A59" i="2"/>
  <c r="F59" i="2" a="1"/>
  <c r="F59" i="2" s="1"/>
  <c r="F61" i="2" a="1"/>
  <c r="F61" i="2" s="1"/>
  <c r="A61" i="2"/>
  <c r="O61" i="2"/>
  <c r="P61" i="2" s="1"/>
  <c r="R57" i="2"/>
  <c r="C57" i="2"/>
  <c r="K65" i="2"/>
  <c r="L43" i="1"/>
  <c r="M43" i="1" s="1"/>
  <c r="C56" i="2" l="1"/>
  <c r="P56" i="2"/>
  <c r="L27" i="1"/>
  <c r="M27" i="1" s="1"/>
  <c r="R56" i="2"/>
  <c r="R55" i="2"/>
  <c r="C55" i="2"/>
  <c r="P55" i="2"/>
  <c r="L11" i="1"/>
  <c r="M11" i="1" s="1"/>
  <c r="C60" i="2"/>
  <c r="R58" i="2"/>
  <c r="C58" i="2"/>
  <c r="M65" i="2"/>
  <c r="L59" i="1"/>
  <c r="M59" i="1" s="1"/>
  <c r="R60" i="2"/>
  <c r="M67" i="2"/>
  <c r="AD59" i="1"/>
  <c r="AC59" i="1" s="1"/>
  <c r="R62" i="2"/>
  <c r="C62" i="2"/>
  <c r="AD27" i="1"/>
  <c r="AC27" i="1" s="1"/>
  <c r="M66" i="2"/>
  <c r="C59" i="2"/>
  <c r="AD11" i="1"/>
  <c r="AC11" i="1" s="1"/>
  <c r="K66" i="2"/>
  <c r="R59" i="2"/>
  <c r="R61" i="2"/>
  <c r="K67" i="2"/>
  <c r="C61" i="2"/>
  <c r="AD43" i="1"/>
  <c r="AC43" i="1" s="1"/>
  <c r="A65" i="2"/>
  <c r="F65" i="2" a="1"/>
  <c r="F65" i="2" s="1"/>
  <c r="O64" i="2" l="1"/>
  <c r="O19" i="1" s="1"/>
  <c r="P19" i="1" s="1"/>
  <c r="M64" i="2"/>
  <c r="B64" i="2"/>
  <c r="J64" i="2" a="1"/>
  <c r="J64" i="2" s="1"/>
  <c r="K64" i="2"/>
  <c r="A64" i="2"/>
  <c r="F64" i="2" a="1"/>
  <c r="F64" i="2" s="1"/>
  <c r="O65" i="2"/>
  <c r="P65" i="2" s="1"/>
  <c r="B65" i="2"/>
  <c r="J65" i="2" a="1"/>
  <c r="J65" i="2" s="1"/>
  <c r="B67" i="2"/>
  <c r="J67" i="2" a="1"/>
  <c r="J67" i="2" s="1"/>
  <c r="J66" i="2" a="1"/>
  <c r="J66" i="2" s="1"/>
  <c r="B66" i="2"/>
  <c r="A66" i="2"/>
  <c r="O66" i="2"/>
  <c r="P66" i="2" s="1"/>
  <c r="F66" i="2" a="1"/>
  <c r="F66" i="2" s="1"/>
  <c r="O67" i="2"/>
  <c r="P67" i="2" s="1"/>
  <c r="A67" i="2"/>
  <c r="F67" i="2" a="1"/>
  <c r="F67" i="2" s="1"/>
  <c r="C64" i="2" l="1"/>
  <c r="R64" i="2"/>
  <c r="P64" i="2"/>
  <c r="R65" i="2"/>
  <c r="C65" i="2"/>
  <c r="O51" i="1"/>
  <c r="P51" i="1" s="1"/>
  <c r="R67" i="2"/>
  <c r="K70" i="2"/>
  <c r="C66" i="2"/>
  <c r="R66" i="2"/>
  <c r="AA19" i="1"/>
  <c r="Z19" i="1" s="1"/>
  <c r="M70" i="2"/>
  <c r="AA51" i="1"/>
  <c r="Z51" i="1" s="1"/>
  <c r="C67" i="2"/>
  <c r="K69" i="2" l="1"/>
  <c r="A69" i="2"/>
  <c r="F69" i="2" a="1"/>
  <c r="F69" i="2" s="1"/>
  <c r="M69" i="2"/>
  <c r="O69" i="2"/>
  <c r="P69" i="2" s="1"/>
  <c r="J69" i="2" a="1"/>
  <c r="J69" i="2" s="1"/>
  <c r="B69" i="2"/>
  <c r="O70" i="2"/>
  <c r="P70" i="2" s="1"/>
  <c r="A70" i="2"/>
  <c r="F70" i="2" a="1"/>
  <c r="F70" i="2" s="1"/>
  <c r="B70" i="2"/>
  <c r="J70" i="2" a="1"/>
  <c r="J70" i="2" s="1"/>
  <c r="R69" i="2" l="1"/>
  <c r="C69" i="2"/>
  <c r="F72" i="2" a="1"/>
  <c r="F72" i="2" s="1"/>
  <c r="R27" i="1"/>
  <c r="U27" i="1" s="1"/>
  <c r="V39" i="1"/>
  <c r="U39" i="1" s="1"/>
  <c r="M72" i="2"/>
  <c r="R70" i="2"/>
  <c r="C70" i="2"/>
  <c r="K72" i="2" l="1"/>
  <c r="A72" i="2"/>
  <c r="O72" i="2"/>
  <c r="P72" i="2" s="1"/>
  <c r="B72" i="2"/>
  <c r="J72" i="2" a="1"/>
  <c r="J72" i="2" s="1"/>
  <c r="S32" i="1" l="1"/>
  <c r="T11" i="1" s="1"/>
  <c r="R72" i="2"/>
  <c r="C7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Vertex42</author>
  </authors>
  <commentList>
    <comment ref="B5" authorId="0" shapeId="0" xr:uid="{00000000-0006-0000-0000-000001000000}">
      <text>
        <r>
          <rPr>
            <sz val="8"/>
            <color indexed="81"/>
            <rFont val="Tahoma"/>
            <family val="2"/>
          </rPr>
          <t>Seed</t>
        </r>
      </text>
    </comment>
    <comment ref="E5" authorId="0" shapeId="0" xr:uid="{00000000-0006-0000-0000-000002000000}">
      <text>
        <r>
          <rPr>
            <sz val="8"/>
            <color indexed="81"/>
            <rFont val="Tahoma"/>
            <family val="2"/>
          </rPr>
          <t>Score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7494C0-9F49-4719-B5DB-E09A011A54C6}" keepAlive="1" name="Query - East Regional – Prudential Center, Newark, NJ (2)" description="Connection to the 'East Regional – Prudential Center, Newark, NJ (2)' query in the workbook." type="5" refreshedVersion="8" background="1" saveData="1">
    <dbPr connection="Provider=Microsoft.Mashup.OleDb.1;Data Source=$Workbook$;Location=East Regional – Prudential Center, Newark, NJ (2);Extended Properties=" command="SELECT * FROM [East Regional – Prudential Center, Newark, NJ (2)]"/>
  </connection>
  <connection id="2" xr16:uid="{B52CCE2E-C91D-40A7-9F2C-0D79F8E45359}" keepAlive="1" name="Query - Midwest Regional – Lucas Oil Stadium, Indianapolis, IN" description="Connection to the 'Midwest Regional – Lucas Oil Stadium, Indianapolis, IN' query in the workbook." type="5" refreshedVersion="8" background="1" saveData="1">
    <dbPr connection="Provider=Microsoft.Mashup.OleDb.1;Data Source=$Workbook$;Location=Midwest Regional – Lucas Oil Stadium, Indianapolis, IN;Extended Properties=" command="SELECT * FROM [Midwest Regional – Lucas Oil Stadium, Indianapolis, IN]"/>
  </connection>
  <connection id="3" xr16:uid="{B54411D0-A1C6-4718-A30B-41ED44CEAA00}" keepAlive="1" name="Query - South Regional – State Farm Arena, Atlanta, GA" description="Connection to the 'South Regional – State Farm Arena, Atlanta, GA' query in the workbook." type="5" refreshedVersion="8" background="1" saveData="1">
    <dbPr connection="Provider=Microsoft.Mashup.OleDb.1;Data Source=$Workbook$;Location=South Regional – State Farm Arena, Atlanta, GA;Extended Properties=" command="SELECT * FROM [South Regional – State Farm Arena, Atlanta, GA]"/>
  </connection>
  <connection id="4" xr16:uid="{02368E50-FE44-4401-BC3A-1A40E8B43283}" keepAlive="1" name="Query - Team_Links" description="Connection to the 'Team_Links' query in the workbook." type="5" refreshedVersion="8" background="1" saveData="1">
    <dbPr connection="Provider=Microsoft.Mashup.OleDb.1;Data Source=$Workbook$;Location=Team_Links;Extended Properties=&quot;&quot;" command="SELECT * FROM [Team_Links]"/>
  </connection>
  <connection id="5" xr16:uid="{778BB94E-97AF-46EA-9648-F0A0B96FA634}" keepAlive="1" name="Query - West Regional – Chase Center, San Francisco, CA" description="Connection to the 'West Regional – Chase Center, San Francisco, CA' query in the workbook." type="5" refreshedVersion="8" background="1" saveData="1">
    <dbPr connection="Provider=Microsoft.Mashup.OleDb.1;Data Source=$Workbook$;Location=West Regional – Chase Center, San Francisco, CA;Extended Properties=" command="SELECT * FROM [West Regional – Chase Center, San Francisco, CA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28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  <bk>
      <extLst>
        <ext uri="{3e2802c4-a4d2-4d8b-9148-e3be6c30e623}">
          <xlrd:rvb i="9"/>
        </ext>
      </extLst>
    </bk>
    <bk>
      <extLst>
        <ext uri="{3e2802c4-a4d2-4d8b-9148-e3be6c30e623}">
          <xlrd:rvb i="10"/>
        </ext>
      </extLst>
    </bk>
    <bk>
      <extLst>
        <ext uri="{3e2802c4-a4d2-4d8b-9148-e3be6c30e623}">
          <xlrd:rvb i="11"/>
        </ext>
      </extLst>
    </bk>
    <bk>
      <extLst>
        <ext uri="{3e2802c4-a4d2-4d8b-9148-e3be6c30e623}">
          <xlrd:rvb i="12"/>
        </ext>
      </extLst>
    </bk>
    <bk>
      <extLst>
        <ext uri="{3e2802c4-a4d2-4d8b-9148-e3be6c30e623}">
          <xlrd:rvb i="13"/>
        </ext>
      </extLst>
    </bk>
    <bk>
      <extLst>
        <ext uri="{3e2802c4-a4d2-4d8b-9148-e3be6c30e623}">
          <xlrd:rvb i="14"/>
        </ext>
      </extLst>
    </bk>
    <bk>
      <extLst>
        <ext uri="{3e2802c4-a4d2-4d8b-9148-e3be6c30e623}">
          <xlrd:rvb i="15"/>
        </ext>
      </extLst>
    </bk>
    <bk>
      <extLst>
        <ext uri="{3e2802c4-a4d2-4d8b-9148-e3be6c30e623}">
          <xlrd:rvb i="16"/>
        </ext>
      </extLst>
    </bk>
    <bk>
      <extLst>
        <ext uri="{3e2802c4-a4d2-4d8b-9148-e3be6c30e623}">
          <xlrd:rvb i="17"/>
        </ext>
      </extLst>
    </bk>
    <bk>
      <extLst>
        <ext uri="{3e2802c4-a4d2-4d8b-9148-e3be6c30e623}">
          <xlrd:rvb i="18"/>
        </ext>
      </extLst>
    </bk>
    <bk>
      <extLst>
        <ext uri="{3e2802c4-a4d2-4d8b-9148-e3be6c30e623}">
          <xlrd:rvb i="19"/>
        </ext>
      </extLst>
    </bk>
    <bk>
      <extLst>
        <ext uri="{3e2802c4-a4d2-4d8b-9148-e3be6c30e623}">
          <xlrd:rvb i="20"/>
        </ext>
      </extLst>
    </bk>
    <bk>
      <extLst>
        <ext uri="{3e2802c4-a4d2-4d8b-9148-e3be6c30e623}">
          <xlrd:rvb i="21"/>
        </ext>
      </extLst>
    </bk>
    <bk>
      <extLst>
        <ext uri="{3e2802c4-a4d2-4d8b-9148-e3be6c30e623}">
          <xlrd:rvb i="22"/>
        </ext>
      </extLst>
    </bk>
    <bk>
      <extLst>
        <ext uri="{3e2802c4-a4d2-4d8b-9148-e3be6c30e623}">
          <xlrd:rvb i="23"/>
        </ext>
      </extLst>
    </bk>
    <bk>
      <extLst>
        <ext uri="{3e2802c4-a4d2-4d8b-9148-e3be6c30e623}">
          <xlrd:rvb i="24"/>
        </ext>
      </extLst>
    </bk>
    <bk>
      <extLst>
        <ext uri="{3e2802c4-a4d2-4d8b-9148-e3be6c30e623}">
          <xlrd:rvb i="25"/>
        </ext>
      </extLst>
    </bk>
    <bk>
      <extLst>
        <ext uri="{3e2802c4-a4d2-4d8b-9148-e3be6c30e623}">
          <xlrd:rvb i="26"/>
        </ext>
      </extLst>
    </bk>
    <bk>
      <extLst>
        <ext uri="{3e2802c4-a4d2-4d8b-9148-e3be6c30e623}">
          <xlrd:rvb i="27"/>
        </ext>
      </extLst>
    </bk>
    <bk>
      <extLst>
        <ext uri="{3e2802c4-a4d2-4d8b-9148-e3be6c30e623}">
          <xlrd:rvb i="28"/>
        </ext>
      </extLst>
    </bk>
    <bk>
      <extLst>
        <ext uri="{3e2802c4-a4d2-4d8b-9148-e3be6c30e623}">
          <xlrd:rvb i="29"/>
        </ext>
      </extLst>
    </bk>
    <bk>
      <extLst>
        <ext uri="{3e2802c4-a4d2-4d8b-9148-e3be6c30e623}">
          <xlrd:rvb i="30"/>
        </ext>
      </extLst>
    </bk>
    <bk>
      <extLst>
        <ext uri="{3e2802c4-a4d2-4d8b-9148-e3be6c30e623}">
          <xlrd:rvb i="31"/>
        </ext>
      </extLst>
    </bk>
    <bk>
      <extLst>
        <ext uri="{3e2802c4-a4d2-4d8b-9148-e3be6c30e623}">
          <xlrd:rvb i="32"/>
        </ext>
      </extLst>
    </bk>
    <bk>
      <extLst>
        <ext uri="{3e2802c4-a4d2-4d8b-9148-e3be6c30e623}">
          <xlrd:rvb i="33"/>
        </ext>
      </extLst>
    </bk>
    <bk>
      <extLst>
        <ext uri="{3e2802c4-a4d2-4d8b-9148-e3be6c30e623}">
          <xlrd:rvb i="34"/>
        </ext>
      </extLst>
    </bk>
    <bk>
      <extLst>
        <ext uri="{3e2802c4-a4d2-4d8b-9148-e3be6c30e623}">
          <xlrd:rvb i="35"/>
        </ext>
      </extLst>
    </bk>
    <bk>
      <extLst>
        <ext uri="{3e2802c4-a4d2-4d8b-9148-e3be6c30e623}">
          <xlrd:rvb i="36"/>
        </ext>
      </extLst>
    </bk>
    <bk>
      <extLst>
        <ext uri="{3e2802c4-a4d2-4d8b-9148-e3be6c30e623}">
          <xlrd:rvb i="37"/>
        </ext>
      </extLst>
    </bk>
    <bk>
      <extLst>
        <ext uri="{3e2802c4-a4d2-4d8b-9148-e3be6c30e623}">
          <xlrd:rvb i="38"/>
        </ext>
      </extLst>
    </bk>
    <bk>
      <extLst>
        <ext uri="{3e2802c4-a4d2-4d8b-9148-e3be6c30e623}">
          <xlrd:rvb i="39"/>
        </ext>
      </extLst>
    </bk>
    <bk>
      <extLst>
        <ext uri="{3e2802c4-a4d2-4d8b-9148-e3be6c30e623}">
          <xlrd:rvb i="40"/>
        </ext>
      </extLst>
    </bk>
    <bk>
      <extLst>
        <ext uri="{3e2802c4-a4d2-4d8b-9148-e3be6c30e623}">
          <xlrd:rvb i="41"/>
        </ext>
      </extLst>
    </bk>
    <bk>
      <extLst>
        <ext uri="{3e2802c4-a4d2-4d8b-9148-e3be6c30e623}">
          <xlrd:rvb i="42"/>
        </ext>
      </extLst>
    </bk>
    <bk>
      <extLst>
        <ext uri="{3e2802c4-a4d2-4d8b-9148-e3be6c30e623}">
          <xlrd:rvb i="43"/>
        </ext>
      </extLst>
    </bk>
    <bk>
      <extLst>
        <ext uri="{3e2802c4-a4d2-4d8b-9148-e3be6c30e623}">
          <xlrd:rvb i="44"/>
        </ext>
      </extLst>
    </bk>
    <bk>
      <extLst>
        <ext uri="{3e2802c4-a4d2-4d8b-9148-e3be6c30e623}">
          <xlrd:rvb i="45"/>
        </ext>
      </extLst>
    </bk>
    <bk>
      <extLst>
        <ext uri="{3e2802c4-a4d2-4d8b-9148-e3be6c30e623}">
          <xlrd:rvb i="46"/>
        </ext>
      </extLst>
    </bk>
    <bk>
      <extLst>
        <ext uri="{3e2802c4-a4d2-4d8b-9148-e3be6c30e623}">
          <xlrd:rvb i="47"/>
        </ext>
      </extLst>
    </bk>
    <bk>
      <extLst>
        <ext uri="{3e2802c4-a4d2-4d8b-9148-e3be6c30e623}">
          <xlrd:rvb i="48"/>
        </ext>
      </extLst>
    </bk>
    <bk>
      <extLst>
        <ext uri="{3e2802c4-a4d2-4d8b-9148-e3be6c30e623}">
          <xlrd:rvb i="49"/>
        </ext>
      </extLst>
    </bk>
    <bk>
      <extLst>
        <ext uri="{3e2802c4-a4d2-4d8b-9148-e3be6c30e623}">
          <xlrd:rvb i="50"/>
        </ext>
      </extLst>
    </bk>
    <bk>
      <extLst>
        <ext uri="{3e2802c4-a4d2-4d8b-9148-e3be6c30e623}">
          <xlrd:rvb i="51"/>
        </ext>
      </extLst>
    </bk>
    <bk>
      <extLst>
        <ext uri="{3e2802c4-a4d2-4d8b-9148-e3be6c30e623}">
          <xlrd:rvb i="52"/>
        </ext>
      </extLst>
    </bk>
    <bk>
      <extLst>
        <ext uri="{3e2802c4-a4d2-4d8b-9148-e3be6c30e623}">
          <xlrd:rvb i="53"/>
        </ext>
      </extLst>
    </bk>
    <bk>
      <extLst>
        <ext uri="{3e2802c4-a4d2-4d8b-9148-e3be6c30e623}">
          <xlrd:rvb i="54"/>
        </ext>
      </extLst>
    </bk>
    <bk>
      <extLst>
        <ext uri="{3e2802c4-a4d2-4d8b-9148-e3be6c30e623}">
          <xlrd:rvb i="55"/>
        </ext>
      </extLst>
    </bk>
    <bk>
      <extLst>
        <ext uri="{3e2802c4-a4d2-4d8b-9148-e3be6c30e623}">
          <xlrd:rvb i="56"/>
        </ext>
      </extLst>
    </bk>
    <bk>
      <extLst>
        <ext uri="{3e2802c4-a4d2-4d8b-9148-e3be6c30e623}">
          <xlrd:rvb i="57"/>
        </ext>
      </extLst>
    </bk>
    <bk>
      <extLst>
        <ext uri="{3e2802c4-a4d2-4d8b-9148-e3be6c30e623}">
          <xlrd:rvb i="58"/>
        </ext>
      </extLst>
    </bk>
    <bk>
      <extLst>
        <ext uri="{3e2802c4-a4d2-4d8b-9148-e3be6c30e623}">
          <xlrd:rvb i="59"/>
        </ext>
      </extLst>
    </bk>
    <bk>
      <extLst>
        <ext uri="{3e2802c4-a4d2-4d8b-9148-e3be6c30e623}">
          <xlrd:rvb i="60"/>
        </ext>
      </extLst>
    </bk>
    <bk>
      <extLst>
        <ext uri="{3e2802c4-a4d2-4d8b-9148-e3be6c30e623}">
          <xlrd:rvb i="61"/>
        </ext>
      </extLst>
    </bk>
    <bk>
      <extLst>
        <ext uri="{3e2802c4-a4d2-4d8b-9148-e3be6c30e623}">
          <xlrd:rvb i="62"/>
        </ext>
      </extLst>
    </bk>
    <bk>
      <extLst>
        <ext uri="{3e2802c4-a4d2-4d8b-9148-e3be6c30e623}">
          <xlrd:rvb i="63"/>
        </ext>
      </extLst>
    </bk>
    <bk>
      <extLst>
        <ext uri="{3e2802c4-a4d2-4d8b-9148-e3be6c30e623}">
          <xlrd:rvb i="64"/>
        </ext>
      </extLst>
    </bk>
    <bk>
      <extLst>
        <ext uri="{3e2802c4-a4d2-4d8b-9148-e3be6c30e623}">
          <xlrd:rvb i="65"/>
        </ext>
      </extLst>
    </bk>
    <bk>
      <extLst>
        <ext uri="{3e2802c4-a4d2-4d8b-9148-e3be6c30e623}">
          <xlrd:rvb i="66"/>
        </ext>
      </extLst>
    </bk>
    <bk>
      <extLst>
        <ext uri="{3e2802c4-a4d2-4d8b-9148-e3be6c30e623}">
          <xlrd:rvb i="67"/>
        </ext>
      </extLst>
    </bk>
    <bk>
      <extLst>
        <ext uri="{3e2802c4-a4d2-4d8b-9148-e3be6c30e623}">
          <xlrd:rvb i="68"/>
        </ext>
      </extLst>
    </bk>
    <bk>
      <extLst>
        <ext uri="{3e2802c4-a4d2-4d8b-9148-e3be6c30e623}">
          <xlrd:rvb i="69"/>
        </ext>
      </extLst>
    </bk>
    <bk>
      <extLst>
        <ext uri="{3e2802c4-a4d2-4d8b-9148-e3be6c30e623}">
          <xlrd:rvb i="70"/>
        </ext>
      </extLst>
    </bk>
    <bk>
      <extLst>
        <ext uri="{3e2802c4-a4d2-4d8b-9148-e3be6c30e623}">
          <xlrd:rvb i="71"/>
        </ext>
      </extLst>
    </bk>
    <bk>
      <extLst>
        <ext uri="{3e2802c4-a4d2-4d8b-9148-e3be6c30e623}">
          <xlrd:rvb i="72"/>
        </ext>
      </extLst>
    </bk>
    <bk>
      <extLst>
        <ext uri="{3e2802c4-a4d2-4d8b-9148-e3be6c30e623}">
          <xlrd:rvb i="73"/>
        </ext>
      </extLst>
    </bk>
    <bk>
      <extLst>
        <ext uri="{3e2802c4-a4d2-4d8b-9148-e3be6c30e623}">
          <xlrd:rvb i="74"/>
        </ext>
      </extLst>
    </bk>
    <bk>
      <extLst>
        <ext uri="{3e2802c4-a4d2-4d8b-9148-e3be6c30e623}">
          <xlrd:rvb i="75"/>
        </ext>
      </extLst>
    </bk>
    <bk>
      <extLst>
        <ext uri="{3e2802c4-a4d2-4d8b-9148-e3be6c30e623}">
          <xlrd:rvb i="76"/>
        </ext>
      </extLst>
    </bk>
    <bk>
      <extLst>
        <ext uri="{3e2802c4-a4d2-4d8b-9148-e3be6c30e623}">
          <xlrd:rvb i="77"/>
        </ext>
      </extLst>
    </bk>
    <bk>
      <extLst>
        <ext uri="{3e2802c4-a4d2-4d8b-9148-e3be6c30e623}">
          <xlrd:rvb i="78"/>
        </ext>
      </extLst>
    </bk>
    <bk>
      <extLst>
        <ext uri="{3e2802c4-a4d2-4d8b-9148-e3be6c30e623}">
          <xlrd:rvb i="79"/>
        </ext>
      </extLst>
    </bk>
    <bk>
      <extLst>
        <ext uri="{3e2802c4-a4d2-4d8b-9148-e3be6c30e623}">
          <xlrd:rvb i="80"/>
        </ext>
      </extLst>
    </bk>
    <bk>
      <extLst>
        <ext uri="{3e2802c4-a4d2-4d8b-9148-e3be6c30e623}">
          <xlrd:rvb i="81"/>
        </ext>
      </extLst>
    </bk>
    <bk>
      <extLst>
        <ext uri="{3e2802c4-a4d2-4d8b-9148-e3be6c30e623}">
          <xlrd:rvb i="82"/>
        </ext>
      </extLst>
    </bk>
    <bk>
      <extLst>
        <ext uri="{3e2802c4-a4d2-4d8b-9148-e3be6c30e623}">
          <xlrd:rvb i="83"/>
        </ext>
      </extLst>
    </bk>
    <bk>
      <extLst>
        <ext uri="{3e2802c4-a4d2-4d8b-9148-e3be6c30e623}">
          <xlrd:rvb i="84"/>
        </ext>
      </extLst>
    </bk>
    <bk>
      <extLst>
        <ext uri="{3e2802c4-a4d2-4d8b-9148-e3be6c30e623}">
          <xlrd:rvb i="85"/>
        </ext>
      </extLst>
    </bk>
    <bk>
      <extLst>
        <ext uri="{3e2802c4-a4d2-4d8b-9148-e3be6c30e623}">
          <xlrd:rvb i="86"/>
        </ext>
      </extLst>
    </bk>
    <bk>
      <extLst>
        <ext uri="{3e2802c4-a4d2-4d8b-9148-e3be6c30e623}">
          <xlrd:rvb i="87"/>
        </ext>
      </extLst>
    </bk>
    <bk>
      <extLst>
        <ext uri="{3e2802c4-a4d2-4d8b-9148-e3be6c30e623}">
          <xlrd:rvb i="88"/>
        </ext>
      </extLst>
    </bk>
    <bk>
      <extLst>
        <ext uri="{3e2802c4-a4d2-4d8b-9148-e3be6c30e623}">
          <xlrd:rvb i="89"/>
        </ext>
      </extLst>
    </bk>
    <bk>
      <extLst>
        <ext uri="{3e2802c4-a4d2-4d8b-9148-e3be6c30e623}">
          <xlrd:rvb i="90"/>
        </ext>
      </extLst>
    </bk>
    <bk>
      <extLst>
        <ext uri="{3e2802c4-a4d2-4d8b-9148-e3be6c30e623}">
          <xlrd:rvb i="91"/>
        </ext>
      </extLst>
    </bk>
    <bk>
      <extLst>
        <ext uri="{3e2802c4-a4d2-4d8b-9148-e3be6c30e623}">
          <xlrd:rvb i="92"/>
        </ext>
      </extLst>
    </bk>
    <bk>
      <extLst>
        <ext uri="{3e2802c4-a4d2-4d8b-9148-e3be6c30e623}">
          <xlrd:rvb i="93"/>
        </ext>
      </extLst>
    </bk>
    <bk>
      <extLst>
        <ext uri="{3e2802c4-a4d2-4d8b-9148-e3be6c30e623}">
          <xlrd:rvb i="94"/>
        </ext>
      </extLst>
    </bk>
    <bk>
      <extLst>
        <ext uri="{3e2802c4-a4d2-4d8b-9148-e3be6c30e623}">
          <xlrd:rvb i="95"/>
        </ext>
      </extLst>
    </bk>
    <bk>
      <extLst>
        <ext uri="{3e2802c4-a4d2-4d8b-9148-e3be6c30e623}">
          <xlrd:rvb i="96"/>
        </ext>
      </extLst>
    </bk>
    <bk>
      <extLst>
        <ext uri="{3e2802c4-a4d2-4d8b-9148-e3be6c30e623}">
          <xlrd:rvb i="97"/>
        </ext>
      </extLst>
    </bk>
    <bk>
      <extLst>
        <ext uri="{3e2802c4-a4d2-4d8b-9148-e3be6c30e623}">
          <xlrd:rvb i="98"/>
        </ext>
      </extLst>
    </bk>
    <bk>
      <extLst>
        <ext uri="{3e2802c4-a4d2-4d8b-9148-e3be6c30e623}">
          <xlrd:rvb i="99"/>
        </ext>
      </extLst>
    </bk>
    <bk>
      <extLst>
        <ext uri="{3e2802c4-a4d2-4d8b-9148-e3be6c30e623}">
          <xlrd:rvb i="100"/>
        </ext>
      </extLst>
    </bk>
    <bk>
      <extLst>
        <ext uri="{3e2802c4-a4d2-4d8b-9148-e3be6c30e623}">
          <xlrd:rvb i="101"/>
        </ext>
      </extLst>
    </bk>
    <bk>
      <extLst>
        <ext uri="{3e2802c4-a4d2-4d8b-9148-e3be6c30e623}">
          <xlrd:rvb i="102"/>
        </ext>
      </extLst>
    </bk>
    <bk>
      <extLst>
        <ext uri="{3e2802c4-a4d2-4d8b-9148-e3be6c30e623}">
          <xlrd:rvb i="103"/>
        </ext>
      </extLst>
    </bk>
    <bk>
      <extLst>
        <ext uri="{3e2802c4-a4d2-4d8b-9148-e3be6c30e623}">
          <xlrd:rvb i="104"/>
        </ext>
      </extLst>
    </bk>
    <bk>
      <extLst>
        <ext uri="{3e2802c4-a4d2-4d8b-9148-e3be6c30e623}">
          <xlrd:rvb i="105"/>
        </ext>
      </extLst>
    </bk>
    <bk>
      <extLst>
        <ext uri="{3e2802c4-a4d2-4d8b-9148-e3be6c30e623}">
          <xlrd:rvb i="106"/>
        </ext>
      </extLst>
    </bk>
    <bk>
      <extLst>
        <ext uri="{3e2802c4-a4d2-4d8b-9148-e3be6c30e623}">
          <xlrd:rvb i="107"/>
        </ext>
      </extLst>
    </bk>
    <bk>
      <extLst>
        <ext uri="{3e2802c4-a4d2-4d8b-9148-e3be6c30e623}">
          <xlrd:rvb i="108"/>
        </ext>
      </extLst>
    </bk>
    <bk>
      <extLst>
        <ext uri="{3e2802c4-a4d2-4d8b-9148-e3be6c30e623}">
          <xlrd:rvb i="109"/>
        </ext>
      </extLst>
    </bk>
    <bk>
      <extLst>
        <ext uri="{3e2802c4-a4d2-4d8b-9148-e3be6c30e623}">
          <xlrd:rvb i="110"/>
        </ext>
      </extLst>
    </bk>
    <bk>
      <extLst>
        <ext uri="{3e2802c4-a4d2-4d8b-9148-e3be6c30e623}">
          <xlrd:rvb i="111"/>
        </ext>
      </extLst>
    </bk>
    <bk>
      <extLst>
        <ext uri="{3e2802c4-a4d2-4d8b-9148-e3be6c30e623}">
          <xlrd:rvb i="112"/>
        </ext>
      </extLst>
    </bk>
    <bk>
      <extLst>
        <ext uri="{3e2802c4-a4d2-4d8b-9148-e3be6c30e623}">
          <xlrd:rvb i="113"/>
        </ext>
      </extLst>
    </bk>
    <bk>
      <extLst>
        <ext uri="{3e2802c4-a4d2-4d8b-9148-e3be6c30e623}">
          <xlrd:rvb i="114"/>
        </ext>
      </extLst>
    </bk>
    <bk>
      <extLst>
        <ext uri="{3e2802c4-a4d2-4d8b-9148-e3be6c30e623}">
          <xlrd:rvb i="115"/>
        </ext>
      </extLst>
    </bk>
    <bk>
      <extLst>
        <ext uri="{3e2802c4-a4d2-4d8b-9148-e3be6c30e623}">
          <xlrd:rvb i="116"/>
        </ext>
      </extLst>
    </bk>
    <bk>
      <extLst>
        <ext uri="{3e2802c4-a4d2-4d8b-9148-e3be6c30e623}">
          <xlrd:rvb i="117"/>
        </ext>
      </extLst>
    </bk>
    <bk>
      <extLst>
        <ext uri="{3e2802c4-a4d2-4d8b-9148-e3be6c30e623}">
          <xlrd:rvb i="118"/>
        </ext>
      </extLst>
    </bk>
    <bk>
      <extLst>
        <ext uri="{3e2802c4-a4d2-4d8b-9148-e3be6c30e623}">
          <xlrd:rvb i="119"/>
        </ext>
      </extLst>
    </bk>
    <bk>
      <extLst>
        <ext uri="{3e2802c4-a4d2-4d8b-9148-e3be6c30e623}">
          <xlrd:rvb i="120"/>
        </ext>
      </extLst>
    </bk>
    <bk>
      <extLst>
        <ext uri="{3e2802c4-a4d2-4d8b-9148-e3be6c30e623}">
          <xlrd:rvb i="121"/>
        </ext>
      </extLst>
    </bk>
    <bk>
      <extLst>
        <ext uri="{3e2802c4-a4d2-4d8b-9148-e3be6c30e623}">
          <xlrd:rvb i="122"/>
        </ext>
      </extLst>
    </bk>
    <bk>
      <extLst>
        <ext uri="{3e2802c4-a4d2-4d8b-9148-e3be6c30e623}">
          <xlrd:rvb i="123"/>
        </ext>
      </extLst>
    </bk>
    <bk>
      <extLst>
        <ext uri="{3e2802c4-a4d2-4d8b-9148-e3be6c30e623}">
          <xlrd:rvb i="124"/>
        </ext>
      </extLst>
    </bk>
    <bk>
      <extLst>
        <ext uri="{3e2802c4-a4d2-4d8b-9148-e3be6c30e623}">
          <xlrd:rvb i="125"/>
        </ext>
      </extLst>
    </bk>
    <bk>
      <extLst>
        <ext uri="{3e2802c4-a4d2-4d8b-9148-e3be6c30e623}">
          <xlrd:rvb i="126"/>
        </ext>
      </extLst>
    </bk>
    <bk>
      <extLst>
        <ext uri="{3e2802c4-a4d2-4d8b-9148-e3be6c30e623}">
          <xlrd:rvb i="127"/>
        </ext>
      </extLst>
    </bk>
  </futureMetadata>
  <cellMetadata count="1">
    <bk>
      <rc t="1" v="0"/>
    </bk>
  </cellMetadata>
  <valueMetadata count="128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  <bk>
      <rc t="2" v="7"/>
    </bk>
    <bk>
      <rc t="2" v="8"/>
    </bk>
    <bk>
      <rc t="2" v="9"/>
    </bk>
    <bk>
      <rc t="2" v="10"/>
    </bk>
    <bk>
      <rc t="2" v="11"/>
    </bk>
    <bk>
      <rc t="2" v="12"/>
    </bk>
    <bk>
      <rc t="2" v="13"/>
    </bk>
    <bk>
      <rc t="2" v="14"/>
    </bk>
    <bk>
      <rc t="2" v="15"/>
    </bk>
    <bk>
      <rc t="2" v="16"/>
    </bk>
    <bk>
      <rc t="2" v="17"/>
    </bk>
    <bk>
      <rc t="2" v="18"/>
    </bk>
    <bk>
      <rc t="2" v="19"/>
    </bk>
    <bk>
      <rc t="2" v="20"/>
    </bk>
    <bk>
      <rc t="2" v="21"/>
    </bk>
    <bk>
      <rc t="2" v="22"/>
    </bk>
    <bk>
      <rc t="2" v="23"/>
    </bk>
    <bk>
      <rc t="2" v="24"/>
    </bk>
    <bk>
      <rc t="2" v="25"/>
    </bk>
    <bk>
      <rc t="2" v="26"/>
    </bk>
    <bk>
      <rc t="2" v="27"/>
    </bk>
    <bk>
      <rc t="2" v="28"/>
    </bk>
    <bk>
      <rc t="2" v="29"/>
    </bk>
    <bk>
      <rc t="2" v="30"/>
    </bk>
    <bk>
      <rc t="2" v="31"/>
    </bk>
    <bk>
      <rc t="2" v="32"/>
    </bk>
    <bk>
      <rc t="2" v="33"/>
    </bk>
    <bk>
      <rc t="2" v="34"/>
    </bk>
    <bk>
      <rc t="2" v="35"/>
    </bk>
    <bk>
      <rc t="2" v="36"/>
    </bk>
    <bk>
      <rc t="2" v="37"/>
    </bk>
    <bk>
      <rc t="2" v="38"/>
    </bk>
    <bk>
      <rc t="2" v="39"/>
    </bk>
    <bk>
      <rc t="2" v="40"/>
    </bk>
    <bk>
      <rc t="2" v="41"/>
    </bk>
    <bk>
      <rc t="2" v="42"/>
    </bk>
    <bk>
      <rc t="2" v="43"/>
    </bk>
    <bk>
      <rc t="2" v="44"/>
    </bk>
    <bk>
      <rc t="2" v="45"/>
    </bk>
    <bk>
      <rc t="2" v="46"/>
    </bk>
    <bk>
      <rc t="2" v="47"/>
    </bk>
    <bk>
      <rc t="2" v="48"/>
    </bk>
    <bk>
      <rc t="2" v="49"/>
    </bk>
    <bk>
      <rc t="2" v="50"/>
    </bk>
    <bk>
      <rc t="2" v="51"/>
    </bk>
    <bk>
      <rc t="2" v="52"/>
    </bk>
    <bk>
      <rc t="2" v="53"/>
    </bk>
    <bk>
      <rc t="2" v="54"/>
    </bk>
    <bk>
      <rc t="2" v="55"/>
    </bk>
    <bk>
      <rc t="2" v="56"/>
    </bk>
    <bk>
      <rc t="2" v="57"/>
    </bk>
    <bk>
      <rc t="2" v="58"/>
    </bk>
    <bk>
      <rc t="2" v="59"/>
    </bk>
    <bk>
      <rc t="2" v="60"/>
    </bk>
    <bk>
      <rc t="2" v="61"/>
    </bk>
    <bk>
      <rc t="2" v="62"/>
    </bk>
    <bk>
      <rc t="2" v="63"/>
    </bk>
    <bk>
      <rc t="2" v="64"/>
    </bk>
    <bk>
      <rc t="2" v="65"/>
    </bk>
    <bk>
      <rc t="2" v="66"/>
    </bk>
    <bk>
      <rc t="2" v="67"/>
    </bk>
    <bk>
      <rc t="2" v="68"/>
    </bk>
    <bk>
      <rc t="2" v="69"/>
    </bk>
    <bk>
      <rc t="2" v="70"/>
    </bk>
    <bk>
      <rc t="2" v="71"/>
    </bk>
    <bk>
      <rc t="2" v="72"/>
    </bk>
    <bk>
      <rc t="2" v="73"/>
    </bk>
    <bk>
      <rc t="2" v="74"/>
    </bk>
    <bk>
      <rc t="2" v="75"/>
    </bk>
    <bk>
      <rc t="2" v="76"/>
    </bk>
    <bk>
      <rc t="2" v="77"/>
    </bk>
    <bk>
      <rc t="2" v="78"/>
    </bk>
    <bk>
      <rc t="2" v="79"/>
    </bk>
    <bk>
      <rc t="2" v="80"/>
    </bk>
    <bk>
      <rc t="2" v="81"/>
    </bk>
    <bk>
      <rc t="2" v="82"/>
    </bk>
    <bk>
      <rc t="2" v="83"/>
    </bk>
    <bk>
      <rc t="2" v="84"/>
    </bk>
    <bk>
      <rc t="2" v="85"/>
    </bk>
    <bk>
      <rc t="2" v="86"/>
    </bk>
    <bk>
      <rc t="2" v="87"/>
    </bk>
    <bk>
      <rc t="2" v="88"/>
    </bk>
    <bk>
      <rc t="2" v="89"/>
    </bk>
    <bk>
      <rc t="2" v="90"/>
    </bk>
    <bk>
      <rc t="2" v="91"/>
    </bk>
    <bk>
      <rc t="2" v="92"/>
    </bk>
    <bk>
      <rc t="2" v="93"/>
    </bk>
    <bk>
      <rc t="2" v="94"/>
    </bk>
    <bk>
      <rc t="2" v="95"/>
    </bk>
    <bk>
      <rc t="2" v="96"/>
    </bk>
    <bk>
      <rc t="2" v="97"/>
    </bk>
    <bk>
      <rc t="2" v="98"/>
    </bk>
    <bk>
      <rc t="2" v="99"/>
    </bk>
    <bk>
      <rc t="2" v="100"/>
    </bk>
    <bk>
      <rc t="2" v="101"/>
    </bk>
    <bk>
      <rc t="2" v="102"/>
    </bk>
    <bk>
      <rc t="2" v="103"/>
    </bk>
    <bk>
      <rc t="2" v="104"/>
    </bk>
    <bk>
      <rc t="2" v="105"/>
    </bk>
    <bk>
      <rc t="2" v="106"/>
    </bk>
    <bk>
      <rc t="2" v="107"/>
    </bk>
    <bk>
      <rc t="2" v="108"/>
    </bk>
    <bk>
      <rc t="2" v="109"/>
    </bk>
    <bk>
      <rc t="2" v="110"/>
    </bk>
    <bk>
      <rc t="2" v="111"/>
    </bk>
    <bk>
      <rc t="2" v="112"/>
    </bk>
    <bk>
      <rc t="2" v="113"/>
    </bk>
    <bk>
      <rc t="2" v="114"/>
    </bk>
    <bk>
      <rc t="2" v="115"/>
    </bk>
    <bk>
      <rc t="2" v="116"/>
    </bk>
    <bk>
      <rc t="2" v="117"/>
    </bk>
    <bk>
      <rc t="2" v="118"/>
    </bk>
    <bk>
      <rc t="2" v="119"/>
    </bk>
    <bk>
      <rc t="2" v="120"/>
    </bk>
    <bk>
      <rc t="2" v="121"/>
    </bk>
    <bk>
      <rc t="2" v="122"/>
    </bk>
    <bk>
      <rc t="2" v="123"/>
    </bk>
    <bk>
      <rc t="2" v="124"/>
    </bk>
    <bk>
      <rc t="2" v="125"/>
    </bk>
    <bk>
      <rc t="2" v="126"/>
    </bk>
    <bk>
      <rc t="2" v="127"/>
    </bk>
  </valueMetadata>
</metadata>
</file>

<file path=xl/sharedStrings.xml><?xml version="1.0" encoding="utf-8"?>
<sst xmlns="http://schemas.openxmlformats.org/spreadsheetml/2006/main" count="1463" uniqueCount="1131">
  <si>
    <t>National Champion</t>
  </si>
  <si>
    <t>Final Four</t>
  </si>
  <si>
    <t>Championship</t>
  </si>
  <si>
    <t>East</t>
  </si>
  <si>
    <t>West</t>
  </si>
  <si>
    <t>Elite 8</t>
  </si>
  <si>
    <t>Sweet 16</t>
  </si>
  <si>
    <t>Second Round</t>
  </si>
  <si>
    <t>Winner</t>
  </si>
  <si>
    <t>vs</t>
  </si>
  <si>
    <t>Game #</t>
  </si>
  <si>
    <t>Seed Bonus</t>
  </si>
  <si>
    <t>Loser</t>
  </si>
  <si>
    <t>Tournament Picks for Multiple Players</t>
  </si>
  <si>
    <t>Midwest</t>
  </si>
  <si>
    <t>South</t>
  </si>
  <si>
    <t>Show Game Numbers</t>
  </si>
  <si>
    <t>x</t>
  </si>
  <si>
    <t>checkbox</t>
  </si>
  <si>
    <t>First Round</t>
  </si>
  <si>
    <t>2026 NCAA Basketball Tournament Bracket</t>
  </si>
  <si>
    <t>Seed</t>
  </si>
  <si>
    <t>Team</t>
  </si>
  <si>
    <t>Region</t>
  </si>
  <si>
    <t>Score 1</t>
  </si>
  <si>
    <t>Score 2</t>
  </si>
  <si>
    <t>.</t>
  </si>
  <si>
    <t>Logo</t>
  </si>
  <si>
    <t>Hyperlink Name</t>
  </si>
  <si>
    <t>Abilene Christian</t>
  </si>
  <si>
    <t>Air Force</t>
  </si>
  <si>
    <t>Akron</t>
  </si>
  <si>
    <t>Alabama</t>
  </si>
  <si>
    <t>Alabama A&amp;M</t>
  </si>
  <si>
    <t>Alabama State</t>
  </si>
  <si>
    <t>Albany (NY)</t>
  </si>
  <si>
    <t>Alcorn State</t>
  </si>
  <si>
    <t>American</t>
  </si>
  <si>
    <t>Appalachian State</t>
  </si>
  <si>
    <t>Arizona</t>
  </si>
  <si>
    <t>Arizona State</t>
  </si>
  <si>
    <t>Arkansas</t>
  </si>
  <si>
    <t>Arkansas State</t>
  </si>
  <si>
    <t>Arkansas-Pine Bluff</t>
  </si>
  <si>
    <t>Army</t>
  </si>
  <si>
    <t>Auburn</t>
  </si>
  <si>
    <t>Austin Peay</t>
  </si>
  <si>
    <t>Ball State</t>
  </si>
  <si>
    <t>Baylor</t>
  </si>
  <si>
    <t>Bellarmine</t>
  </si>
  <si>
    <t>Belmont</t>
  </si>
  <si>
    <t>Bethune-Cookman</t>
  </si>
  <si>
    <t>Binghamton</t>
  </si>
  <si>
    <t>Boise State</t>
  </si>
  <si>
    <t>Boston College</t>
  </si>
  <si>
    <t>Boston University</t>
  </si>
  <si>
    <t>Bowling Green</t>
  </si>
  <si>
    <t>Bradley</t>
  </si>
  <si>
    <t>Brigham Young</t>
  </si>
  <si>
    <t>Brown</t>
  </si>
  <si>
    <t>Bryant</t>
  </si>
  <si>
    <t>Bucknell</t>
  </si>
  <si>
    <t>Buffalo</t>
  </si>
  <si>
    <t>Butler</t>
  </si>
  <si>
    <t>Cal Poly</t>
  </si>
  <si>
    <t>Cal State Bakersfield</t>
  </si>
  <si>
    <t>Cal State Fullerton</t>
  </si>
  <si>
    <t>Cal State Northridge</t>
  </si>
  <si>
    <t>California</t>
  </si>
  <si>
    <t>California Baptist</t>
  </si>
  <si>
    <t>Campbell</t>
  </si>
  <si>
    <t>Canisius</t>
  </si>
  <si>
    <t>Central Arkansas</t>
  </si>
  <si>
    <t>Central Connecticut State</t>
  </si>
  <si>
    <t>Central Michigan</t>
  </si>
  <si>
    <t>Charleston Southern</t>
  </si>
  <si>
    <t>Charlotte</t>
  </si>
  <si>
    <t>Chattanooga</t>
  </si>
  <si>
    <t>Chicago State</t>
  </si>
  <si>
    <t>Cincinnati</t>
  </si>
  <si>
    <t>Clemson</t>
  </si>
  <si>
    <t>Cleveland State</t>
  </si>
  <si>
    <t>Coastal Carolina</t>
  </si>
  <si>
    <t>Colgate</t>
  </si>
  <si>
    <t>College of Charleston</t>
  </si>
  <si>
    <t>Colorado</t>
  </si>
  <si>
    <t>Colorado State</t>
  </si>
  <si>
    <t>Columbia</t>
  </si>
  <si>
    <t>Connecticut</t>
  </si>
  <si>
    <t>Coppin State</t>
  </si>
  <si>
    <t>Cornell</t>
  </si>
  <si>
    <t>Creighton</t>
  </si>
  <si>
    <t>Dartmouth</t>
  </si>
  <si>
    <t>Pairing</t>
  </si>
  <si>
    <t>Evaluation</t>
  </si>
  <si>
    <t>Duke</t>
  </si>
  <si>
    <t>Wisconsin</t>
  </si>
  <si>
    <t>Oregon</t>
  </si>
  <si>
    <t>Mississippi State</t>
  </si>
  <si>
    <t>Vanderbilt</t>
  </si>
  <si>
    <t>Liberty</t>
  </si>
  <si>
    <t>Montana</t>
  </si>
  <si>
    <t>Robert Morris</t>
  </si>
  <si>
    <t>School</t>
  </si>
  <si>
    <t>Mount St. Mary's</t>
  </si>
  <si>
    <t>Florida</t>
  </si>
  <si>
    <t>Texas Tech</t>
  </si>
  <si>
    <t>Maryland</t>
  </si>
  <si>
    <t>Memphis</t>
  </si>
  <si>
    <t>Missouri</t>
  </si>
  <si>
    <t>Kansas</t>
  </si>
  <si>
    <t>Oklahoma</t>
  </si>
  <si>
    <t>Drake</t>
  </si>
  <si>
    <t>Grand Canyon</t>
  </si>
  <si>
    <t>UNC Wilmington</t>
  </si>
  <si>
    <t>Omaha</t>
  </si>
  <si>
    <t>Norfolk State</t>
  </si>
  <si>
    <t>Michigan State</t>
  </si>
  <si>
    <t>Iowa State</t>
  </si>
  <si>
    <t>Texas A&amp;M</t>
  </si>
  <si>
    <t>Michigan</t>
  </si>
  <si>
    <t>Marquette</t>
  </si>
  <si>
    <t>Louisville</t>
  </si>
  <si>
    <t>New Mexico</t>
  </si>
  <si>
    <t>San Diego State</t>
  </si>
  <si>
    <t>North Carolina</t>
  </si>
  <si>
    <t>UC San Diego</t>
  </si>
  <si>
    <t>Yale</t>
  </si>
  <si>
    <t>Lipscomb</t>
  </si>
  <si>
    <t>Houston</t>
  </si>
  <si>
    <t>Tennessee</t>
  </si>
  <si>
    <t>Kentucky</t>
  </si>
  <si>
    <t>Purdue</t>
  </si>
  <si>
    <t>Illinois</t>
  </si>
  <si>
    <t>UCLA</t>
  </si>
  <si>
    <t>Gonzaga</t>
  </si>
  <si>
    <t>Georgia</t>
  </si>
  <si>
    <t>Utah State</t>
  </si>
  <si>
    <t>Texas</t>
  </si>
  <si>
    <t>Xavier</t>
  </si>
  <si>
    <t>High Point</t>
  </si>
  <si>
    <t>Troy</t>
  </si>
  <si>
    <t>Wofford</t>
  </si>
  <si>
    <t>Southern</t>
  </si>
  <si>
    <t>SIU Edwardsville</t>
  </si>
  <si>
    <t>Column1</t>
  </si>
  <si>
    <t>Link</t>
  </si>
  <si>
    <t>GameLogs</t>
  </si>
  <si>
    <t>https://www.sports-reference.com/cbb/schools/abilene-christian/men/2026.html</t>
  </si>
  <si>
    <t>https://www.sports-reference.com/cbb/schools/abilene-christian/men/2026-gamelogs.html</t>
  </si>
  <si>
    <t>https://www.sports-reference.com/cbb/schools/air-force/men/2026.html</t>
  </si>
  <si>
    <t>https://www.sports-reference.com/cbb/schools/air-force/men/2026-gamelogs.html</t>
  </si>
  <si>
    <t>https://www.sports-reference.com/cbb/schools/akron/men/2026.html</t>
  </si>
  <si>
    <t>https://www.sports-reference.com/cbb/schools/akron/men/2026-gamelogs.html</t>
  </si>
  <si>
    <t>https://www.sports-reference.com/cbb/schools/alabama/men/2026.html</t>
  </si>
  <si>
    <t>https://www.sports-reference.com/cbb/schools/alabama/men/2026-gamelogs.html</t>
  </si>
  <si>
    <t>https://www.sports-reference.com/cbb/schools/alabama-am/men/2026.html</t>
  </si>
  <si>
    <t>https://www.sports-reference.com/cbb/schools/alabama-am/men/2026-gamelogs.html</t>
  </si>
  <si>
    <t>https://www.sports-reference.com/cbb/schools/alabama-state/men/2026.html</t>
  </si>
  <si>
    <t>https://www.sports-reference.com/cbb/schools/alabama-state/men/2026-gamelogs.html</t>
  </si>
  <si>
    <t>https://www.sports-reference.com/cbb/schools/albany-ny/men/2026.html</t>
  </si>
  <si>
    <t>https://www.sports-reference.com/cbb/schools/albany-ny/men/2026-gamelogs.html</t>
  </si>
  <si>
    <t>https://www.sports-reference.com/cbb/schools/alcorn-state/men/2026.html</t>
  </si>
  <si>
    <t>https://www.sports-reference.com/cbb/schools/alcorn-state/men/2026-gamelogs.html</t>
  </si>
  <si>
    <t>https://www.sports-reference.com/cbb/schools/american/men/2026.html</t>
  </si>
  <si>
    <t>https://www.sports-reference.com/cbb/schools/american/men/2026-gamelogs.html</t>
  </si>
  <si>
    <t>https://www.sports-reference.com/cbb/schools/appalachian-state/men/2026.html</t>
  </si>
  <si>
    <t>https://www.sports-reference.com/cbb/schools/appalachian-state/men/2026-gamelogs.html</t>
  </si>
  <si>
    <t>https://www.sports-reference.com/cbb/schools/arizona/men/2026.html</t>
  </si>
  <si>
    <t>https://www.sports-reference.com/cbb/schools/arizona/men/2026-gamelogs.html</t>
  </si>
  <si>
    <t>https://www.sports-reference.com/cbb/schools/arizona-state/men/2026.html</t>
  </si>
  <si>
    <t>https://www.sports-reference.com/cbb/schools/arizona-state/men/2026-gamelogs.html</t>
  </si>
  <si>
    <t>https://www.sports-reference.com/cbb/schools/arkansas/men/2026.html</t>
  </si>
  <si>
    <t>https://www.sports-reference.com/cbb/schools/arkansas/men/2026-gamelogs.html</t>
  </si>
  <si>
    <t>https://www.sports-reference.com/cbb/schools/arkansas-state/men/2026.html</t>
  </si>
  <si>
    <t>https://www.sports-reference.com/cbb/schools/arkansas-state/men/2026-gamelogs.html</t>
  </si>
  <si>
    <t>https://www.sports-reference.com/cbb/schools/arkansas-pine-bluff/men/2026.html</t>
  </si>
  <si>
    <t>https://www.sports-reference.com/cbb/schools/arkansas-pine-bluff/men/2026-gamelogs.html</t>
  </si>
  <si>
    <t>https://www.sports-reference.com/cbb/schools/army/men/2026.html</t>
  </si>
  <si>
    <t>https://www.sports-reference.com/cbb/schools/army/men/2026-gamelogs.html</t>
  </si>
  <si>
    <t>https://www.sports-reference.com/cbb/schools/auburn/men/2026.html</t>
  </si>
  <si>
    <t>https://www.sports-reference.com/cbb/schools/auburn/men/2026-gamelogs.html</t>
  </si>
  <si>
    <t>https://www.sports-reference.com/cbb/schools/austin-peay/men/2026.html</t>
  </si>
  <si>
    <t>https://www.sports-reference.com/cbb/schools/austin-peay/men/2026-gamelogs.html</t>
  </si>
  <si>
    <t>https://www.sports-reference.com/cbb/schools/ball-state/men/2026.html</t>
  </si>
  <si>
    <t>https://www.sports-reference.com/cbb/schools/ball-state/men/2026-gamelogs.html</t>
  </si>
  <si>
    <t>https://www.sports-reference.com/cbb/schools/baylor/men/2026.html</t>
  </si>
  <si>
    <t>https://www.sports-reference.com/cbb/schools/baylor/men/2026-gamelogs.html</t>
  </si>
  <si>
    <t>https://www.sports-reference.com/cbb/schools/bellarmine/men/2026.html</t>
  </si>
  <si>
    <t>https://www.sports-reference.com/cbb/schools/bellarmine/men/2026-gamelogs.html</t>
  </si>
  <si>
    <t>https://www.sports-reference.com/cbb/schools/belmont/men/2026.html</t>
  </si>
  <si>
    <t>https://www.sports-reference.com/cbb/schools/belmont/men/2026-gamelogs.html</t>
  </si>
  <si>
    <t>https://www.sports-reference.com/cbb/schools/bethune-cookman/men/2026.html</t>
  </si>
  <si>
    <t>https://www.sports-reference.com/cbb/schools/bethune-cookman/men/2026-gamelogs.html</t>
  </si>
  <si>
    <t>https://www.sports-reference.com/cbb/schools/binghamton/men/2026.html</t>
  </si>
  <si>
    <t>https://www.sports-reference.com/cbb/schools/binghamton/men/2026-gamelogs.html</t>
  </si>
  <si>
    <t>https://www.sports-reference.com/cbb/schools/boise-state/men/2026.html</t>
  </si>
  <si>
    <t>https://www.sports-reference.com/cbb/schools/boise-state/men/2026-gamelogs.html</t>
  </si>
  <si>
    <t>https://www.sports-reference.com/cbb/schools/boston-college/men/2026.html</t>
  </si>
  <si>
    <t>https://www.sports-reference.com/cbb/schools/boston-college/men/2026-gamelogs.html</t>
  </si>
  <si>
    <t>https://www.sports-reference.com/cbb/schools/boston-university/men/2026.html</t>
  </si>
  <si>
    <t>https://www.sports-reference.com/cbb/schools/boston-university/men/2026-gamelogs.html</t>
  </si>
  <si>
    <t>https://www.sports-reference.com/cbb/schools/bowling-green-state/men/2026.html</t>
  </si>
  <si>
    <t>https://www.sports-reference.com/cbb/schools/bowling-green-state/men/2026-gamelogs.html</t>
  </si>
  <si>
    <t>https://www.sports-reference.com/cbb/schools/bradley/men/2026.html</t>
  </si>
  <si>
    <t>https://www.sports-reference.com/cbb/schools/bradley/men/2026-gamelogs.html</t>
  </si>
  <si>
    <t>https://www.sports-reference.com/cbb/schools/brigham-young/men/2026.html</t>
  </si>
  <si>
    <t>https://www.sports-reference.com/cbb/schools/brigham-young/men/2026-gamelogs.html</t>
  </si>
  <si>
    <t>https://www.sports-reference.com/cbb/schools/brown/men/2026.html</t>
  </si>
  <si>
    <t>https://www.sports-reference.com/cbb/schools/brown/men/2026-gamelogs.html</t>
  </si>
  <si>
    <t>https://www.sports-reference.com/cbb/schools/bryant/men/2026.html</t>
  </si>
  <si>
    <t>https://www.sports-reference.com/cbb/schools/bryant/men/2026-gamelogs.html</t>
  </si>
  <si>
    <t>https://www.sports-reference.com/cbb/schools/bucknell/men/2026.html</t>
  </si>
  <si>
    <t>https://www.sports-reference.com/cbb/schools/bucknell/men/2026-gamelogs.html</t>
  </si>
  <si>
    <t>https://www.sports-reference.com/cbb/schools/buffalo/men/2026.html</t>
  </si>
  <si>
    <t>https://www.sports-reference.com/cbb/schools/buffalo/men/2026-gamelogs.html</t>
  </si>
  <si>
    <t>https://www.sports-reference.com/cbb/schools/butler/men/2026.html</t>
  </si>
  <si>
    <t>https://www.sports-reference.com/cbb/schools/butler/men/2026-gamelogs.html</t>
  </si>
  <si>
    <t>https://www.sports-reference.com/cbb/schools/cal-poly/men/2026.html</t>
  </si>
  <si>
    <t>https://www.sports-reference.com/cbb/schools/cal-poly/men/2026-gamelogs.html</t>
  </si>
  <si>
    <t>https://www.sports-reference.com/cbb/schools/cal-state-bakersfield/men/2026.html</t>
  </si>
  <si>
    <t>https://www.sports-reference.com/cbb/schools/cal-state-bakersfield/men/2026-gamelogs.html</t>
  </si>
  <si>
    <t>https://www.sports-reference.com/cbb/schools/cal-state-fullerton/men/2026.html</t>
  </si>
  <si>
    <t>https://www.sports-reference.com/cbb/schools/cal-state-fullerton/men/2026-gamelogs.html</t>
  </si>
  <si>
    <t>https://www.sports-reference.com/cbb/schools/cal-state-northridge/men/2026.html</t>
  </si>
  <si>
    <t>https://www.sports-reference.com/cbb/schools/cal-state-northridge/men/2026-gamelogs.html</t>
  </si>
  <si>
    <t>https://www.sports-reference.com/cbb/schools/california/men/2026.html</t>
  </si>
  <si>
    <t>https://www.sports-reference.com/cbb/schools/california/men/2026-gamelogs.html</t>
  </si>
  <si>
    <t>https://www.sports-reference.com/cbb/schools/california-baptist/men/2026.html</t>
  </si>
  <si>
    <t>https://www.sports-reference.com/cbb/schools/california-baptist/men/2026-gamelogs.html</t>
  </si>
  <si>
    <t>https://www.sports-reference.com/cbb/schools/campbell/men/2026.html</t>
  </si>
  <si>
    <t>https://www.sports-reference.com/cbb/schools/campbell/men/2026-gamelogs.html</t>
  </si>
  <si>
    <t>https://www.sports-reference.com/cbb/schools/canisius/men/2026.html</t>
  </si>
  <si>
    <t>https://www.sports-reference.com/cbb/schools/canisius/men/2026-gamelogs.html</t>
  </si>
  <si>
    <t>https://www.sports-reference.com/cbb/schools/central-arkansas/men/2026.html</t>
  </si>
  <si>
    <t>https://www.sports-reference.com/cbb/schools/central-arkansas/men/2026-gamelogs.html</t>
  </si>
  <si>
    <t>https://www.sports-reference.com/cbb/schools/central-connecticut-state/men/2026.html</t>
  </si>
  <si>
    <t>https://www.sports-reference.com/cbb/schools/central-connecticut-state/men/2026-gamelogs.html</t>
  </si>
  <si>
    <t>https://www.sports-reference.com/cbb/schools/central-michigan/men/2026.html</t>
  </si>
  <si>
    <t>https://www.sports-reference.com/cbb/schools/central-michigan/men/2026-gamelogs.html</t>
  </si>
  <si>
    <t>https://www.sports-reference.com/cbb/schools/charleston-southern/men/2026.html</t>
  </si>
  <si>
    <t>https://www.sports-reference.com/cbb/schools/charleston-southern/men/2026-gamelogs.html</t>
  </si>
  <si>
    <t>https://www.sports-reference.com/cbb/schools/charlotte/men/2026.html</t>
  </si>
  <si>
    <t>https://www.sports-reference.com/cbb/schools/charlotte/men/2026-gamelogs.html</t>
  </si>
  <si>
    <t>https://www.sports-reference.com/cbb/schools/chattanooga/men/2026.html</t>
  </si>
  <si>
    <t>https://www.sports-reference.com/cbb/schools/chattanooga/men/2026-gamelogs.html</t>
  </si>
  <si>
    <t>https://www.sports-reference.com/cbb/schools/chicago-state/men/2026.html</t>
  </si>
  <si>
    <t>https://www.sports-reference.com/cbb/schools/chicago-state/men/2026-gamelogs.html</t>
  </si>
  <si>
    <t>https://www.sports-reference.com/cbb/schools/cincinnati/men/2026.html</t>
  </si>
  <si>
    <t>https://www.sports-reference.com/cbb/schools/cincinnati/men/2026-gamelogs.html</t>
  </si>
  <si>
    <t>https://www.sports-reference.com/cbb/schools/clemson/men/2026.html</t>
  </si>
  <si>
    <t>https://www.sports-reference.com/cbb/schools/clemson/men/2026-gamelogs.html</t>
  </si>
  <si>
    <t>https://www.sports-reference.com/cbb/schools/cleveland-state/men/2026.html</t>
  </si>
  <si>
    <t>https://www.sports-reference.com/cbb/schools/cleveland-state/men/2026-gamelogs.html</t>
  </si>
  <si>
    <t>https://www.sports-reference.com/cbb/schools/coastal-carolina/men/2026.html</t>
  </si>
  <si>
    <t>https://www.sports-reference.com/cbb/schools/coastal-carolina/men/2026-gamelogs.html</t>
  </si>
  <si>
    <t>https://www.sports-reference.com/cbb/schools/colgate/men/2026.html</t>
  </si>
  <si>
    <t>https://www.sports-reference.com/cbb/schools/colgate/men/2026-gamelogs.html</t>
  </si>
  <si>
    <t>https://www.sports-reference.com/cbb/schools/college-of-charleston/men/2026.html</t>
  </si>
  <si>
    <t>https://www.sports-reference.com/cbb/schools/college-of-charleston/men/2026-gamelogs.html</t>
  </si>
  <si>
    <t>https://www.sports-reference.com/cbb/schools/colorado/men/2026.html</t>
  </si>
  <si>
    <t>https://www.sports-reference.com/cbb/schools/colorado/men/2026-gamelogs.html</t>
  </si>
  <si>
    <t>https://www.sports-reference.com/cbb/schools/colorado-state/men/2026.html</t>
  </si>
  <si>
    <t>https://www.sports-reference.com/cbb/schools/colorado-state/men/2026-gamelogs.html</t>
  </si>
  <si>
    <t>https://www.sports-reference.com/cbb/schools/columbia/men/2026.html</t>
  </si>
  <si>
    <t>https://www.sports-reference.com/cbb/schools/columbia/men/2026-gamelogs.html</t>
  </si>
  <si>
    <t>https://www.sports-reference.com/cbb/schools/connecticut/men/2026.html</t>
  </si>
  <si>
    <t>https://www.sports-reference.com/cbb/schools/connecticut/men/2026-gamelogs.html</t>
  </si>
  <si>
    <t>https://www.sports-reference.com/cbb/schools/coppin-state/men/2026.html</t>
  </si>
  <si>
    <t>https://www.sports-reference.com/cbb/schools/coppin-state/men/2026-gamelogs.html</t>
  </si>
  <si>
    <t>https://www.sports-reference.com/cbb/schools/cornell/men/2026.html</t>
  </si>
  <si>
    <t>https://www.sports-reference.com/cbb/schools/cornell/men/2026-gamelogs.html</t>
  </si>
  <si>
    <t>https://www.sports-reference.com/cbb/schools/creighton/men/2026.html</t>
  </si>
  <si>
    <t>https://www.sports-reference.com/cbb/schools/creighton/men/2026-gamelogs.html</t>
  </si>
  <si>
    <t>https://www.sports-reference.com/cbb/schools/dartmouth/men/2026.html</t>
  </si>
  <si>
    <t>https://www.sports-reference.com/cbb/schools/dartmouth/men/2026-gamelogs.html</t>
  </si>
  <si>
    <t>Davidson</t>
  </si>
  <si>
    <t>https://www.sports-reference.com/cbb/schools/davidson/men/2026.html</t>
  </si>
  <si>
    <t>https://www.sports-reference.com/cbb/schools/davidson/men/2026-gamelogs.html</t>
  </si>
  <si>
    <t>Dayton</t>
  </si>
  <si>
    <t>https://www.sports-reference.com/cbb/schools/dayton/men/2026.html</t>
  </si>
  <si>
    <t>https://www.sports-reference.com/cbb/schools/dayton/men/2026-gamelogs.html</t>
  </si>
  <si>
    <t>Delaware</t>
  </si>
  <si>
    <t>https://www.sports-reference.com/cbb/schools/delaware/men/2026.html</t>
  </si>
  <si>
    <t>https://www.sports-reference.com/cbb/schools/delaware/men/2026-gamelogs.html</t>
  </si>
  <si>
    <t>Delaware State</t>
  </si>
  <si>
    <t>https://www.sports-reference.com/cbb/schools/delaware-state/men/2026.html</t>
  </si>
  <si>
    <t>https://www.sports-reference.com/cbb/schools/delaware-state/men/2026-gamelogs.html</t>
  </si>
  <si>
    <t>Denver</t>
  </si>
  <si>
    <t>https://www.sports-reference.com/cbb/schools/denver/men/2026.html</t>
  </si>
  <si>
    <t>https://www.sports-reference.com/cbb/schools/denver/men/2026-gamelogs.html</t>
  </si>
  <si>
    <t>DePaul</t>
  </si>
  <si>
    <t>https://www.sports-reference.com/cbb/schools/depaul/men/2026.html</t>
  </si>
  <si>
    <t>https://www.sports-reference.com/cbb/schools/depaul/men/2026-gamelogs.html</t>
  </si>
  <si>
    <t>Detroit Mercy</t>
  </si>
  <si>
    <t>https://www.sports-reference.com/cbb/schools/detroit-mercy/men/2026.html</t>
  </si>
  <si>
    <t>https://www.sports-reference.com/cbb/schools/detroit-mercy/men/2026-gamelogs.html</t>
  </si>
  <si>
    <t>https://www.sports-reference.com/cbb/schools/drake/men/2026.html</t>
  </si>
  <si>
    <t>https://www.sports-reference.com/cbb/schools/drake/men/2026-gamelogs.html</t>
  </si>
  <si>
    <t>Drexel</t>
  </si>
  <si>
    <t>https://www.sports-reference.com/cbb/schools/drexel/men/2026.html</t>
  </si>
  <si>
    <t>https://www.sports-reference.com/cbb/schools/drexel/men/2026-gamelogs.html</t>
  </si>
  <si>
    <t>https://www.sports-reference.com/cbb/schools/duke/men/2026.html</t>
  </si>
  <si>
    <t>https://www.sports-reference.com/cbb/schools/duke/men/2026-gamelogs.html</t>
  </si>
  <si>
    <t>Duquesne</t>
  </si>
  <si>
    <t>https://www.sports-reference.com/cbb/schools/duquesne/men/2026.html</t>
  </si>
  <si>
    <t>https://www.sports-reference.com/cbb/schools/duquesne/men/2026-gamelogs.html</t>
  </si>
  <si>
    <t>East Carolina</t>
  </si>
  <si>
    <t>https://www.sports-reference.com/cbb/schools/east-carolina/men/2026.html</t>
  </si>
  <si>
    <t>https://www.sports-reference.com/cbb/schools/east-carolina/men/2026-gamelogs.html</t>
  </si>
  <si>
    <t>East Tennessee State</t>
  </si>
  <si>
    <t>https://www.sports-reference.com/cbb/schools/east-tennessee-state/men/2026.html</t>
  </si>
  <si>
    <t>https://www.sports-reference.com/cbb/schools/east-tennessee-state/men/2026-gamelogs.html</t>
  </si>
  <si>
    <t>East Texas A&amp;M</t>
  </si>
  <si>
    <t>https://www.sports-reference.com/cbb/schools/texas-am-commerce/men/2026.html</t>
  </si>
  <si>
    <t>https://www.sports-reference.com/cbb/schools/texas-am-commerce/men/2026-gamelogs.html</t>
  </si>
  <si>
    <t>Eastern Illinois</t>
  </si>
  <si>
    <t>https://www.sports-reference.com/cbb/schools/eastern-illinois/men/2026.html</t>
  </si>
  <si>
    <t>https://www.sports-reference.com/cbb/schools/eastern-illinois/men/2026-gamelogs.html</t>
  </si>
  <si>
    <t>Eastern Kentucky</t>
  </si>
  <si>
    <t>https://www.sports-reference.com/cbb/schools/eastern-kentucky/men/2026.html</t>
  </si>
  <si>
    <t>https://www.sports-reference.com/cbb/schools/eastern-kentucky/men/2026-gamelogs.html</t>
  </si>
  <si>
    <t>Eastern Michigan</t>
  </si>
  <si>
    <t>https://www.sports-reference.com/cbb/schools/eastern-michigan/men/2026.html</t>
  </si>
  <si>
    <t>https://www.sports-reference.com/cbb/schools/eastern-michigan/men/2026-gamelogs.html</t>
  </si>
  <si>
    <t>Eastern Washington</t>
  </si>
  <si>
    <t>https://www.sports-reference.com/cbb/schools/eastern-washington/men/2026.html</t>
  </si>
  <si>
    <t>https://www.sports-reference.com/cbb/schools/eastern-washington/men/2026-gamelogs.html</t>
  </si>
  <si>
    <t>Elon</t>
  </si>
  <si>
    <t>https://www.sports-reference.com/cbb/schools/elon/men/2026.html</t>
  </si>
  <si>
    <t>https://www.sports-reference.com/cbb/schools/elon/men/2026-gamelogs.html</t>
  </si>
  <si>
    <t>Evansville</t>
  </si>
  <si>
    <t>https://www.sports-reference.com/cbb/schools/evansville/men/2026.html</t>
  </si>
  <si>
    <t>https://www.sports-reference.com/cbb/schools/evansville/men/2026-gamelogs.html</t>
  </si>
  <si>
    <t>Fairfield</t>
  </si>
  <si>
    <t>https://www.sports-reference.com/cbb/schools/fairfield/men/2026.html</t>
  </si>
  <si>
    <t>https://www.sports-reference.com/cbb/schools/fairfield/men/2026-gamelogs.html</t>
  </si>
  <si>
    <t>FDU</t>
  </si>
  <si>
    <t>https://www.sports-reference.com/cbb/schools/fairleigh-dickinson/men/2026.html</t>
  </si>
  <si>
    <t>https://www.sports-reference.com/cbb/schools/fairleigh-dickinson/men/2026-gamelogs.html</t>
  </si>
  <si>
    <t>https://www.sports-reference.com/cbb/schools/florida/men/2026.html</t>
  </si>
  <si>
    <t>https://www.sports-reference.com/cbb/schools/florida/men/2026-gamelogs.html</t>
  </si>
  <si>
    <t>Florida A&amp;M</t>
  </si>
  <si>
    <t>https://www.sports-reference.com/cbb/schools/florida-am/men/2026.html</t>
  </si>
  <si>
    <t>https://www.sports-reference.com/cbb/schools/florida-am/men/2026-gamelogs.html</t>
  </si>
  <si>
    <t>Florida Atlantic</t>
  </si>
  <si>
    <t>https://www.sports-reference.com/cbb/schools/florida-atlantic/men/2026.html</t>
  </si>
  <si>
    <t>https://www.sports-reference.com/cbb/schools/florida-atlantic/men/2026-gamelogs.html</t>
  </si>
  <si>
    <t>Florida Gulf Coast</t>
  </si>
  <si>
    <t>https://www.sports-reference.com/cbb/schools/florida-gulf-coast/men/2026.html</t>
  </si>
  <si>
    <t>https://www.sports-reference.com/cbb/schools/florida-gulf-coast/men/2026-gamelogs.html</t>
  </si>
  <si>
    <t>Florida International</t>
  </si>
  <si>
    <t>https://www.sports-reference.com/cbb/schools/florida-international/men/2026.html</t>
  </si>
  <si>
    <t>https://www.sports-reference.com/cbb/schools/florida-international/men/2026-gamelogs.html</t>
  </si>
  <si>
    <t>Florida State</t>
  </si>
  <si>
    <t>https://www.sports-reference.com/cbb/schools/florida-state/men/2026.html</t>
  </si>
  <si>
    <t>https://www.sports-reference.com/cbb/schools/florida-state/men/2026-gamelogs.html</t>
  </si>
  <si>
    <t>Fordham</t>
  </si>
  <si>
    <t>https://www.sports-reference.com/cbb/schools/fordham/men/2026.html</t>
  </si>
  <si>
    <t>https://www.sports-reference.com/cbb/schools/fordham/men/2026-gamelogs.html</t>
  </si>
  <si>
    <t>Fresno State</t>
  </si>
  <si>
    <t>https://www.sports-reference.com/cbb/schools/fresno-state/men/2026.html</t>
  </si>
  <si>
    <t>https://www.sports-reference.com/cbb/schools/fresno-state/men/2026-gamelogs.html</t>
  </si>
  <si>
    <t>Furman</t>
  </si>
  <si>
    <t>https://www.sports-reference.com/cbb/schools/furman/men/2026.html</t>
  </si>
  <si>
    <t>https://www.sports-reference.com/cbb/schools/furman/men/2026-gamelogs.html</t>
  </si>
  <si>
    <t>Gardner-Webb</t>
  </si>
  <si>
    <t>https://www.sports-reference.com/cbb/schools/gardner-webb/men/2026.html</t>
  </si>
  <si>
    <t>https://www.sports-reference.com/cbb/schools/gardner-webb/men/2026-gamelogs.html</t>
  </si>
  <si>
    <t>George Mason</t>
  </si>
  <si>
    <t>https://www.sports-reference.com/cbb/schools/george-mason/men/2026.html</t>
  </si>
  <si>
    <t>https://www.sports-reference.com/cbb/schools/george-mason/men/2026-gamelogs.html</t>
  </si>
  <si>
    <t>George Washington</t>
  </si>
  <si>
    <t>https://www.sports-reference.com/cbb/schools/george-washington/men/2026.html</t>
  </si>
  <si>
    <t>https://www.sports-reference.com/cbb/schools/george-washington/men/2026-gamelogs.html</t>
  </si>
  <si>
    <t>Georgetown</t>
  </si>
  <si>
    <t>https://www.sports-reference.com/cbb/schools/georgetown/men/2026.html</t>
  </si>
  <si>
    <t>https://www.sports-reference.com/cbb/schools/georgetown/men/2026-gamelogs.html</t>
  </si>
  <si>
    <t>https://www.sports-reference.com/cbb/schools/georgia/men/2026.html</t>
  </si>
  <si>
    <t>https://www.sports-reference.com/cbb/schools/georgia/men/2026-gamelogs.html</t>
  </si>
  <si>
    <t>Georgia Southern</t>
  </si>
  <si>
    <t>https://www.sports-reference.com/cbb/schools/georgia-southern/men/2026.html</t>
  </si>
  <si>
    <t>https://www.sports-reference.com/cbb/schools/georgia-southern/men/2026-gamelogs.html</t>
  </si>
  <si>
    <t>Georgia State</t>
  </si>
  <si>
    <t>https://www.sports-reference.com/cbb/schools/georgia-state/men/2026.html</t>
  </si>
  <si>
    <t>https://www.sports-reference.com/cbb/schools/georgia-state/men/2026-gamelogs.html</t>
  </si>
  <si>
    <t>Georgia Tech</t>
  </si>
  <si>
    <t>https://www.sports-reference.com/cbb/schools/georgia-tech/men/2026.html</t>
  </si>
  <si>
    <t>https://www.sports-reference.com/cbb/schools/georgia-tech/men/2026-gamelogs.html</t>
  </si>
  <si>
    <t>https://www.sports-reference.com/cbb/schools/gonzaga/men/2026.html</t>
  </si>
  <si>
    <t>https://www.sports-reference.com/cbb/schools/gonzaga/men/2026-gamelogs.html</t>
  </si>
  <si>
    <t>Grambling</t>
  </si>
  <si>
    <t>https://www.sports-reference.com/cbb/schools/grambling/men/2026.html</t>
  </si>
  <si>
    <t>https://www.sports-reference.com/cbb/schools/grambling/men/2026-gamelogs.html</t>
  </si>
  <si>
    <t>https://www.sports-reference.com/cbb/schools/grand-canyon/men/2026.html</t>
  </si>
  <si>
    <t>https://www.sports-reference.com/cbb/schools/grand-canyon/men/2026-gamelogs.html</t>
  </si>
  <si>
    <t>Green Bay</t>
  </si>
  <si>
    <t>https://www.sports-reference.com/cbb/schools/green-bay/men/2026.html</t>
  </si>
  <si>
    <t>https://www.sports-reference.com/cbb/schools/green-bay/men/2026-gamelogs.html</t>
  </si>
  <si>
    <t>Hampton</t>
  </si>
  <si>
    <t>https://www.sports-reference.com/cbb/schools/hampton/men/2026.html</t>
  </si>
  <si>
    <t>https://www.sports-reference.com/cbb/schools/hampton/men/2026-gamelogs.html</t>
  </si>
  <si>
    <t>Harvard</t>
  </si>
  <si>
    <t>https://www.sports-reference.com/cbb/schools/harvard/men/2026.html</t>
  </si>
  <si>
    <t>https://www.sports-reference.com/cbb/schools/harvard/men/2026-gamelogs.html</t>
  </si>
  <si>
    <t>Hawaii</t>
  </si>
  <si>
    <t>https://www.sports-reference.com/cbb/schools/hawaii/men/2026.html</t>
  </si>
  <si>
    <t>https://www.sports-reference.com/cbb/schools/hawaii/men/2026-gamelogs.html</t>
  </si>
  <si>
    <t>https://www.sports-reference.com/cbb/schools/high-point/men/2026.html</t>
  </si>
  <si>
    <t>https://www.sports-reference.com/cbb/schools/high-point/men/2026-gamelogs.html</t>
  </si>
  <si>
    <t>Hofstra</t>
  </si>
  <si>
    <t>https://www.sports-reference.com/cbb/schools/hofstra/men/2026.html</t>
  </si>
  <si>
    <t>https://www.sports-reference.com/cbb/schools/hofstra/men/2026-gamelogs.html</t>
  </si>
  <si>
    <t>Holy Cross</t>
  </si>
  <si>
    <t>https://www.sports-reference.com/cbb/schools/holy-cross/men/2026.html</t>
  </si>
  <si>
    <t>https://www.sports-reference.com/cbb/schools/holy-cross/men/2026-gamelogs.html</t>
  </si>
  <si>
    <t>https://www.sports-reference.com/cbb/schools/houston/men/2026.html</t>
  </si>
  <si>
    <t>https://www.sports-reference.com/cbb/schools/houston/men/2026-gamelogs.html</t>
  </si>
  <si>
    <t>Houston Christian</t>
  </si>
  <si>
    <t>https://www.sports-reference.com/cbb/schools/houston-baptist/men/2026.html</t>
  </si>
  <si>
    <t>https://www.sports-reference.com/cbb/schools/houston-baptist/men/2026-gamelogs.html</t>
  </si>
  <si>
    <t>Howard</t>
  </si>
  <si>
    <t>https://www.sports-reference.com/cbb/schools/howard/men/2026.html</t>
  </si>
  <si>
    <t>https://www.sports-reference.com/cbb/schools/howard/men/2026-gamelogs.html</t>
  </si>
  <si>
    <t>Idaho</t>
  </si>
  <si>
    <t>https://www.sports-reference.com/cbb/schools/idaho/men/2026.html</t>
  </si>
  <si>
    <t>https://www.sports-reference.com/cbb/schools/idaho/men/2026-gamelogs.html</t>
  </si>
  <si>
    <t>Idaho State</t>
  </si>
  <si>
    <t>https://www.sports-reference.com/cbb/schools/idaho-state/men/2026.html</t>
  </si>
  <si>
    <t>https://www.sports-reference.com/cbb/schools/idaho-state/men/2026-gamelogs.html</t>
  </si>
  <si>
    <t>https://www.sports-reference.com/cbb/schools/illinois/men/2026.html</t>
  </si>
  <si>
    <t>https://www.sports-reference.com/cbb/schools/illinois/men/2026-gamelogs.html</t>
  </si>
  <si>
    <t>Illinois State</t>
  </si>
  <si>
    <t>https://www.sports-reference.com/cbb/schools/illinois-state/men/2026.html</t>
  </si>
  <si>
    <t>https://www.sports-reference.com/cbb/schools/illinois-state/men/2026-gamelogs.html</t>
  </si>
  <si>
    <t>Illinois-Chicago</t>
  </si>
  <si>
    <t>https://www.sports-reference.com/cbb/schools/illinois-chicago/men/2026.html</t>
  </si>
  <si>
    <t>https://www.sports-reference.com/cbb/schools/illinois-chicago/men/2026-gamelogs.html</t>
  </si>
  <si>
    <t>Incarnate Word</t>
  </si>
  <si>
    <t>https://www.sports-reference.com/cbb/schools/incarnate-word/men/2026.html</t>
  </si>
  <si>
    <t>https://www.sports-reference.com/cbb/schools/incarnate-word/men/2026-gamelogs.html</t>
  </si>
  <si>
    <t>Indiana</t>
  </si>
  <si>
    <t>https://www.sports-reference.com/cbb/schools/indiana/men/2026.html</t>
  </si>
  <si>
    <t>https://www.sports-reference.com/cbb/schools/indiana/men/2026-gamelogs.html</t>
  </si>
  <si>
    <t>Indiana State</t>
  </si>
  <si>
    <t>https://www.sports-reference.com/cbb/schools/indiana-state/men/2026.html</t>
  </si>
  <si>
    <t>https://www.sports-reference.com/cbb/schools/indiana-state/men/2026-gamelogs.html</t>
  </si>
  <si>
    <t>Iona</t>
  </si>
  <si>
    <t>https://www.sports-reference.com/cbb/schools/iona/men/2026.html</t>
  </si>
  <si>
    <t>https://www.sports-reference.com/cbb/schools/iona/men/2026-gamelogs.html</t>
  </si>
  <si>
    <t>Iowa</t>
  </si>
  <si>
    <t>https://www.sports-reference.com/cbb/schools/iowa/men/2026.html</t>
  </si>
  <si>
    <t>https://www.sports-reference.com/cbb/schools/iowa/men/2026-gamelogs.html</t>
  </si>
  <si>
    <t>https://www.sports-reference.com/cbb/schools/iowa-state/men/2026.html</t>
  </si>
  <si>
    <t>https://www.sports-reference.com/cbb/schools/iowa-state/men/2026-gamelogs.html</t>
  </si>
  <si>
    <t>IU Indy</t>
  </si>
  <si>
    <t>https://www.sports-reference.com/cbb/schools/iupui/men/2026.html</t>
  </si>
  <si>
    <t>https://www.sports-reference.com/cbb/schools/iupui/men/2026-gamelogs.html</t>
  </si>
  <si>
    <t>Jackson State</t>
  </si>
  <si>
    <t>https://www.sports-reference.com/cbb/schools/jackson-state/men/2026.html</t>
  </si>
  <si>
    <t>https://www.sports-reference.com/cbb/schools/jackson-state/men/2026-gamelogs.html</t>
  </si>
  <si>
    <t>Jacksonville</t>
  </si>
  <si>
    <t>https://www.sports-reference.com/cbb/schools/jacksonville/men/2026.html</t>
  </si>
  <si>
    <t>https://www.sports-reference.com/cbb/schools/jacksonville/men/2026-gamelogs.html</t>
  </si>
  <si>
    <t>Jacksonville State</t>
  </si>
  <si>
    <t>https://www.sports-reference.com/cbb/schools/jacksonville-state/men/2026.html</t>
  </si>
  <si>
    <t>https://www.sports-reference.com/cbb/schools/jacksonville-state/men/2026-gamelogs.html</t>
  </si>
  <si>
    <t>James Madison</t>
  </si>
  <si>
    <t>https://www.sports-reference.com/cbb/schools/james-madison/men/2026.html</t>
  </si>
  <si>
    <t>https://www.sports-reference.com/cbb/schools/james-madison/men/2026-gamelogs.html</t>
  </si>
  <si>
    <t>https://www.sports-reference.com/cbb/schools/kansas/men/2026.html</t>
  </si>
  <si>
    <t>https://www.sports-reference.com/cbb/schools/kansas/men/2026-gamelogs.html</t>
  </si>
  <si>
    <t>Kansas City</t>
  </si>
  <si>
    <t>https://www.sports-reference.com/cbb/schools/missouri-kansas-city/men/2026.html</t>
  </si>
  <si>
    <t>https://www.sports-reference.com/cbb/schools/missouri-kansas-city/men/2026-gamelogs.html</t>
  </si>
  <si>
    <t>Kansas State</t>
  </si>
  <si>
    <t>https://www.sports-reference.com/cbb/schools/kansas-state/men/2026.html</t>
  </si>
  <si>
    <t>https://www.sports-reference.com/cbb/schools/kansas-state/men/2026-gamelogs.html</t>
  </si>
  <si>
    <t>Kennesaw State</t>
  </si>
  <si>
    <t>https://www.sports-reference.com/cbb/schools/kennesaw-state/men/2026.html</t>
  </si>
  <si>
    <t>https://www.sports-reference.com/cbb/schools/kennesaw-state/men/2026-gamelogs.html</t>
  </si>
  <si>
    <t>Kent State</t>
  </si>
  <si>
    <t>https://www.sports-reference.com/cbb/schools/kent-state/men/2026.html</t>
  </si>
  <si>
    <t>https://www.sports-reference.com/cbb/schools/kent-state/men/2026-gamelogs.html</t>
  </si>
  <si>
    <t>https://www.sports-reference.com/cbb/schools/kentucky/men/2026.html</t>
  </si>
  <si>
    <t>https://www.sports-reference.com/cbb/schools/kentucky/men/2026-gamelogs.html</t>
  </si>
  <si>
    <t>La Salle</t>
  </si>
  <si>
    <t>https://www.sports-reference.com/cbb/schools/la-salle/men/2026.html</t>
  </si>
  <si>
    <t>https://www.sports-reference.com/cbb/schools/la-salle/men/2026-gamelogs.html</t>
  </si>
  <si>
    <t>Lafayette</t>
  </si>
  <si>
    <t>https://www.sports-reference.com/cbb/schools/lafayette/men/2026.html</t>
  </si>
  <si>
    <t>https://www.sports-reference.com/cbb/schools/lafayette/men/2026-gamelogs.html</t>
  </si>
  <si>
    <t>Lamar</t>
  </si>
  <si>
    <t>https://www.sports-reference.com/cbb/schools/lamar/men/2026.html</t>
  </si>
  <si>
    <t>https://www.sports-reference.com/cbb/schools/lamar/men/2026-gamelogs.html</t>
  </si>
  <si>
    <t>Le Moyne</t>
  </si>
  <si>
    <t>https://www.sports-reference.com/cbb/schools/le-moyne/men/2026.html</t>
  </si>
  <si>
    <t>https://www.sports-reference.com/cbb/schools/le-moyne/men/2026-gamelogs.html</t>
  </si>
  <si>
    <t>Lehigh</t>
  </si>
  <si>
    <t>https://www.sports-reference.com/cbb/schools/lehigh/men/2026.html</t>
  </si>
  <si>
    <t>https://www.sports-reference.com/cbb/schools/lehigh/men/2026-gamelogs.html</t>
  </si>
  <si>
    <t>https://www.sports-reference.com/cbb/schools/liberty/men/2026.html</t>
  </si>
  <si>
    <t>https://www.sports-reference.com/cbb/schools/liberty/men/2026-gamelogs.html</t>
  </si>
  <si>
    <t>Lindenwood</t>
  </si>
  <si>
    <t>https://www.sports-reference.com/cbb/schools/lindenwood/men/2026.html</t>
  </si>
  <si>
    <t>https://www.sports-reference.com/cbb/schools/lindenwood/men/2026-gamelogs.html</t>
  </si>
  <si>
    <t>https://www.sports-reference.com/cbb/schools/lipscomb/men/2026.html</t>
  </si>
  <si>
    <t>https://www.sports-reference.com/cbb/schools/lipscomb/men/2026-gamelogs.html</t>
  </si>
  <si>
    <t>Little Rock</t>
  </si>
  <si>
    <t>https://www.sports-reference.com/cbb/schools/arkansas-little-rock/men/2026.html</t>
  </si>
  <si>
    <t>https://www.sports-reference.com/cbb/schools/arkansas-little-rock/men/2026-gamelogs.html</t>
  </si>
  <si>
    <t>Long Beach State</t>
  </si>
  <si>
    <t>https://www.sports-reference.com/cbb/schools/long-beach-state/men/2026.html</t>
  </si>
  <si>
    <t>https://www.sports-reference.com/cbb/schools/long-beach-state/men/2026-gamelogs.html</t>
  </si>
  <si>
    <t>Long Island University</t>
  </si>
  <si>
    <t>https://www.sports-reference.com/cbb/schools/long-island-university/men/2026.html</t>
  </si>
  <si>
    <t>https://www.sports-reference.com/cbb/schools/long-island-university/men/2026-gamelogs.html</t>
  </si>
  <si>
    <t>Longwood</t>
  </si>
  <si>
    <t>https://www.sports-reference.com/cbb/schools/longwood/men/2026.html</t>
  </si>
  <si>
    <t>https://www.sports-reference.com/cbb/schools/longwood/men/2026-gamelogs.html</t>
  </si>
  <si>
    <t>Louisiana</t>
  </si>
  <si>
    <t>https://www.sports-reference.com/cbb/schools/louisiana-lafayette/men/2026.html</t>
  </si>
  <si>
    <t>https://www.sports-reference.com/cbb/schools/louisiana-lafayette/men/2026-gamelogs.html</t>
  </si>
  <si>
    <t>Louisiana State</t>
  </si>
  <si>
    <t>https://www.sports-reference.com/cbb/schools/louisiana-state/men/2026.html</t>
  </si>
  <si>
    <t>https://www.sports-reference.com/cbb/schools/louisiana-state/men/2026-gamelogs.html</t>
  </si>
  <si>
    <t>Louisiana Tech</t>
  </si>
  <si>
    <t>https://www.sports-reference.com/cbb/schools/louisiana-tech/men/2026.html</t>
  </si>
  <si>
    <t>https://www.sports-reference.com/cbb/schools/louisiana-tech/men/2026-gamelogs.html</t>
  </si>
  <si>
    <t>Louisiana-Monroe</t>
  </si>
  <si>
    <t>https://www.sports-reference.com/cbb/schools/louisiana-monroe/men/2026.html</t>
  </si>
  <si>
    <t>https://www.sports-reference.com/cbb/schools/louisiana-monroe/men/2026-gamelogs.html</t>
  </si>
  <si>
    <t>https://www.sports-reference.com/cbb/schools/louisville/men/2026.html</t>
  </si>
  <si>
    <t>https://www.sports-reference.com/cbb/schools/louisville/men/2026-gamelogs.html</t>
  </si>
  <si>
    <t>Loyola (IL)</t>
  </si>
  <si>
    <t>https://www.sports-reference.com/cbb/schools/loyola-il/men/2026.html</t>
  </si>
  <si>
    <t>https://www.sports-reference.com/cbb/schools/loyola-il/men/2026-gamelogs.html</t>
  </si>
  <si>
    <t>Loyola (MD)</t>
  </si>
  <si>
    <t>https://www.sports-reference.com/cbb/schools/loyola-md/men/2026.html</t>
  </si>
  <si>
    <t>https://www.sports-reference.com/cbb/schools/loyola-md/men/2026-gamelogs.html</t>
  </si>
  <si>
    <t>Loyola Marymount</t>
  </si>
  <si>
    <t>https://www.sports-reference.com/cbb/schools/loyola-marymount/men/2026.html</t>
  </si>
  <si>
    <t>https://www.sports-reference.com/cbb/schools/loyola-marymount/men/2026-gamelogs.html</t>
  </si>
  <si>
    <t>Maine</t>
  </si>
  <si>
    <t>https://www.sports-reference.com/cbb/schools/maine/men/2026.html</t>
  </si>
  <si>
    <t>https://www.sports-reference.com/cbb/schools/maine/men/2026-gamelogs.html</t>
  </si>
  <si>
    <t>Manhattan</t>
  </si>
  <si>
    <t>https://www.sports-reference.com/cbb/schools/manhattan/men/2026.html</t>
  </si>
  <si>
    <t>https://www.sports-reference.com/cbb/schools/manhattan/men/2026-gamelogs.html</t>
  </si>
  <si>
    <t>Marist</t>
  </si>
  <si>
    <t>https://www.sports-reference.com/cbb/schools/marist/men/2026.html</t>
  </si>
  <si>
    <t>https://www.sports-reference.com/cbb/schools/marist/men/2026-gamelogs.html</t>
  </si>
  <si>
    <t>https://www.sports-reference.com/cbb/schools/marquette/men/2026.html</t>
  </si>
  <si>
    <t>https://www.sports-reference.com/cbb/schools/marquette/men/2026-gamelogs.html</t>
  </si>
  <si>
    <t>Marshall</t>
  </si>
  <si>
    <t>https://www.sports-reference.com/cbb/schools/marshall/men/2026.html</t>
  </si>
  <si>
    <t>https://www.sports-reference.com/cbb/schools/marshall/men/2026-gamelogs.html</t>
  </si>
  <si>
    <t>https://www.sports-reference.com/cbb/schools/maryland/men/2026.html</t>
  </si>
  <si>
    <t>https://www.sports-reference.com/cbb/schools/maryland/men/2026-gamelogs.html</t>
  </si>
  <si>
    <t>Maryland-Baltimore County</t>
  </si>
  <si>
    <t>https://www.sports-reference.com/cbb/schools/maryland-baltimore-county/men/2026.html</t>
  </si>
  <si>
    <t>https://www.sports-reference.com/cbb/schools/maryland-baltimore-county/men/2026-gamelogs.html</t>
  </si>
  <si>
    <t>Maryland-Eastern Shore</t>
  </si>
  <si>
    <t>https://www.sports-reference.com/cbb/schools/maryland-eastern-shore/men/2026.html</t>
  </si>
  <si>
    <t>https://www.sports-reference.com/cbb/schools/maryland-eastern-shore/men/2026-gamelogs.html</t>
  </si>
  <si>
    <t>Massachusetts</t>
  </si>
  <si>
    <t>https://www.sports-reference.com/cbb/schools/massachusetts/men/2026.html</t>
  </si>
  <si>
    <t>https://www.sports-reference.com/cbb/schools/massachusetts/men/2026-gamelogs.html</t>
  </si>
  <si>
    <t>Massachusetts-Lowell</t>
  </si>
  <si>
    <t>https://www.sports-reference.com/cbb/schools/massachusetts-lowell/men/2026.html</t>
  </si>
  <si>
    <t>https://www.sports-reference.com/cbb/schools/massachusetts-lowell/men/2026-gamelogs.html</t>
  </si>
  <si>
    <t>McNeese State</t>
  </si>
  <si>
    <t>https://www.sports-reference.com/cbb/schools/mcneese-state/men/2026.html</t>
  </si>
  <si>
    <t>https://www.sports-reference.com/cbb/schools/mcneese-state/men/2026-gamelogs.html</t>
  </si>
  <si>
    <t>https://www.sports-reference.com/cbb/schools/memphis/men/2026.html</t>
  </si>
  <si>
    <t>https://www.sports-reference.com/cbb/schools/memphis/men/2026-gamelogs.html</t>
  </si>
  <si>
    <t>Mercer</t>
  </si>
  <si>
    <t>https://www.sports-reference.com/cbb/schools/mercer/men/2026.html</t>
  </si>
  <si>
    <t>https://www.sports-reference.com/cbb/schools/mercer/men/2026-gamelogs.html</t>
  </si>
  <si>
    <t>Mercyhurst</t>
  </si>
  <si>
    <t>https://www.sports-reference.com/cbb/schools/mercyhurst/men/2026.html</t>
  </si>
  <si>
    <t>https://www.sports-reference.com/cbb/schools/mercyhurst/men/2026-gamelogs.html</t>
  </si>
  <si>
    <t>Merrimack</t>
  </si>
  <si>
    <t>https://www.sports-reference.com/cbb/schools/merrimack/men/2026.html</t>
  </si>
  <si>
    <t>https://www.sports-reference.com/cbb/schools/merrimack/men/2026-gamelogs.html</t>
  </si>
  <si>
    <t>Miami (FL)</t>
  </si>
  <si>
    <t>https://www.sports-reference.com/cbb/schools/miami-fl/men/2026.html</t>
  </si>
  <si>
    <t>https://www.sports-reference.com/cbb/schools/miami-fl/men/2026-gamelogs.html</t>
  </si>
  <si>
    <t>Miami (OH)</t>
  </si>
  <si>
    <t>https://www.sports-reference.com/cbb/schools/miami-oh/men/2026.html</t>
  </si>
  <si>
    <t>https://www.sports-reference.com/cbb/schools/miami-oh/men/2026-gamelogs.html</t>
  </si>
  <si>
    <t>https://www.sports-reference.com/cbb/schools/michigan/men/2026.html</t>
  </si>
  <si>
    <t>https://www.sports-reference.com/cbb/schools/michigan/men/2026-gamelogs.html</t>
  </si>
  <si>
    <t>https://www.sports-reference.com/cbb/schools/michigan-state/men/2026.html</t>
  </si>
  <si>
    <t>https://www.sports-reference.com/cbb/schools/michigan-state/men/2026-gamelogs.html</t>
  </si>
  <si>
    <t>Middle Tennessee</t>
  </si>
  <si>
    <t>https://www.sports-reference.com/cbb/schools/middle-tennessee/men/2026.html</t>
  </si>
  <si>
    <t>https://www.sports-reference.com/cbb/schools/middle-tennessee/men/2026-gamelogs.html</t>
  </si>
  <si>
    <t>Milwaukee</t>
  </si>
  <si>
    <t>https://www.sports-reference.com/cbb/schools/milwaukee/men/2026.html</t>
  </si>
  <si>
    <t>https://www.sports-reference.com/cbb/schools/milwaukee/men/2026-gamelogs.html</t>
  </si>
  <si>
    <t>Minnesota</t>
  </si>
  <si>
    <t>https://www.sports-reference.com/cbb/schools/minnesota/men/2026.html</t>
  </si>
  <si>
    <t>https://www.sports-reference.com/cbb/schools/minnesota/men/2026-gamelogs.html</t>
  </si>
  <si>
    <t>Mississippi</t>
  </si>
  <si>
    <t>https://www.sports-reference.com/cbb/schools/mississippi/men/2026.html</t>
  </si>
  <si>
    <t>https://www.sports-reference.com/cbb/schools/mississippi/men/2026-gamelogs.html</t>
  </si>
  <si>
    <t>https://www.sports-reference.com/cbb/schools/mississippi-state/men/2026.html</t>
  </si>
  <si>
    <t>https://www.sports-reference.com/cbb/schools/mississippi-state/men/2026-gamelogs.html</t>
  </si>
  <si>
    <t>Mississippi Valley State</t>
  </si>
  <si>
    <t>https://www.sports-reference.com/cbb/schools/mississippi-valley-state/men/2026.html</t>
  </si>
  <si>
    <t>https://www.sports-reference.com/cbb/schools/mississippi-valley-state/men/2026-gamelogs.html</t>
  </si>
  <si>
    <t>https://www.sports-reference.com/cbb/schools/missouri/men/2026.html</t>
  </si>
  <si>
    <t>https://www.sports-reference.com/cbb/schools/missouri/men/2026-gamelogs.html</t>
  </si>
  <si>
    <t>Missouri State</t>
  </si>
  <si>
    <t>https://www.sports-reference.com/cbb/schools/missouri-state/men/2026.html</t>
  </si>
  <si>
    <t>https://www.sports-reference.com/cbb/schools/missouri-state/men/2026-gamelogs.html</t>
  </si>
  <si>
    <t>Monmouth</t>
  </si>
  <si>
    <t>https://www.sports-reference.com/cbb/schools/monmouth/men/2026.html</t>
  </si>
  <si>
    <t>https://www.sports-reference.com/cbb/schools/monmouth/men/2026-gamelogs.html</t>
  </si>
  <si>
    <t>https://www.sports-reference.com/cbb/schools/montana/men/2026.html</t>
  </si>
  <si>
    <t>https://www.sports-reference.com/cbb/schools/montana/men/2026-gamelogs.html</t>
  </si>
  <si>
    <t>Montana State</t>
  </si>
  <si>
    <t>https://www.sports-reference.com/cbb/schools/montana-state/men/2026.html</t>
  </si>
  <si>
    <t>https://www.sports-reference.com/cbb/schools/montana-state/men/2026-gamelogs.html</t>
  </si>
  <si>
    <t>Morehead State</t>
  </si>
  <si>
    <t>https://www.sports-reference.com/cbb/schools/morehead-state/men/2026.html</t>
  </si>
  <si>
    <t>https://www.sports-reference.com/cbb/schools/morehead-state/men/2026-gamelogs.html</t>
  </si>
  <si>
    <t>Morgan State</t>
  </si>
  <si>
    <t>https://www.sports-reference.com/cbb/schools/morgan-state/men/2026.html</t>
  </si>
  <si>
    <t>https://www.sports-reference.com/cbb/schools/morgan-state/men/2026-gamelogs.html</t>
  </si>
  <si>
    <t>https://www.sports-reference.com/cbb/schools/mount-st-marys/men/2026.html</t>
  </si>
  <si>
    <t>https://www.sports-reference.com/cbb/schools/mount-st-marys/men/2026-gamelogs.html</t>
  </si>
  <si>
    <t>Murray State</t>
  </si>
  <si>
    <t>https://www.sports-reference.com/cbb/schools/murray-state/men/2026.html</t>
  </si>
  <si>
    <t>https://www.sports-reference.com/cbb/schools/murray-state/men/2026-gamelogs.html</t>
  </si>
  <si>
    <t>Navy</t>
  </si>
  <si>
    <t>https://www.sports-reference.com/cbb/schools/navy/men/2026.html</t>
  </si>
  <si>
    <t>https://www.sports-reference.com/cbb/schools/navy/men/2026-gamelogs.html</t>
  </si>
  <si>
    <t>NC State</t>
  </si>
  <si>
    <t>https://www.sports-reference.com/cbb/schools/north-carolina-state/men/2026.html</t>
  </si>
  <si>
    <t>https://www.sports-reference.com/cbb/schools/north-carolina-state/men/2026-gamelogs.html</t>
  </si>
  <si>
    <t>Nebraska</t>
  </si>
  <si>
    <t>https://www.sports-reference.com/cbb/schools/nebraska/men/2026.html</t>
  </si>
  <si>
    <t>https://www.sports-reference.com/cbb/schools/nebraska/men/2026-gamelogs.html</t>
  </si>
  <si>
    <t>Nevada</t>
  </si>
  <si>
    <t>https://www.sports-reference.com/cbb/schools/nevada/men/2026.html</t>
  </si>
  <si>
    <t>https://www.sports-reference.com/cbb/schools/nevada/men/2026-gamelogs.html</t>
  </si>
  <si>
    <t>Nevada-Las Vegas</t>
  </si>
  <si>
    <t>https://www.sports-reference.com/cbb/schools/nevada-las-vegas/men/2026.html</t>
  </si>
  <si>
    <t>https://www.sports-reference.com/cbb/schools/nevada-las-vegas/men/2026-gamelogs.html</t>
  </si>
  <si>
    <t>New Hampshire</t>
  </si>
  <si>
    <t>https://www.sports-reference.com/cbb/schools/new-hampshire/men/2026.html</t>
  </si>
  <si>
    <t>https://www.sports-reference.com/cbb/schools/new-hampshire/men/2026-gamelogs.html</t>
  </si>
  <si>
    <t>New Haven</t>
  </si>
  <si>
    <t>https://www.sports-reference.com/cbb/schools/new-haven/men/2026.html</t>
  </si>
  <si>
    <t>https://www.sports-reference.com/cbb/schools/new-haven/men/2026-gamelogs.html</t>
  </si>
  <si>
    <t>https://www.sports-reference.com/cbb/schools/new-mexico/men/2026.html</t>
  </si>
  <si>
    <t>https://www.sports-reference.com/cbb/schools/new-mexico/men/2026-gamelogs.html</t>
  </si>
  <si>
    <t>New Mexico State</t>
  </si>
  <si>
    <t>https://www.sports-reference.com/cbb/schools/new-mexico-state/men/2026.html</t>
  </si>
  <si>
    <t>https://www.sports-reference.com/cbb/schools/new-mexico-state/men/2026-gamelogs.html</t>
  </si>
  <si>
    <t>New Orleans</t>
  </si>
  <si>
    <t>https://www.sports-reference.com/cbb/schools/new-orleans/men/2026.html</t>
  </si>
  <si>
    <t>https://www.sports-reference.com/cbb/schools/new-orleans/men/2026-gamelogs.html</t>
  </si>
  <si>
    <t>Niagara</t>
  </si>
  <si>
    <t>https://www.sports-reference.com/cbb/schools/niagara/men/2026.html</t>
  </si>
  <si>
    <t>https://www.sports-reference.com/cbb/schools/niagara/men/2026-gamelogs.html</t>
  </si>
  <si>
    <t>Nicholls State</t>
  </si>
  <si>
    <t>https://www.sports-reference.com/cbb/schools/nicholls-state/men/2026.html</t>
  </si>
  <si>
    <t>https://www.sports-reference.com/cbb/schools/nicholls-state/men/2026-gamelogs.html</t>
  </si>
  <si>
    <t>NJIT</t>
  </si>
  <si>
    <t>https://www.sports-reference.com/cbb/schools/njit/men/2026.html</t>
  </si>
  <si>
    <t>https://www.sports-reference.com/cbb/schools/njit/men/2026-gamelogs.html</t>
  </si>
  <si>
    <t>https://www.sports-reference.com/cbb/schools/norfolk-state/men/2026.html</t>
  </si>
  <si>
    <t>https://www.sports-reference.com/cbb/schools/norfolk-state/men/2026-gamelogs.html</t>
  </si>
  <si>
    <t>North Alabama</t>
  </si>
  <si>
    <t>https://www.sports-reference.com/cbb/schools/north-alabama/men/2026.html</t>
  </si>
  <si>
    <t>https://www.sports-reference.com/cbb/schools/north-alabama/men/2026-gamelogs.html</t>
  </si>
  <si>
    <t>https://www.sports-reference.com/cbb/schools/north-carolina/men/2026.html</t>
  </si>
  <si>
    <t>https://www.sports-reference.com/cbb/schools/north-carolina/men/2026-gamelogs.html</t>
  </si>
  <si>
    <t>North Carolina A&amp;T</t>
  </si>
  <si>
    <t>https://www.sports-reference.com/cbb/schools/north-carolina-at/men/2026.html</t>
  </si>
  <si>
    <t>https://www.sports-reference.com/cbb/schools/north-carolina-at/men/2026-gamelogs.html</t>
  </si>
  <si>
    <t>North Carolina Central</t>
  </si>
  <si>
    <t>https://www.sports-reference.com/cbb/schools/north-carolina-central/men/2026.html</t>
  </si>
  <si>
    <t>https://www.sports-reference.com/cbb/schools/north-carolina-central/men/2026-gamelogs.html</t>
  </si>
  <si>
    <t>North Dakota</t>
  </si>
  <si>
    <t>https://www.sports-reference.com/cbb/schools/north-dakota/men/2026.html</t>
  </si>
  <si>
    <t>https://www.sports-reference.com/cbb/schools/north-dakota/men/2026-gamelogs.html</t>
  </si>
  <si>
    <t>North Dakota State</t>
  </si>
  <si>
    <t>https://www.sports-reference.com/cbb/schools/north-dakota-state/men/2026.html</t>
  </si>
  <si>
    <t>https://www.sports-reference.com/cbb/schools/north-dakota-state/men/2026-gamelogs.html</t>
  </si>
  <si>
    <t>North Florida</t>
  </si>
  <si>
    <t>https://www.sports-reference.com/cbb/schools/north-florida/men/2026.html</t>
  </si>
  <si>
    <t>https://www.sports-reference.com/cbb/schools/north-florida/men/2026-gamelogs.html</t>
  </si>
  <si>
    <t>North Texas</t>
  </si>
  <si>
    <t>https://www.sports-reference.com/cbb/schools/north-texas/men/2026.html</t>
  </si>
  <si>
    <t>https://www.sports-reference.com/cbb/schools/north-texas/men/2026-gamelogs.html</t>
  </si>
  <si>
    <t>Northeastern</t>
  </si>
  <si>
    <t>https://www.sports-reference.com/cbb/schools/northeastern/men/2026.html</t>
  </si>
  <si>
    <t>https://www.sports-reference.com/cbb/schools/northeastern/men/2026-gamelogs.html</t>
  </si>
  <si>
    <t>Northern Arizona</t>
  </si>
  <si>
    <t>https://www.sports-reference.com/cbb/schools/northern-arizona/men/2026.html</t>
  </si>
  <si>
    <t>https://www.sports-reference.com/cbb/schools/northern-arizona/men/2026-gamelogs.html</t>
  </si>
  <si>
    <t>Northern Colorado</t>
  </si>
  <si>
    <t>https://www.sports-reference.com/cbb/schools/northern-colorado/men/2026.html</t>
  </si>
  <si>
    <t>https://www.sports-reference.com/cbb/schools/northern-colorado/men/2026-gamelogs.html</t>
  </si>
  <si>
    <t>Northern Illinois</t>
  </si>
  <si>
    <t>https://www.sports-reference.com/cbb/schools/northern-illinois/men/2026.html</t>
  </si>
  <si>
    <t>https://www.sports-reference.com/cbb/schools/northern-illinois/men/2026-gamelogs.html</t>
  </si>
  <si>
    <t>Northern Iowa</t>
  </si>
  <si>
    <t>https://www.sports-reference.com/cbb/schools/northern-iowa/men/2026.html</t>
  </si>
  <si>
    <t>https://www.sports-reference.com/cbb/schools/northern-iowa/men/2026-gamelogs.html</t>
  </si>
  <si>
    <t>Northern Kentucky</t>
  </si>
  <si>
    <t>https://www.sports-reference.com/cbb/schools/northern-kentucky/men/2026.html</t>
  </si>
  <si>
    <t>https://www.sports-reference.com/cbb/schools/northern-kentucky/men/2026-gamelogs.html</t>
  </si>
  <si>
    <t>Northwestern</t>
  </si>
  <si>
    <t>https://www.sports-reference.com/cbb/schools/northwestern/men/2026.html</t>
  </si>
  <si>
    <t>https://www.sports-reference.com/cbb/schools/northwestern/men/2026-gamelogs.html</t>
  </si>
  <si>
    <t>Northwestern State</t>
  </si>
  <si>
    <t>https://www.sports-reference.com/cbb/schools/northwestern-state/men/2026.html</t>
  </si>
  <si>
    <t>https://www.sports-reference.com/cbb/schools/northwestern-state/men/2026-gamelogs.html</t>
  </si>
  <si>
    <t>Notre Dame</t>
  </si>
  <si>
    <t>https://www.sports-reference.com/cbb/schools/notre-dame/men/2026.html</t>
  </si>
  <si>
    <t>https://www.sports-reference.com/cbb/schools/notre-dame/men/2026-gamelogs.html</t>
  </si>
  <si>
    <t>Oakland</t>
  </si>
  <si>
    <t>https://www.sports-reference.com/cbb/schools/oakland/men/2026.html</t>
  </si>
  <si>
    <t>https://www.sports-reference.com/cbb/schools/oakland/men/2026-gamelogs.html</t>
  </si>
  <si>
    <t>Ohio</t>
  </si>
  <si>
    <t>https://www.sports-reference.com/cbb/schools/ohio/men/2026.html</t>
  </si>
  <si>
    <t>https://www.sports-reference.com/cbb/schools/ohio/men/2026-gamelogs.html</t>
  </si>
  <si>
    <t>Ohio State</t>
  </si>
  <si>
    <t>https://www.sports-reference.com/cbb/schools/ohio-state/men/2026.html</t>
  </si>
  <si>
    <t>https://www.sports-reference.com/cbb/schools/ohio-state/men/2026-gamelogs.html</t>
  </si>
  <si>
    <t>https://www.sports-reference.com/cbb/schools/oklahoma/men/2026.html</t>
  </si>
  <si>
    <t>https://www.sports-reference.com/cbb/schools/oklahoma/men/2026-gamelogs.html</t>
  </si>
  <si>
    <t>Oklahoma State</t>
  </si>
  <si>
    <t>https://www.sports-reference.com/cbb/schools/oklahoma-state/men/2026.html</t>
  </si>
  <si>
    <t>https://www.sports-reference.com/cbb/schools/oklahoma-state/men/2026-gamelogs.html</t>
  </si>
  <si>
    <t>Old Dominion</t>
  </si>
  <si>
    <t>https://www.sports-reference.com/cbb/schools/old-dominion/men/2026.html</t>
  </si>
  <si>
    <t>https://www.sports-reference.com/cbb/schools/old-dominion/men/2026-gamelogs.html</t>
  </si>
  <si>
    <t>https://www.sports-reference.com/cbb/schools/nebraska-omaha/men/2026.html</t>
  </si>
  <si>
    <t>https://www.sports-reference.com/cbb/schools/nebraska-omaha/men/2026-gamelogs.html</t>
  </si>
  <si>
    <t>Oral Roberts</t>
  </si>
  <si>
    <t>https://www.sports-reference.com/cbb/schools/oral-roberts/men/2026.html</t>
  </si>
  <si>
    <t>https://www.sports-reference.com/cbb/schools/oral-roberts/men/2026-gamelogs.html</t>
  </si>
  <si>
    <t>https://www.sports-reference.com/cbb/schools/oregon/men/2026.html</t>
  </si>
  <si>
    <t>https://www.sports-reference.com/cbb/schools/oregon/men/2026-gamelogs.html</t>
  </si>
  <si>
    <t>Oregon State</t>
  </si>
  <si>
    <t>https://www.sports-reference.com/cbb/schools/oregon-state/men/2026.html</t>
  </si>
  <si>
    <t>https://www.sports-reference.com/cbb/schools/oregon-state/men/2026-gamelogs.html</t>
  </si>
  <si>
    <t>Pacific</t>
  </si>
  <si>
    <t>https://www.sports-reference.com/cbb/schools/pacific/men/2026.html</t>
  </si>
  <si>
    <t>https://www.sports-reference.com/cbb/schools/pacific/men/2026-gamelogs.html</t>
  </si>
  <si>
    <t>Penn State</t>
  </si>
  <si>
    <t>https://www.sports-reference.com/cbb/schools/penn-state/men/2026.html</t>
  </si>
  <si>
    <t>https://www.sports-reference.com/cbb/schools/penn-state/men/2026-gamelogs.html</t>
  </si>
  <si>
    <t>Pennsylvania</t>
  </si>
  <si>
    <t>https://www.sports-reference.com/cbb/schools/pennsylvania/men/2026.html</t>
  </si>
  <si>
    <t>https://www.sports-reference.com/cbb/schools/pennsylvania/men/2026-gamelogs.html</t>
  </si>
  <si>
    <t>Pepperdine</t>
  </si>
  <si>
    <t>https://www.sports-reference.com/cbb/schools/pepperdine/men/2026.html</t>
  </si>
  <si>
    <t>https://www.sports-reference.com/cbb/schools/pepperdine/men/2026-gamelogs.html</t>
  </si>
  <si>
    <t>Pittsburgh</t>
  </si>
  <si>
    <t>https://www.sports-reference.com/cbb/schools/pittsburgh/men/2026.html</t>
  </si>
  <si>
    <t>https://www.sports-reference.com/cbb/schools/pittsburgh/men/2026-gamelogs.html</t>
  </si>
  <si>
    <t>Portland</t>
  </si>
  <si>
    <t>https://www.sports-reference.com/cbb/schools/portland/men/2026.html</t>
  </si>
  <si>
    <t>https://www.sports-reference.com/cbb/schools/portland/men/2026-gamelogs.html</t>
  </si>
  <si>
    <t>Portland State</t>
  </si>
  <si>
    <t>https://www.sports-reference.com/cbb/schools/portland-state/men/2026.html</t>
  </si>
  <si>
    <t>https://www.sports-reference.com/cbb/schools/portland-state/men/2026-gamelogs.html</t>
  </si>
  <si>
    <t>Prairie View</t>
  </si>
  <si>
    <t>https://www.sports-reference.com/cbb/schools/prairie-view/men/2026.html</t>
  </si>
  <si>
    <t>https://www.sports-reference.com/cbb/schools/prairie-view/men/2026-gamelogs.html</t>
  </si>
  <si>
    <t>Presbyterian</t>
  </si>
  <si>
    <t>https://www.sports-reference.com/cbb/schools/presbyterian/men/2026.html</t>
  </si>
  <si>
    <t>https://www.sports-reference.com/cbb/schools/presbyterian/men/2026-gamelogs.html</t>
  </si>
  <si>
    <t>Princeton</t>
  </si>
  <si>
    <t>https://www.sports-reference.com/cbb/schools/princeton/men/2026.html</t>
  </si>
  <si>
    <t>https://www.sports-reference.com/cbb/schools/princeton/men/2026-gamelogs.html</t>
  </si>
  <si>
    <t>Providence</t>
  </si>
  <si>
    <t>https://www.sports-reference.com/cbb/schools/providence/men/2026.html</t>
  </si>
  <si>
    <t>https://www.sports-reference.com/cbb/schools/providence/men/2026-gamelogs.html</t>
  </si>
  <si>
    <t>https://www.sports-reference.com/cbb/schools/purdue/men/2026.html</t>
  </si>
  <si>
    <t>https://www.sports-reference.com/cbb/schools/purdue/men/2026-gamelogs.html</t>
  </si>
  <si>
    <t>Purdue Fort Wayne</t>
  </si>
  <si>
    <t>https://www.sports-reference.com/cbb/schools/ipfw/men/2026.html</t>
  </si>
  <si>
    <t>https://www.sports-reference.com/cbb/schools/ipfw/men/2026-gamelogs.html</t>
  </si>
  <si>
    <t>Queens (NC)</t>
  </si>
  <si>
    <t>https://www.sports-reference.com/cbb/schools/queens-nc/men/2026.html</t>
  </si>
  <si>
    <t>https://www.sports-reference.com/cbb/schools/queens-nc/men/2026-gamelogs.html</t>
  </si>
  <si>
    <t>Quinnipiac</t>
  </si>
  <si>
    <t>https://www.sports-reference.com/cbb/schools/quinnipiac/men/2026.html</t>
  </si>
  <si>
    <t>https://www.sports-reference.com/cbb/schools/quinnipiac/men/2026-gamelogs.html</t>
  </si>
  <si>
    <t>Radford</t>
  </si>
  <si>
    <t>https://www.sports-reference.com/cbb/schools/radford/men/2026.html</t>
  </si>
  <si>
    <t>https://www.sports-reference.com/cbb/schools/radford/men/2026-gamelogs.html</t>
  </si>
  <si>
    <t>Rhode Island</t>
  </si>
  <si>
    <t>https://www.sports-reference.com/cbb/schools/rhode-island/men/2026.html</t>
  </si>
  <si>
    <t>https://www.sports-reference.com/cbb/schools/rhode-island/men/2026-gamelogs.html</t>
  </si>
  <si>
    <t>Rice</t>
  </si>
  <si>
    <t>https://www.sports-reference.com/cbb/schools/rice/men/2026.html</t>
  </si>
  <si>
    <t>https://www.sports-reference.com/cbb/schools/rice/men/2026-gamelogs.html</t>
  </si>
  <si>
    <t>Richmond</t>
  </si>
  <si>
    <t>https://www.sports-reference.com/cbb/schools/richmond/men/2026.html</t>
  </si>
  <si>
    <t>https://www.sports-reference.com/cbb/schools/richmond/men/2026-gamelogs.html</t>
  </si>
  <si>
    <t>Rider</t>
  </si>
  <si>
    <t>https://www.sports-reference.com/cbb/schools/rider/men/2026.html</t>
  </si>
  <si>
    <t>https://www.sports-reference.com/cbb/schools/rider/men/2026-gamelogs.html</t>
  </si>
  <si>
    <t>https://www.sports-reference.com/cbb/schools/robert-morris/men/2026.html</t>
  </si>
  <si>
    <t>https://www.sports-reference.com/cbb/schools/robert-morris/men/2026-gamelogs.html</t>
  </si>
  <si>
    <t>Rutgers</t>
  </si>
  <si>
    <t>https://www.sports-reference.com/cbb/schools/rutgers/men/2026.html</t>
  </si>
  <si>
    <t>https://www.sports-reference.com/cbb/schools/rutgers/men/2026-gamelogs.html</t>
  </si>
  <si>
    <t>Sacramento State</t>
  </si>
  <si>
    <t>https://www.sports-reference.com/cbb/schools/sacramento-state/men/2026.html</t>
  </si>
  <si>
    <t>https://www.sports-reference.com/cbb/schools/sacramento-state/men/2026-gamelogs.html</t>
  </si>
  <si>
    <t>Sacred Heart</t>
  </si>
  <si>
    <t>https://www.sports-reference.com/cbb/schools/sacred-heart/men/2026.html</t>
  </si>
  <si>
    <t>https://www.sports-reference.com/cbb/schools/sacred-heart/men/2026-gamelogs.html</t>
  </si>
  <si>
    <t>Saint Francis (PA)</t>
  </si>
  <si>
    <t>https://www.sports-reference.com/cbb/schools/saint-francis-pa/men/2026.html</t>
  </si>
  <si>
    <t>https://www.sports-reference.com/cbb/schools/saint-francis-pa/men/2026-gamelogs.html</t>
  </si>
  <si>
    <t>Saint Joseph's</t>
  </si>
  <si>
    <t>https://www.sports-reference.com/cbb/schools/saint-josephs/men/2026.html</t>
  </si>
  <si>
    <t>https://www.sports-reference.com/cbb/schools/saint-josephs/men/2026-gamelogs.html</t>
  </si>
  <si>
    <t>Saint Louis</t>
  </si>
  <si>
    <t>https://www.sports-reference.com/cbb/schools/saint-louis/men/2026.html</t>
  </si>
  <si>
    <t>https://www.sports-reference.com/cbb/schools/saint-louis/men/2026-gamelogs.html</t>
  </si>
  <si>
    <t>Saint Mary's (CA)</t>
  </si>
  <si>
    <t>https://www.sports-reference.com/cbb/schools/saint-marys-ca/men/2026.html</t>
  </si>
  <si>
    <t>https://www.sports-reference.com/cbb/schools/saint-marys-ca/men/2026-gamelogs.html</t>
  </si>
  <si>
    <t>Saint Peter's</t>
  </si>
  <si>
    <t>https://www.sports-reference.com/cbb/schools/saint-peters/men/2026.html</t>
  </si>
  <si>
    <t>https://www.sports-reference.com/cbb/schools/saint-peters/men/2026-gamelogs.html</t>
  </si>
  <si>
    <t>Sam Houston</t>
  </si>
  <si>
    <t>https://www.sports-reference.com/cbb/schools/sam-houston-state/men/2026.html</t>
  </si>
  <si>
    <t>https://www.sports-reference.com/cbb/schools/sam-houston-state/men/2026-gamelogs.html</t>
  </si>
  <si>
    <t>Samford</t>
  </si>
  <si>
    <t>https://www.sports-reference.com/cbb/schools/samford/men/2026.html</t>
  </si>
  <si>
    <t>https://www.sports-reference.com/cbb/schools/samford/men/2026-gamelogs.html</t>
  </si>
  <si>
    <t>San Diego</t>
  </si>
  <si>
    <t>https://www.sports-reference.com/cbb/schools/san-diego/men/2026.html</t>
  </si>
  <si>
    <t>https://www.sports-reference.com/cbb/schools/san-diego/men/2026-gamelogs.html</t>
  </si>
  <si>
    <t>https://www.sports-reference.com/cbb/schools/san-diego-state/men/2026.html</t>
  </si>
  <si>
    <t>https://www.sports-reference.com/cbb/schools/san-diego-state/men/2026-gamelogs.html</t>
  </si>
  <si>
    <t>San Francisco</t>
  </si>
  <si>
    <t>https://www.sports-reference.com/cbb/schools/san-francisco/men/2026.html</t>
  </si>
  <si>
    <t>https://www.sports-reference.com/cbb/schools/san-francisco/men/2026-gamelogs.html</t>
  </si>
  <si>
    <t>San Jose State</t>
  </si>
  <si>
    <t>https://www.sports-reference.com/cbb/schools/san-jose-state/men/2026.html</t>
  </si>
  <si>
    <t>https://www.sports-reference.com/cbb/schools/san-jose-state/men/2026-gamelogs.html</t>
  </si>
  <si>
    <t>Santa Clara</t>
  </si>
  <si>
    <t>https://www.sports-reference.com/cbb/schools/santa-clara/men/2026.html</t>
  </si>
  <si>
    <t>https://www.sports-reference.com/cbb/schools/santa-clara/men/2026-gamelogs.html</t>
  </si>
  <si>
    <t>Seattle</t>
  </si>
  <si>
    <t>https://www.sports-reference.com/cbb/schools/seattle/men/2026.html</t>
  </si>
  <si>
    <t>https://www.sports-reference.com/cbb/schools/seattle/men/2026-gamelogs.html</t>
  </si>
  <si>
    <t>Seton Hall</t>
  </si>
  <si>
    <t>https://www.sports-reference.com/cbb/schools/seton-hall/men/2026.html</t>
  </si>
  <si>
    <t>https://www.sports-reference.com/cbb/schools/seton-hall/men/2026-gamelogs.html</t>
  </si>
  <si>
    <t>Siena</t>
  </si>
  <si>
    <t>https://www.sports-reference.com/cbb/schools/siena/men/2026.html</t>
  </si>
  <si>
    <t>https://www.sports-reference.com/cbb/schools/siena/men/2026-gamelogs.html</t>
  </si>
  <si>
    <t>South Alabama</t>
  </si>
  <si>
    <t>https://www.sports-reference.com/cbb/schools/south-alabama/men/2026.html</t>
  </si>
  <si>
    <t>https://www.sports-reference.com/cbb/schools/south-alabama/men/2026-gamelogs.html</t>
  </si>
  <si>
    <t>South Carolina</t>
  </si>
  <si>
    <t>https://www.sports-reference.com/cbb/schools/south-carolina/men/2026.html</t>
  </si>
  <si>
    <t>https://www.sports-reference.com/cbb/schools/south-carolina/men/2026-gamelogs.html</t>
  </si>
  <si>
    <t>South Carolina State</t>
  </si>
  <si>
    <t>https://www.sports-reference.com/cbb/schools/south-carolina-state/men/2026.html</t>
  </si>
  <si>
    <t>https://www.sports-reference.com/cbb/schools/south-carolina-state/men/2026-gamelogs.html</t>
  </si>
  <si>
    <t>South Carolina Upstate</t>
  </si>
  <si>
    <t>https://www.sports-reference.com/cbb/schools/south-carolina-upstate/men/2026.html</t>
  </si>
  <si>
    <t>https://www.sports-reference.com/cbb/schools/south-carolina-upstate/men/2026-gamelogs.html</t>
  </si>
  <si>
    <t>South Dakota</t>
  </si>
  <si>
    <t>https://www.sports-reference.com/cbb/schools/south-dakota/men/2026.html</t>
  </si>
  <si>
    <t>https://www.sports-reference.com/cbb/schools/south-dakota/men/2026-gamelogs.html</t>
  </si>
  <si>
    <t>South Dakota State</t>
  </si>
  <si>
    <t>https://www.sports-reference.com/cbb/schools/south-dakota-state/men/2026.html</t>
  </si>
  <si>
    <t>https://www.sports-reference.com/cbb/schools/south-dakota-state/men/2026-gamelogs.html</t>
  </si>
  <si>
    <t>South Florida</t>
  </si>
  <si>
    <t>https://www.sports-reference.com/cbb/schools/south-florida/men/2026.html</t>
  </si>
  <si>
    <t>https://www.sports-reference.com/cbb/schools/south-florida/men/2026-gamelogs.html</t>
  </si>
  <si>
    <t>Southeast Missouri State</t>
  </si>
  <si>
    <t>https://www.sports-reference.com/cbb/schools/southeast-missouri-state/men/2026.html</t>
  </si>
  <si>
    <t>https://www.sports-reference.com/cbb/schools/southeast-missouri-state/men/2026-gamelogs.html</t>
  </si>
  <si>
    <t>Southeastern Louisiana</t>
  </si>
  <si>
    <t>https://www.sports-reference.com/cbb/schools/southeastern-louisiana/men/2026.html</t>
  </si>
  <si>
    <t>https://www.sports-reference.com/cbb/schools/southeastern-louisiana/men/2026-gamelogs.html</t>
  </si>
  <si>
    <t>https://www.sports-reference.com/cbb/schools/southern/men/2026.html</t>
  </si>
  <si>
    <t>https://www.sports-reference.com/cbb/schools/southern/men/2026-gamelogs.html</t>
  </si>
  <si>
    <t>Southern California</t>
  </si>
  <si>
    <t>https://www.sports-reference.com/cbb/schools/southern-california/men/2026.html</t>
  </si>
  <si>
    <t>https://www.sports-reference.com/cbb/schools/southern-california/men/2026-gamelogs.html</t>
  </si>
  <si>
    <t>Southern Illinois</t>
  </si>
  <si>
    <t>https://www.sports-reference.com/cbb/schools/southern-illinois/men/2026.html</t>
  </si>
  <si>
    <t>https://www.sports-reference.com/cbb/schools/southern-illinois/men/2026-gamelogs.html</t>
  </si>
  <si>
    <t>https://www.sports-reference.com/cbb/schools/southern-illinois-edwardsville/men/2026.html</t>
  </si>
  <si>
    <t>https://www.sports-reference.com/cbb/schools/southern-illinois-edwardsville/men/2026-gamelogs.html</t>
  </si>
  <si>
    <t>Southern Indiana</t>
  </si>
  <si>
    <t>https://www.sports-reference.com/cbb/schools/southern-indiana/men/2026.html</t>
  </si>
  <si>
    <t>https://www.sports-reference.com/cbb/schools/southern-indiana/men/2026-gamelogs.html</t>
  </si>
  <si>
    <t>Southern Methodist</t>
  </si>
  <si>
    <t>https://www.sports-reference.com/cbb/schools/southern-methodist/men/2026.html</t>
  </si>
  <si>
    <t>https://www.sports-reference.com/cbb/schools/southern-methodist/men/2026-gamelogs.html</t>
  </si>
  <si>
    <t>Southern Mississippi</t>
  </si>
  <si>
    <t>https://www.sports-reference.com/cbb/schools/southern-mississippi/men/2026.html</t>
  </si>
  <si>
    <t>https://www.sports-reference.com/cbb/schools/southern-mississippi/men/2026-gamelogs.html</t>
  </si>
  <si>
    <t>Southern Utah</t>
  </si>
  <si>
    <t>https://www.sports-reference.com/cbb/schools/southern-utah/men/2026.html</t>
  </si>
  <si>
    <t>https://www.sports-reference.com/cbb/schools/southern-utah/men/2026-gamelogs.html</t>
  </si>
  <si>
    <t>St. Bonaventure</t>
  </si>
  <si>
    <t>https://www.sports-reference.com/cbb/schools/st-bonaventure/men/2026.html</t>
  </si>
  <si>
    <t>https://www.sports-reference.com/cbb/schools/st-bonaventure/men/2026-gamelogs.html</t>
  </si>
  <si>
    <t>St. John's (NY)</t>
  </si>
  <si>
    <t>https://www.sports-reference.com/cbb/schools/st-johns-ny/men/2026.html</t>
  </si>
  <si>
    <t>https://www.sports-reference.com/cbb/schools/st-johns-ny/men/2026-gamelogs.html</t>
  </si>
  <si>
    <t>St. Thomas</t>
  </si>
  <si>
    <t>https://www.sports-reference.com/cbb/schools/st-thomas-mn/men/2026.html</t>
  </si>
  <si>
    <t>https://www.sports-reference.com/cbb/schools/st-thomas-mn/men/2026-gamelogs.html</t>
  </si>
  <si>
    <t>Stanford</t>
  </si>
  <si>
    <t>https://www.sports-reference.com/cbb/schools/stanford/men/2026.html</t>
  </si>
  <si>
    <t>https://www.sports-reference.com/cbb/schools/stanford/men/2026-gamelogs.html</t>
  </si>
  <si>
    <t>Stephen F. Austin</t>
  </si>
  <si>
    <t>https://www.sports-reference.com/cbb/schools/stephen-f-austin/men/2026.html</t>
  </si>
  <si>
    <t>https://www.sports-reference.com/cbb/schools/stephen-f-austin/men/2026-gamelogs.html</t>
  </si>
  <si>
    <t>Stetson</t>
  </si>
  <si>
    <t>https://www.sports-reference.com/cbb/schools/stetson/men/2026.html</t>
  </si>
  <si>
    <t>https://www.sports-reference.com/cbb/schools/stetson/men/2026-gamelogs.html</t>
  </si>
  <si>
    <t>Stonehill</t>
  </si>
  <si>
    <t>https://www.sports-reference.com/cbb/schools/stonehill/men/2026.html</t>
  </si>
  <si>
    <t>https://www.sports-reference.com/cbb/schools/stonehill/men/2026-gamelogs.html</t>
  </si>
  <si>
    <t>Stony Brook</t>
  </si>
  <si>
    <t>https://www.sports-reference.com/cbb/schools/stony-brook/men/2026.html</t>
  </si>
  <si>
    <t>https://www.sports-reference.com/cbb/schools/stony-brook/men/2026-gamelogs.html</t>
  </si>
  <si>
    <t>Syracuse</t>
  </si>
  <si>
    <t>https://www.sports-reference.com/cbb/schools/syracuse/men/2026.html</t>
  </si>
  <si>
    <t>https://www.sports-reference.com/cbb/schools/syracuse/men/2026-gamelogs.html</t>
  </si>
  <si>
    <t>Tarleton State</t>
  </si>
  <si>
    <t>https://www.sports-reference.com/cbb/schools/tarleton-state/men/2026.html</t>
  </si>
  <si>
    <t>https://www.sports-reference.com/cbb/schools/tarleton-state/men/2026-gamelogs.html</t>
  </si>
  <si>
    <t>TCU</t>
  </si>
  <si>
    <t>https://www.sports-reference.com/cbb/schools/texas-christian/men/2026.html</t>
  </si>
  <si>
    <t>https://www.sports-reference.com/cbb/schools/texas-christian/men/2026-gamelogs.html</t>
  </si>
  <si>
    <t>Temple</t>
  </si>
  <si>
    <t>https://www.sports-reference.com/cbb/schools/temple/men/2026.html</t>
  </si>
  <si>
    <t>https://www.sports-reference.com/cbb/schools/temple/men/2026-gamelogs.html</t>
  </si>
  <si>
    <t>https://www.sports-reference.com/cbb/schools/tennessee/men/2026.html</t>
  </si>
  <si>
    <t>https://www.sports-reference.com/cbb/schools/tennessee/men/2026-gamelogs.html</t>
  </si>
  <si>
    <t>Tennessee State</t>
  </si>
  <si>
    <t>https://www.sports-reference.com/cbb/schools/tennessee-state/men/2026.html</t>
  </si>
  <si>
    <t>https://www.sports-reference.com/cbb/schools/tennessee-state/men/2026-gamelogs.html</t>
  </si>
  <si>
    <t>Tennessee Tech</t>
  </si>
  <si>
    <t>https://www.sports-reference.com/cbb/schools/tennessee-tech/men/2026.html</t>
  </si>
  <si>
    <t>https://www.sports-reference.com/cbb/schools/tennessee-tech/men/2026-gamelogs.html</t>
  </si>
  <si>
    <t>Tennessee-Martin</t>
  </si>
  <si>
    <t>https://www.sports-reference.com/cbb/schools/tennessee-martin/men/2026.html</t>
  </si>
  <si>
    <t>https://www.sports-reference.com/cbb/schools/tennessee-martin/men/2026-gamelogs.html</t>
  </si>
  <si>
    <t>https://www.sports-reference.com/cbb/schools/texas/men/2026.html</t>
  </si>
  <si>
    <t>https://www.sports-reference.com/cbb/schools/texas/men/2026-gamelogs.html</t>
  </si>
  <si>
    <t>https://www.sports-reference.com/cbb/schools/texas-am/men/2026.html</t>
  </si>
  <si>
    <t>https://www.sports-reference.com/cbb/schools/texas-am/men/2026-gamelogs.html</t>
  </si>
  <si>
    <t>Texas A&amp;M-Corpus Christi</t>
  </si>
  <si>
    <t>https://www.sports-reference.com/cbb/schools/texas-am-corpus-christi/men/2026.html</t>
  </si>
  <si>
    <t>https://www.sports-reference.com/cbb/schools/texas-am-corpus-christi/men/2026-gamelogs.html</t>
  </si>
  <si>
    <t>Texas Southern</t>
  </si>
  <si>
    <t>https://www.sports-reference.com/cbb/schools/texas-southern/men/2026.html</t>
  </si>
  <si>
    <t>https://www.sports-reference.com/cbb/schools/texas-southern/men/2026-gamelogs.html</t>
  </si>
  <si>
    <t>Texas State</t>
  </si>
  <si>
    <t>https://www.sports-reference.com/cbb/schools/texas-state/men/2026.html</t>
  </si>
  <si>
    <t>https://www.sports-reference.com/cbb/schools/texas-state/men/2026-gamelogs.html</t>
  </si>
  <si>
    <t>https://www.sports-reference.com/cbb/schools/texas-tech/men/2026.html</t>
  </si>
  <si>
    <t>https://www.sports-reference.com/cbb/schools/texas-tech/men/2026-gamelogs.html</t>
  </si>
  <si>
    <t>Texas-Rio Grande Valley</t>
  </si>
  <si>
    <t>https://www.sports-reference.com/cbb/schools/texas-pan-american/men/2026.html</t>
  </si>
  <si>
    <t>https://www.sports-reference.com/cbb/schools/texas-pan-american/men/2026-gamelogs.html</t>
  </si>
  <si>
    <t>The Citadel</t>
  </si>
  <si>
    <t>https://www.sports-reference.com/cbb/schools/citadel/men/2026.html</t>
  </si>
  <si>
    <t>https://www.sports-reference.com/cbb/schools/citadel/men/2026-gamelogs.html</t>
  </si>
  <si>
    <t>Toledo</t>
  </si>
  <si>
    <t>https://www.sports-reference.com/cbb/schools/toledo/men/2026.html</t>
  </si>
  <si>
    <t>https://www.sports-reference.com/cbb/schools/toledo/men/2026-gamelogs.html</t>
  </si>
  <si>
    <t>Towson</t>
  </si>
  <si>
    <t>https://www.sports-reference.com/cbb/schools/towson/men/2026.html</t>
  </si>
  <si>
    <t>https://www.sports-reference.com/cbb/schools/towson/men/2026-gamelogs.html</t>
  </si>
  <si>
    <t>https://www.sports-reference.com/cbb/schools/troy/men/2026.html</t>
  </si>
  <si>
    <t>https://www.sports-reference.com/cbb/schools/troy/men/2026-gamelogs.html</t>
  </si>
  <si>
    <t>Tulane</t>
  </si>
  <si>
    <t>https://www.sports-reference.com/cbb/schools/tulane/men/2026.html</t>
  </si>
  <si>
    <t>https://www.sports-reference.com/cbb/schools/tulane/men/2026-gamelogs.html</t>
  </si>
  <si>
    <t>Tulsa</t>
  </si>
  <si>
    <t>https://www.sports-reference.com/cbb/schools/tulsa/men/2026.html</t>
  </si>
  <si>
    <t>https://www.sports-reference.com/cbb/schools/tulsa/men/2026-gamelogs.html</t>
  </si>
  <si>
    <t>UAB</t>
  </si>
  <si>
    <t>https://www.sports-reference.com/cbb/schools/alabama-birmingham/men/2026.html</t>
  </si>
  <si>
    <t>https://www.sports-reference.com/cbb/schools/alabama-birmingham/men/2026-gamelogs.html</t>
  </si>
  <si>
    <t>UC Davis</t>
  </si>
  <si>
    <t>https://www.sports-reference.com/cbb/schools/california-davis/men/2026.html</t>
  </si>
  <si>
    <t>https://www.sports-reference.com/cbb/schools/california-davis/men/2026-gamelogs.html</t>
  </si>
  <si>
    <t>UC Irvine</t>
  </si>
  <si>
    <t>https://www.sports-reference.com/cbb/schools/california-irvine/men/2026.html</t>
  </si>
  <si>
    <t>https://www.sports-reference.com/cbb/schools/california-irvine/men/2026-gamelogs.html</t>
  </si>
  <si>
    <t>UC Riverside</t>
  </si>
  <si>
    <t>https://www.sports-reference.com/cbb/schools/california-riverside/men/2026.html</t>
  </si>
  <si>
    <t>https://www.sports-reference.com/cbb/schools/california-riverside/men/2026-gamelogs.html</t>
  </si>
  <si>
    <t>https://www.sports-reference.com/cbb/schools/california-san-diego/men/2026.html</t>
  </si>
  <si>
    <t>https://www.sports-reference.com/cbb/schools/california-san-diego/men/2026-gamelogs.html</t>
  </si>
  <si>
    <t>UC Santa Barbara</t>
  </si>
  <si>
    <t>https://www.sports-reference.com/cbb/schools/california-santa-barbara/men/2026.html</t>
  </si>
  <si>
    <t>https://www.sports-reference.com/cbb/schools/california-santa-barbara/men/2026-gamelogs.html</t>
  </si>
  <si>
    <t>UCF</t>
  </si>
  <si>
    <t>https://www.sports-reference.com/cbb/schools/central-florida/men/2026.html</t>
  </si>
  <si>
    <t>https://www.sports-reference.com/cbb/schools/central-florida/men/2026-gamelogs.html</t>
  </si>
  <si>
    <t>https://www.sports-reference.com/cbb/schools/ucla/men/2026.html</t>
  </si>
  <si>
    <t>https://www.sports-reference.com/cbb/schools/ucla/men/2026-gamelogs.html</t>
  </si>
  <si>
    <t>UNC Asheville</t>
  </si>
  <si>
    <t>https://www.sports-reference.com/cbb/schools/north-carolina-asheville/men/2026.html</t>
  </si>
  <si>
    <t>https://www.sports-reference.com/cbb/schools/north-carolina-asheville/men/2026-gamelogs.html</t>
  </si>
  <si>
    <t>UNC Greensboro</t>
  </si>
  <si>
    <t>https://www.sports-reference.com/cbb/schools/north-carolina-greensboro/men/2026.html</t>
  </si>
  <si>
    <t>https://www.sports-reference.com/cbb/schools/north-carolina-greensboro/men/2026-gamelogs.html</t>
  </si>
  <si>
    <t>https://www.sports-reference.com/cbb/schools/north-carolina-wilmington/men/2026.html</t>
  </si>
  <si>
    <t>https://www.sports-reference.com/cbb/schools/north-carolina-wilmington/men/2026-gamelogs.html</t>
  </si>
  <si>
    <t>UT Arlington</t>
  </si>
  <si>
    <t>https://www.sports-reference.com/cbb/schools/texas-arlington/men/2026.html</t>
  </si>
  <si>
    <t>https://www.sports-reference.com/cbb/schools/texas-arlington/men/2026-gamelogs.html</t>
  </si>
  <si>
    <t>Utah</t>
  </si>
  <si>
    <t>https://www.sports-reference.com/cbb/schools/utah/men/2026.html</t>
  </si>
  <si>
    <t>https://www.sports-reference.com/cbb/schools/utah/men/2026-gamelogs.html</t>
  </si>
  <si>
    <t>https://www.sports-reference.com/cbb/schools/utah-state/men/2026.html</t>
  </si>
  <si>
    <t>https://www.sports-reference.com/cbb/schools/utah-state/men/2026-gamelogs.html</t>
  </si>
  <si>
    <t>Utah Tech</t>
  </si>
  <si>
    <t>https://www.sports-reference.com/cbb/schools/dixie-state/men/2026.html</t>
  </si>
  <si>
    <t>https://www.sports-reference.com/cbb/schools/dixie-state/men/2026-gamelogs.html</t>
  </si>
  <si>
    <t>Utah Valley</t>
  </si>
  <si>
    <t>https://www.sports-reference.com/cbb/schools/utah-valley/men/2026.html</t>
  </si>
  <si>
    <t>https://www.sports-reference.com/cbb/schools/utah-valley/men/2026-gamelogs.html</t>
  </si>
  <si>
    <t>UTEP</t>
  </si>
  <si>
    <t>https://www.sports-reference.com/cbb/schools/texas-el-paso/men/2026.html</t>
  </si>
  <si>
    <t>https://www.sports-reference.com/cbb/schools/texas-el-paso/men/2026-gamelogs.html</t>
  </si>
  <si>
    <t>UTSA</t>
  </si>
  <si>
    <t>https://www.sports-reference.com/cbb/schools/texas-san-antonio/men/2026.html</t>
  </si>
  <si>
    <t>https://www.sports-reference.com/cbb/schools/texas-san-antonio/men/2026-gamelogs.html</t>
  </si>
  <si>
    <t>Valparaiso</t>
  </si>
  <si>
    <t>https://www.sports-reference.com/cbb/schools/valparaiso/men/2026.html</t>
  </si>
  <si>
    <t>https://www.sports-reference.com/cbb/schools/valparaiso/men/2026-gamelogs.html</t>
  </si>
  <si>
    <t>https://www.sports-reference.com/cbb/schools/vanderbilt/men/2026.html</t>
  </si>
  <si>
    <t>https://www.sports-reference.com/cbb/schools/vanderbilt/men/2026-gamelogs.html</t>
  </si>
  <si>
    <t>Vermont</t>
  </si>
  <si>
    <t>https://www.sports-reference.com/cbb/schools/vermont/men/2026.html</t>
  </si>
  <si>
    <t>https://www.sports-reference.com/cbb/schools/vermont/men/2026-gamelogs.html</t>
  </si>
  <si>
    <t>Villanova</t>
  </si>
  <si>
    <t>https://www.sports-reference.com/cbb/schools/villanova/men/2026.html</t>
  </si>
  <si>
    <t>https://www.sports-reference.com/cbb/schools/villanova/men/2026-gamelogs.html</t>
  </si>
  <si>
    <t>Virginia</t>
  </si>
  <si>
    <t>https://www.sports-reference.com/cbb/schools/virginia/men/2026.html</t>
  </si>
  <si>
    <t>https://www.sports-reference.com/cbb/schools/virginia/men/2026-gamelogs.html</t>
  </si>
  <si>
    <t>Virginia Commonwealth</t>
  </si>
  <si>
    <t>https://www.sports-reference.com/cbb/schools/virginia-commonwealth/men/2026.html</t>
  </si>
  <si>
    <t>https://www.sports-reference.com/cbb/schools/virginia-commonwealth/men/2026-gamelogs.html</t>
  </si>
  <si>
    <t>VMI</t>
  </si>
  <si>
    <t>https://www.sports-reference.com/cbb/schools/virginia-military-institute/men/2026.html</t>
  </si>
  <si>
    <t>https://www.sports-reference.com/cbb/schools/virginia-military-institute/men/2026-gamelogs.html</t>
  </si>
  <si>
    <t>Virginia Tech</t>
  </si>
  <si>
    <t>https://www.sports-reference.com/cbb/schools/virginia-tech/men/2026.html</t>
  </si>
  <si>
    <t>https://www.sports-reference.com/cbb/schools/virginia-tech/men/2026-gamelogs.html</t>
  </si>
  <si>
    <t>Wagner</t>
  </si>
  <si>
    <t>https://www.sports-reference.com/cbb/schools/wagner/men/2026.html</t>
  </si>
  <si>
    <t>https://www.sports-reference.com/cbb/schools/wagner/men/2026-gamelogs.html</t>
  </si>
  <si>
    <t>Wake Forest</t>
  </si>
  <si>
    <t>https://www.sports-reference.com/cbb/schools/wake-forest/men/2026.html</t>
  </si>
  <si>
    <t>https://www.sports-reference.com/cbb/schools/wake-forest/men/2026-gamelogs.html</t>
  </si>
  <si>
    <t>Washington</t>
  </si>
  <si>
    <t>https://www.sports-reference.com/cbb/schools/washington/men/2026.html</t>
  </si>
  <si>
    <t>https://www.sports-reference.com/cbb/schools/washington/men/2026-gamelogs.html</t>
  </si>
  <si>
    <t>Washington State</t>
  </si>
  <si>
    <t>https://www.sports-reference.com/cbb/schools/washington-state/men/2026.html</t>
  </si>
  <si>
    <t>https://www.sports-reference.com/cbb/schools/washington-state/men/2026-gamelogs.html</t>
  </si>
  <si>
    <t>Weber State</t>
  </si>
  <si>
    <t>https://www.sports-reference.com/cbb/schools/weber-state/men/2026.html</t>
  </si>
  <si>
    <t>https://www.sports-reference.com/cbb/schools/weber-state/men/2026-gamelogs.html</t>
  </si>
  <si>
    <t>West Georgia</t>
  </si>
  <si>
    <t>https://www.sports-reference.com/cbb/schools/west-georgia/men/2026.html</t>
  </si>
  <si>
    <t>https://www.sports-reference.com/cbb/schools/west-georgia/men/2026-gamelogs.html</t>
  </si>
  <si>
    <t>West Virginia</t>
  </si>
  <si>
    <t>https://www.sports-reference.com/cbb/schools/west-virginia/men/2026.html</t>
  </si>
  <si>
    <t>https://www.sports-reference.com/cbb/schools/west-virginia/men/2026-gamelogs.html</t>
  </si>
  <si>
    <t>Western Carolina</t>
  </si>
  <si>
    <t>https://www.sports-reference.com/cbb/schools/western-carolina/men/2026.html</t>
  </si>
  <si>
    <t>https://www.sports-reference.com/cbb/schools/western-carolina/men/2026-gamelogs.html</t>
  </si>
  <si>
    <t>Western Illinois</t>
  </si>
  <si>
    <t>https://www.sports-reference.com/cbb/schools/western-illinois/men/2026.html</t>
  </si>
  <si>
    <t>https://www.sports-reference.com/cbb/schools/western-illinois/men/2026-gamelogs.html</t>
  </si>
  <si>
    <t>Western Kentucky</t>
  </si>
  <si>
    <t>https://www.sports-reference.com/cbb/schools/western-kentucky/men/2026.html</t>
  </si>
  <si>
    <t>https://www.sports-reference.com/cbb/schools/western-kentucky/men/2026-gamelogs.html</t>
  </si>
  <si>
    <t>Western Michigan</t>
  </si>
  <si>
    <t>https://www.sports-reference.com/cbb/schools/western-michigan/men/2026.html</t>
  </si>
  <si>
    <t>https://www.sports-reference.com/cbb/schools/western-michigan/men/2026-gamelogs.html</t>
  </si>
  <si>
    <t>Wichita State</t>
  </si>
  <si>
    <t>https://www.sports-reference.com/cbb/schools/wichita-state/men/2026.html</t>
  </si>
  <si>
    <t>https://www.sports-reference.com/cbb/schools/wichita-state/men/2026-gamelogs.html</t>
  </si>
  <si>
    <t>William &amp; Mary</t>
  </si>
  <si>
    <t>https://www.sports-reference.com/cbb/schools/william-mary/men/2026.html</t>
  </si>
  <si>
    <t>https://www.sports-reference.com/cbb/schools/william-mary/men/2026-gamelogs.html</t>
  </si>
  <si>
    <t>Winthrop</t>
  </si>
  <si>
    <t>https://www.sports-reference.com/cbb/schools/winthrop/men/2026.html</t>
  </si>
  <si>
    <t>https://www.sports-reference.com/cbb/schools/winthrop/men/2026-gamelogs.html</t>
  </si>
  <si>
    <t>https://www.sports-reference.com/cbb/schools/wisconsin/men/2026.html</t>
  </si>
  <si>
    <t>https://www.sports-reference.com/cbb/schools/wisconsin/men/2026-gamelogs.html</t>
  </si>
  <si>
    <t>https://www.sports-reference.com/cbb/schools/wofford/men/2026.html</t>
  </si>
  <si>
    <t>https://www.sports-reference.com/cbb/schools/wofford/men/2026-gamelogs.html</t>
  </si>
  <si>
    <t>Wright State</t>
  </si>
  <si>
    <t>https://www.sports-reference.com/cbb/schools/wright-state/men/2026.html</t>
  </si>
  <si>
    <t>https://www.sports-reference.com/cbb/schools/wright-state/men/2026-gamelogs.html</t>
  </si>
  <si>
    <t>Wyoming</t>
  </si>
  <si>
    <t>https://www.sports-reference.com/cbb/schools/wyoming/men/2026.html</t>
  </si>
  <si>
    <t>https://www.sports-reference.com/cbb/schools/wyoming/men/2026-gamelogs.html</t>
  </si>
  <si>
    <t>https://www.sports-reference.com/cbb/schools/xavier/men/2026.html</t>
  </si>
  <si>
    <t>https://www.sports-reference.com/cbb/schools/xavier/men/2026-gamelogs.html</t>
  </si>
  <si>
    <t>https://www.sports-reference.com/cbb/schools/yale/men/2026.html</t>
  </si>
  <si>
    <t>https://www.sports-reference.com/cbb/schools/yale/men/2026-gamelogs.html</t>
  </si>
  <si>
    <t>Youngstown State</t>
  </si>
  <si>
    <t>https://www.sports-reference.com/cbb/schools/youngstown-state/men/2026.html</t>
  </si>
  <si>
    <t>https://www.sports-reference.com/cbb/schools/youngstown-state/men/2026-gamelogs.html</t>
  </si>
  <si>
    <t>PartialLink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</si>
</sst>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5" x14ac:knownFonts="1">
    <font>
      <sz val="10"/>
      <color theme="1"/>
      <name val="Arial"/>
      <family val="2"/>
    </font>
    <font>
      <b/>
      <sz val="11"/>
      <color indexed="8"/>
      <name val="Arial"/>
      <family val="2"/>
    </font>
    <font>
      <sz val="8"/>
      <color indexed="8"/>
      <name val="Arial"/>
      <family val="2"/>
    </font>
    <font>
      <b/>
      <sz val="12"/>
      <color indexed="8"/>
      <name val="Arial"/>
      <family val="2"/>
    </font>
    <font>
      <sz val="8"/>
      <color indexed="81"/>
      <name val="Tahoma"/>
      <family val="2"/>
    </font>
    <font>
      <sz val="10"/>
      <color indexed="8"/>
      <name val="Arial"/>
      <family val="2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color theme="3"/>
      <name val="Arial"/>
      <family val="2"/>
    </font>
    <font>
      <sz val="10"/>
      <color theme="3"/>
      <name val="Arial"/>
      <family val="2"/>
    </font>
    <font>
      <b/>
      <sz val="10"/>
      <color theme="1"/>
      <name val="Arial"/>
      <family val="2"/>
    </font>
    <font>
      <sz val="8"/>
      <name val="Arial"/>
      <family val="2"/>
    </font>
    <font>
      <sz val="10"/>
      <color theme="1"/>
      <name val="Georgia Pro Light"/>
      <family val="1"/>
    </font>
    <font>
      <i/>
      <sz val="11"/>
      <color indexed="8"/>
      <name val="Lucida Bright"/>
      <family val="1"/>
    </font>
    <font>
      <i/>
      <sz val="11"/>
      <color rgb="FF003E64"/>
      <name val="Lucida Bright"/>
      <family val="1"/>
    </font>
    <font>
      <b/>
      <sz val="18"/>
      <color rgb="FF003E64"/>
      <name val="Georgia Pro Semibold"/>
      <family val="1"/>
    </font>
    <font>
      <sz val="10"/>
      <color rgb="FFFCF7F2"/>
      <name val="Arial"/>
      <family val="2"/>
    </font>
    <font>
      <sz val="28"/>
      <color rgb="FF003E64"/>
      <name val="Georgia Pro Semibold"/>
      <family val="1"/>
    </font>
    <font>
      <b/>
      <sz val="16"/>
      <name val="Georgia Pro Semibold"/>
      <family val="1"/>
    </font>
    <font>
      <sz val="11"/>
      <color indexed="8"/>
      <name val="Arial"/>
      <family val="2"/>
    </font>
    <font>
      <sz val="11"/>
      <color theme="1"/>
      <name val="Arial"/>
      <family val="2"/>
    </font>
    <font>
      <sz val="11"/>
      <color indexed="23"/>
      <name val="Arial"/>
      <family val="2"/>
    </font>
    <font>
      <sz val="11"/>
      <color indexed="8"/>
      <name val="Garamond"/>
      <family val="1"/>
    </font>
    <font>
      <sz val="11"/>
      <color rgb="FF003E64"/>
      <name val="Lucida Bright"/>
      <family val="1"/>
    </font>
    <font>
      <u/>
      <sz val="11"/>
      <color indexed="12"/>
      <name val="Arial"/>
      <family val="2"/>
    </font>
    <font>
      <sz val="12"/>
      <color theme="1"/>
      <name val="Arial"/>
      <family val="2"/>
    </font>
    <font>
      <sz val="12"/>
      <color indexed="23"/>
      <name val="Arial"/>
      <family val="2"/>
    </font>
    <font>
      <sz val="12"/>
      <color theme="1"/>
      <name val="Georgia Pro Light"/>
      <family val="1"/>
    </font>
    <font>
      <sz val="12"/>
      <color indexed="23"/>
      <name val="Georgia Pro Light"/>
      <family val="1"/>
    </font>
    <font>
      <sz val="12"/>
      <name val="Georgia Pro Light"/>
      <family val="1"/>
    </font>
    <font>
      <i/>
      <sz val="14"/>
      <color indexed="8"/>
      <name val="Lucida Bright"/>
      <family val="1"/>
    </font>
    <font>
      <i/>
      <sz val="14"/>
      <color rgb="FF003E64"/>
      <name val="Lucida Bright"/>
      <family val="1"/>
    </font>
    <font>
      <sz val="14"/>
      <color theme="1"/>
      <name val="Arial"/>
      <family val="2"/>
    </font>
    <font>
      <sz val="14"/>
      <color theme="1"/>
      <name val="Georgia Pro Light"/>
      <family val="1"/>
    </font>
    <font>
      <sz val="10.5"/>
      <color indexed="8"/>
      <name val="Georgia Pro Semibold"/>
      <family val="1"/>
    </font>
    <font>
      <sz val="10.5"/>
      <color theme="1"/>
      <name val="Georgia Pro Semibold"/>
      <family val="1"/>
    </font>
    <font>
      <b/>
      <sz val="11"/>
      <color indexed="8"/>
      <name val="Georgia Pro Semibold"/>
      <family val="1"/>
    </font>
    <font>
      <sz val="11"/>
      <color theme="1"/>
      <name val="Georgia Pro Semibold"/>
      <family val="1"/>
    </font>
    <font>
      <sz val="10"/>
      <color theme="1"/>
      <name val="Georgia Pro Semibold"/>
      <family val="1"/>
    </font>
    <font>
      <b/>
      <sz val="14"/>
      <color indexed="9"/>
      <name val="Lucida Bright"/>
      <family val="1"/>
    </font>
    <font>
      <sz val="14"/>
      <color indexed="9"/>
      <name val="Lucida Bright"/>
      <family val="1"/>
    </font>
    <font>
      <sz val="14"/>
      <color theme="1"/>
      <name val="Lucida Bright"/>
      <family val="1"/>
    </font>
    <font>
      <b/>
      <sz val="14"/>
      <color theme="3"/>
      <name val="Lucida Bright"/>
      <family val="1"/>
    </font>
    <font>
      <sz val="14"/>
      <name val="Lucida Bright"/>
      <family val="1"/>
    </font>
    <font>
      <sz val="10"/>
      <color rgb="FFFCF7F2"/>
      <name val="Georgia Pro"/>
      <family val="1"/>
    </font>
    <font>
      <sz val="16"/>
      <color rgb="FFFCF7F2"/>
      <name val="Georgia Pro"/>
      <family val="1"/>
    </font>
    <font>
      <b/>
      <sz val="11"/>
      <color indexed="9"/>
      <name val="Georgia Pro"/>
      <family val="1"/>
    </font>
    <font>
      <b/>
      <sz val="14"/>
      <color indexed="9"/>
      <name val="Georgia Pro"/>
      <family val="1"/>
    </font>
    <font>
      <sz val="10"/>
      <color theme="1"/>
      <name val="Georgia Pro"/>
      <family val="1"/>
    </font>
    <font>
      <sz val="12"/>
      <color rgb="FFF67008"/>
      <name val="Arial"/>
      <family val="2"/>
    </font>
    <font>
      <sz val="8"/>
      <color rgb="FFE6E8F0"/>
      <name val="Courier New"/>
      <family val="3"/>
    </font>
    <font>
      <b/>
      <sz val="10"/>
      <color theme="1"/>
      <name val="Georgia Pro"/>
      <family val="1"/>
    </font>
    <font>
      <sz val="8"/>
      <color theme="1"/>
      <name val="Georgia Pro"/>
      <family val="1"/>
    </font>
    <font>
      <sz val="9"/>
      <color theme="1" tint="0.14999847407452621"/>
      <name val="Georgia Pro"/>
      <family val="1"/>
    </font>
    <font>
      <b/>
      <sz val="11"/>
      <color theme="1" tint="0.14999847407452621"/>
      <name val="Georgia Pro"/>
      <family val="1"/>
    </font>
  </fonts>
  <fills count="10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CF7F2"/>
        <bgColor indexed="64"/>
      </patternFill>
    </fill>
    <fill>
      <patternFill patternType="solid">
        <fgColor rgb="FF003E64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 style="medium">
        <color indexed="64"/>
      </bottom>
      <diagonal/>
    </border>
    <border>
      <left style="medium">
        <color indexed="64"/>
      </left>
      <right style="dotted">
        <color indexed="55"/>
      </right>
      <top style="dotted">
        <color indexed="55"/>
      </top>
      <bottom style="medium">
        <color indexed="64"/>
      </bottom>
      <diagonal/>
    </border>
    <border>
      <left/>
      <right style="dotted">
        <color indexed="55"/>
      </right>
      <top style="dotted">
        <color indexed="55"/>
      </top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 style="dotted">
        <color indexed="55"/>
      </top>
      <bottom/>
      <diagonal/>
    </border>
    <border>
      <left style="medium">
        <color indexed="64"/>
      </left>
      <right style="dotted">
        <color indexed="55"/>
      </right>
      <top/>
      <bottom style="medium">
        <color indexed="64"/>
      </bottom>
      <diagonal/>
    </border>
    <border>
      <left style="dotted">
        <color indexed="55"/>
      </left>
      <right style="medium">
        <color indexed="64"/>
      </right>
      <top style="dotted">
        <color indexed="55"/>
      </top>
      <bottom/>
      <diagonal/>
    </border>
    <border>
      <left style="dotted">
        <color indexed="55"/>
      </left>
      <right style="medium">
        <color indexed="64"/>
      </right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/>
      <bottom style="medium">
        <color indexed="64"/>
      </bottom>
      <diagonal/>
    </border>
    <border>
      <left/>
      <right/>
      <top/>
      <bottom style="thin">
        <color theme="1" tint="0.499984740745262"/>
      </bottom>
      <diagonal/>
    </border>
    <border>
      <left/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/>
      <right/>
      <top style="thin">
        <color theme="1" tint="0.499984740745262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theme="1" tint="0.499984740745262"/>
      </top>
      <bottom/>
      <diagonal/>
    </border>
    <border>
      <left style="dotted">
        <color indexed="55"/>
      </left>
      <right/>
      <top/>
      <bottom style="medium">
        <color indexed="64"/>
      </bottom>
      <diagonal/>
    </border>
    <border>
      <left style="dotted">
        <color indexed="55"/>
      </left>
      <right style="dotted">
        <color indexed="55"/>
      </right>
      <top style="dotted">
        <color theme="5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/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/>
      <top style="thin">
        <color theme="1" tint="0.499984740745262"/>
      </top>
      <bottom style="medium">
        <color indexed="64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indexed="64"/>
      </bottom>
      <diagonal/>
    </border>
    <border>
      <left/>
      <right/>
      <top style="thin">
        <color theme="1" tint="0.499984740745262"/>
      </top>
      <bottom style="medium">
        <color indexed="64"/>
      </bottom>
      <diagonal/>
    </border>
    <border>
      <left/>
      <right style="thin">
        <color theme="1" tint="0.499984740745262"/>
      </right>
      <top style="thin">
        <color theme="1" tint="0.499984740745262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/>
      <top style="medium">
        <color indexed="64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medium">
        <color indexed="64"/>
      </top>
      <bottom style="thin">
        <color theme="1" tint="0.499984740745262"/>
      </bottom>
      <diagonal/>
    </border>
    <border>
      <left/>
      <right/>
      <top style="medium">
        <color indexed="64"/>
      </top>
      <bottom style="thin">
        <color theme="1" tint="0.499984740745262"/>
      </bottom>
      <diagonal/>
    </border>
    <border>
      <left/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/>
      <diagonal/>
    </border>
    <border>
      <left/>
      <right style="thin">
        <color theme="1" tint="0.499984740745262"/>
      </right>
      <top style="medium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theme="1" tint="0.499984740745262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theme="1" tint="0.499984740745262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tted">
        <color indexed="55"/>
      </left>
      <right/>
      <top/>
      <bottom/>
      <diagonal/>
    </border>
    <border>
      <left/>
      <right style="dotted">
        <color indexed="55"/>
      </right>
      <top/>
      <bottom/>
      <diagonal/>
    </border>
    <border>
      <left/>
      <right style="dotted">
        <color indexed="55"/>
      </right>
      <top/>
      <bottom style="medium">
        <color indexed="64"/>
      </bottom>
      <diagonal/>
    </border>
    <border>
      <left style="medium">
        <color indexed="64"/>
      </left>
      <right style="thin">
        <color theme="1" tint="0.499984740745262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299">
    <xf numFmtId="0" fontId="0" fillId="0" borderId="0" xfId="0"/>
    <xf numFmtId="0" fontId="0" fillId="0" borderId="0" xfId="0" applyAlignment="1">
      <alignment horizontal="center"/>
    </xf>
    <xf numFmtId="0" fontId="0" fillId="6" borderId="0" xfId="0" applyFill="1"/>
    <xf numFmtId="0" fontId="0" fillId="6" borderId="0" xfId="0" applyFill="1" applyAlignment="1">
      <alignment horizontal="center"/>
    </xf>
    <xf numFmtId="0" fontId="1" fillId="6" borderId="5" xfId="0" applyFont="1" applyFill="1" applyBorder="1"/>
    <xf numFmtId="0" fontId="1" fillId="6" borderId="6" xfId="0" applyFont="1" applyFill="1" applyBorder="1"/>
    <xf numFmtId="0" fontId="0" fillId="6" borderId="0" xfId="0" applyFill="1" applyAlignment="1">
      <alignment vertical="center"/>
    </xf>
    <xf numFmtId="0" fontId="7" fillId="6" borderId="0" xfId="0" applyFont="1" applyFill="1" applyAlignment="1">
      <alignment horizontal="center" vertical="center"/>
    </xf>
    <xf numFmtId="0" fontId="5" fillId="6" borderId="0" xfId="0" applyFont="1" applyFill="1"/>
    <xf numFmtId="0" fontId="8" fillId="6" borderId="0" xfId="0" applyFont="1" applyFill="1" applyAlignment="1">
      <alignment vertical="center"/>
    </xf>
    <xf numFmtId="0" fontId="9" fillId="6" borderId="0" xfId="0" applyFont="1" applyFill="1" applyAlignment="1">
      <alignment vertical="top" wrapText="1"/>
    </xf>
    <xf numFmtId="0" fontId="10" fillId="6" borderId="1" xfId="0" applyFont="1" applyFill="1" applyBorder="1" applyAlignment="1">
      <alignment horizontal="center" vertical="center"/>
    </xf>
    <xf numFmtId="0" fontId="12" fillId="6" borderId="0" xfId="0" applyFont="1" applyFill="1"/>
    <xf numFmtId="0" fontId="13" fillId="6" borderId="0" xfId="0" applyFont="1" applyFill="1" applyAlignment="1">
      <alignment horizontal="center" vertical="center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/>
    </xf>
    <xf numFmtId="0" fontId="14" fillId="6" borderId="0" xfId="0" applyFont="1" applyFill="1" applyAlignment="1">
      <alignment horizontal="left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/>
    <xf numFmtId="0" fontId="13" fillId="6" borderId="0" xfId="0" applyFont="1" applyFill="1" applyAlignment="1">
      <alignment horizontal="center"/>
    </xf>
    <xf numFmtId="0" fontId="15" fillId="6" borderId="0" xfId="0" applyFont="1" applyFill="1" applyAlignment="1">
      <alignment horizontal="center"/>
    </xf>
    <xf numFmtId="0" fontId="0" fillId="7" borderId="0" xfId="0" applyFill="1" applyAlignment="1">
      <alignment horizontal="center" vertical="center"/>
    </xf>
    <xf numFmtId="0" fontId="1" fillId="6" borderId="0" xfId="0" applyFont="1" applyFill="1" applyAlignment="1">
      <alignment horizontal="center"/>
    </xf>
    <xf numFmtId="0" fontId="19" fillId="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0" xfId="0" applyFont="1" applyFill="1"/>
    <xf numFmtId="0" fontId="21" fillId="6" borderId="0" xfId="0" applyFont="1" applyFill="1" applyAlignment="1">
      <alignment horizontal="right"/>
    </xf>
    <xf numFmtId="0" fontId="22" fillId="8" borderId="10" xfId="0" applyFont="1" applyFill="1" applyBorder="1" applyAlignment="1">
      <alignment horizontal="center"/>
    </xf>
    <xf numFmtId="0" fontId="22" fillId="6" borderId="0" xfId="0" applyFont="1" applyFill="1" applyAlignment="1">
      <alignment horizontal="center"/>
    </xf>
    <xf numFmtId="0" fontId="23" fillId="6" borderId="0" xfId="0" applyFont="1" applyFill="1"/>
    <xf numFmtId="0" fontId="20" fillId="6" borderId="5" xfId="0" applyFont="1" applyFill="1" applyBorder="1"/>
    <xf numFmtId="0" fontId="20" fillId="6" borderId="6" xfId="0" applyFont="1" applyFill="1" applyBorder="1"/>
    <xf numFmtId="0" fontId="22" fillId="8" borderId="13" xfId="0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26" fillId="6" borderId="0" xfId="0" applyFont="1" applyFill="1"/>
    <xf numFmtId="0" fontId="25" fillId="6" borderId="0" xfId="0" applyFont="1" applyFill="1"/>
    <xf numFmtId="0" fontId="27" fillId="6" borderId="10" xfId="0" applyFont="1" applyFill="1" applyBorder="1" applyAlignment="1">
      <alignment horizontal="left" indent="1"/>
    </xf>
    <xf numFmtId="0" fontId="27" fillId="6" borderId="10" xfId="0" applyFont="1" applyFill="1" applyBorder="1" applyAlignment="1">
      <alignment horizontal="right" indent="1" shrinkToFit="1"/>
    </xf>
    <xf numFmtId="0" fontId="28" fillId="6" borderId="0" xfId="0" applyFont="1" applyFill="1" applyAlignment="1">
      <alignment horizontal="left" indent="1"/>
    </xf>
    <xf numFmtId="0" fontId="28" fillId="6" borderId="0" xfId="0" applyFont="1" applyFill="1" applyAlignment="1">
      <alignment horizontal="right" indent="1" shrinkToFit="1"/>
    </xf>
    <xf numFmtId="0" fontId="27" fillId="6" borderId="10" xfId="0" applyFont="1" applyFill="1" applyBorder="1" applyAlignment="1">
      <alignment horizontal="left" indent="1" shrinkToFit="1"/>
    </xf>
    <xf numFmtId="0" fontId="29" fillId="6" borderId="10" xfId="0" applyFont="1" applyFill="1" applyBorder="1" applyAlignment="1">
      <alignment horizontal="left" indent="1"/>
    </xf>
    <xf numFmtId="0" fontId="27" fillId="6" borderId="0" xfId="0" applyFont="1" applyFill="1"/>
    <xf numFmtId="0" fontId="31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35" fillId="6" borderId="10" xfId="0" applyFont="1" applyFill="1" applyBorder="1" applyAlignment="1">
      <alignment horizontal="center" vertical="center" shrinkToFit="1"/>
    </xf>
    <xf numFmtId="0" fontId="34" fillId="6" borderId="4" xfId="0" applyFont="1" applyFill="1" applyBorder="1" applyAlignment="1">
      <alignment horizontal="right"/>
    </xf>
    <xf numFmtId="0" fontId="35" fillId="6" borderId="11" xfId="0" applyFont="1" applyFill="1" applyBorder="1" applyAlignment="1">
      <alignment horizontal="center" vertical="center" shrinkToFit="1"/>
    </xf>
    <xf numFmtId="0" fontId="35" fillId="6" borderId="4" xfId="0" applyFont="1" applyFill="1" applyBorder="1" applyAlignment="1">
      <alignment horizontal="center"/>
    </xf>
    <xf numFmtId="0" fontId="35" fillId="6" borderId="6" xfId="0" applyFont="1" applyFill="1" applyBorder="1" applyAlignment="1">
      <alignment horizontal="center"/>
    </xf>
    <xf numFmtId="0" fontId="35" fillId="6" borderId="3" xfId="0" applyFont="1" applyFill="1" applyBorder="1" applyAlignment="1">
      <alignment horizontal="center"/>
    </xf>
    <xf numFmtId="0" fontId="36" fillId="6" borderId="0" xfId="0" applyFont="1" applyFill="1" applyAlignment="1">
      <alignment horizontal="center"/>
    </xf>
    <xf numFmtId="0" fontId="37" fillId="6" borderId="0" xfId="0" applyFont="1" applyFill="1" applyAlignment="1">
      <alignment horizontal="center"/>
    </xf>
    <xf numFmtId="0" fontId="38" fillId="6" borderId="0" xfId="0" applyFont="1" applyFill="1" applyAlignment="1">
      <alignment horizontal="center"/>
    </xf>
    <xf numFmtId="0" fontId="35" fillId="6" borderId="2" xfId="0" applyFont="1" applyFill="1" applyBorder="1" applyAlignment="1">
      <alignment horizontal="center"/>
    </xf>
    <xf numFmtId="0" fontId="35" fillId="6" borderId="5" xfId="0" applyFont="1" applyFill="1" applyBorder="1" applyAlignment="1">
      <alignment horizontal="center"/>
    </xf>
    <xf numFmtId="0" fontId="35" fillId="6" borderId="0" xfId="0" applyFont="1" applyFill="1"/>
    <xf numFmtId="0" fontId="35" fillId="6" borderId="10" xfId="0" applyFont="1" applyFill="1" applyBorder="1" applyAlignment="1">
      <alignment horizontal="center" shrinkToFit="1"/>
    </xf>
    <xf numFmtId="0" fontId="35" fillId="6" borderId="12" xfId="0" applyFont="1" applyFill="1" applyBorder="1" applyAlignment="1">
      <alignment horizontal="center" shrinkToFit="1"/>
    </xf>
    <xf numFmtId="0" fontId="30" fillId="7" borderId="0" xfId="0" applyFont="1" applyFill="1" applyAlignment="1">
      <alignment horizontal="center" vertical="center"/>
    </xf>
    <xf numFmtId="0" fontId="39" fillId="7" borderId="0" xfId="0" applyFont="1" applyFill="1" applyAlignment="1">
      <alignment horizontal="center" vertical="center"/>
    </xf>
    <xf numFmtId="0" fontId="40" fillId="7" borderId="0" xfId="0" applyFont="1" applyFill="1" applyAlignment="1">
      <alignment horizontal="center" vertical="center"/>
    </xf>
    <xf numFmtId="0" fontId="41" fillId="6" borderId="0" xfId="0" applyFont="1" applyFill="1"/>
    <xf numFmtId="0" fontId="42" fillId="6" borderId="0" xfId="0" applyFont="1" applyFill="1" applyAlignment="1">
      <alignment vertical="center"/>
    </xf>
    <xf numFmtId="0" fontId="43" fillId="6" borderId="0" xfId="0" applyFont="1" applyFill="1" applyAlignment="1">
      <alignment horizontal="center" vertical="center"/>
    </xf>
    <xf numFmtId="0" fontId="50" fillId="0" borderId="0" xfId="0" applyFont="1"/>
    <xf numFmtId="0" fontId="46" fillId="7" borderId="46" xfId="0" applyFont="1" applyFill="1" applyBorder="1" applyAlignment="1">
      <alignment horizontal="center" vertical="center"/>
    </xf>
    <xf numFmtId="0" fontId="46" fillId="7" borderId="47" xfId="0" applyFont="1" applyFill="1" applyBorder="1" applyAlignment="1">
      <alignment horizontal="center" vertical="center"/>
    </xf>
    <xf numFmtId="0" fontId="26" fillId="6" borderId="0" xfId="0" applyFont="1" applyFill="1" applyAlignment="1">
      <alignment horizontal="center"/>
    </xf>
    <xf numFmtId="0" fontId="27" fillId="6" borderId="10" xfId="0" applyFont="1" applyFill="1" applyBorder="1" applyAlignment="1">
      <alignment horizontal="center"/>
    </xf>
    <xf numFmtId="0" fontId="28" fillId="6" borderId="0" xfId="0" applyFont="1" applyFill="1" applyAlignment="1">
      <alignment horizontal="center"/>
    </xf>
    <xf numFmtId="0" fontId="27" fillId="6" borderId="0" xfId="0" applyFont="1" applyFill="1" applyAlignment="1">
      <alignment horizontal="center"/>
    </xf>
    <xf numFmtId="0" fontId="25" fillId="6" borderId="0" xfId="0" applyFont="1" applyFill="1" applyAlignment="1">
      <alignment horizontal="center"/>
    </xf>
    <xf numFmtId="0" fontId="36" fillId="6" borderId="0" xfId="0" applyFont="1" applyFill="1" applyAlignment="1">
      <alignment horizontal="center" vertical="center"/>
    </xf>
    <xf numFmtId="0" fontId="20" fillId="6" borderId="0" xfId="0" applyFont="1" applyFill="1" applyAlignment="1">
      <alignment vertical="center"/>
    </xf>
    <xf numFmtId="0" fontId="37" fillId="6" borderId="0" xfId="0" applyFont="1" applyFill="1" applyAlignment="1">
      <alignment horizontal="center" vertical="center"/>
    </xf>
    <xf numFmtId="0" fontId="38" fillId="6" borderId="0" xfId="0" applyFont="1" applyFill="1" applyAlignment="1">
      <alignment horizontal="center" vertical="center"/>
    </xf>
    <xf numFmtId="0" fontId="34" fillId="6" borderId="0" xfId="0" applyFont="1" applyFill="1" applyAlignment="1">
      <alignment horizontal="center" vertical="center"/>
    </xf>
    <xf numFmtId="0" fontId="35" fillId="6" borderId="0" xfId="0" applyFont="1" applyFill="1" applyAlignment="1">
      <alignment horizontal="center" vertical="center"/>
    </xf>
    <xf numFmtId="0" fontId="44" fillId="6" borderId="0" xfId="0" applyFont="1" applyFill="1" applyAlignment="1">
      <alignment horizontal="center" vertical="center"/>
    </xf>
    <xf numFmtId="0" fontId="48" fillId="6" borderId="0" xfId="0" applyFont="1" applyFill="1" applyAlignment="1">
      <alignment horizontal="center" vertical="center"/>
    </xf>
    <xf numFmtId="0" fontId="48" fillId="5" borderId="1" xfId="0" applyFont="1" applyFill="1" applyBorder="1" applyAlignment="1">
      <alignment horizontal="center" vertical="center" shrinkToFit="1"/>
    </xf>
    <xf numFmtId="0" fontId="48" fillId="3" borderId="1" xfId="0" applyFont="1" applyFill="1" applyBorder="1" applyAlignment="1">
      <alignment horizontal="center" vertical="center" shrinkToFit="1"/>
    </xf>
    <xf numFmtId="0" fontId="48" fillId="5" borderId="30" xfId="0" applyFont="1" applyFill="1" applyBorder="1" applyAlignment="1">
      <alignment horizontal="center" vertical="center" shrinkToFit="1"/>
    </xf>
    <xf numFmtId="0" fontId="16" fillId="0" borderId="0" xfId="0" applyFont="1" applyAlignment="1">
      <alignment vertical="center"/>
    </xf>
    <xf numFmtId="0" fontId="45" fillId="6" borderId="0" xfId="0" applyFont="1" applyFill="1" applyAlignment="1">
      <alignment horizontal="left" vertical="center"/>
    </xf>
    <xf numFmtId="0" fontId="44" fillId="6" borderId="0" xfId="0" applyFont="1" applyFill="1" applyAlignment="1">
      <alignment vertical="center"/>
    </xf>
    <xf numFmtId="0" fontId="44" fillId="6" borderId="0" xfId="0" applyFont="1" applyFill="1" applyAlignment="1">
      <alignment horizontal="right" vertical="center"/>
    </xf>
    <xf numFmtId="0" fontId="16" fillId="6" borderId="0" xfId="0" applyFont="1" applyFill="1" applyAlignment="1">
      <alignment vertical="center"/>
    </xf>
    <xf numFmtId="0" fontId="44" fillId="6" borderId="0" xfId="0" applyFont="1" applyFill="1" applyAlignment="1">
      <alignment horizontal="left" vertical="center"/>
    </xf>
    <xf numFmtId="0" fontId="0" fillId="0" borderId="0" xfId="0" applyAlignment="1">
      <alignment vertical="center"/>
    </xf>
    <xf numFmtId="0" fontId="48" fillId="5" borderId="48" xfId="0" applyFont="1" applyFill="1" applyBorder="1" applyAlignment="1">
      <alignment horizontal="center" vertical="center"/>
    </xf>
    <xf numFmtId="0" fontId="48" fillId="5" borderId="49" xfId="0" applyFont="1" applyFill="1" applyBorder="1" applyAlignment="1">
      <alignment horizontal="center" vertical="center"/>
    </xf>
    <xf numFmtId="0" fontId="48" fillId="5" borderId="50" xfId="0" applyFont="1" applyFill="1" applyBorder="1" applyAlignment="1">
      <alignment horizontal="right" vertical="center" shrinkToFit="1"/>
    </xf>
    <xf numFmtId="0" fontId="48" fillId="5" borderId="52" xfId="0" applyFont="1" applyFill="1" applyBorder="1" applyAlignment="1">
      <alignment horizontal="left" vertical="center" shrinkToFit="1"/>
    </xf>
    <xf numFmtId="0" fontId="48" fillId="5" borderId="51" xfId="0" applyFont="1" applyFill="1" applyBorder="1" applyAlignment="1">
      <alignment horizontal="center" vertical="center" shrinkToFit="1"/>
    </xf>
    <xf numFmtId="0" fontId="48" fillId="5" borderId="53" xfId="0" applyFont="1" applyFill="1" applyBorder="1" applyAlignment="1">
      <alignment horizontal="center" vertical="center" shrinkToFit="1"/>
    </xf>
    <xf numFmtId="0" fontId="49" fillId="6" borderId="0" xfId="0" applyFont="1" applyFill="1" applyAlignment="1">
      <alignment vertical="center"/>
    </xf>
    <xf numFmtId="0" fontId="48" fillId="5" borderId="37" xfId="0" applyFont="1" applyFill="1" applyBorder="1" applyAlignment="1">
      <alignment horizontal="center" vertical="center"/>
    </xf>
    <xf numFmtId="0" fontId="48" fillId="5" borderId="32" xfId="0" applyFont="1" applyFill="1" applyBorder="1" applyAlignment="1">
      <alignment horizontal="center" vertical="center"/>
    </xf>
    <xf numFmtId="0" fontId="48" fillId="5" borderId="22" xfId="0" applyFont="1" applyFill="1" applyBorder="1" applyAlignment="1">
      <alignment horizontal="right" vertical="center" shrinkToFit="1"/>
    </xf>
    <xf numFmtId="0" fontId="48" fillId="5" borderId="23" xfId="0" applyFont="1" applyFill="1" applyBorder="1" applyAlignment="1">
      <alignment horizontal="left" vertical="center" shrinkToFit="1"/>
    </xf>
    <xf numFmtId="0" fontId="48" fillId="5" borderId="21" xfId="0" applyFont="1" applyFill="1" applyBorder="1" applyAlignment="1">
      <alignment horizontal="center" vertical="center" shrinkToFit="1"/>
    </xf>
    <xf numFmtId="0" fontId="48" fillId="5" borderId="40" xfId="0" applyFont="1" applyFill="1" applyBorder="1" applyAlignment="1">
      <alignment horizontal="center" vertical="center"/>
    </xf>
    <xf numFmtId="0" fontId="48" fillId="5" borderId="41" xfId="0" applyFont="1" applyFill="1" applyBorder="1" applyAlignment="1">
      <alignment horizontal="center" vertical="center"/>
    </xf>
    <xf numFmtId="0" fontId="48" fillId="5" borderId="42" xfId="0" applyFont="1" applyFill="1" applyBorder="1" applyAlignment="1">
      <alignment horizontal="right" vertical="center" shrinkToFit="1"/>
    </xf>
    <xf numFmtId="0" fontId="48" fillId="5" borderId="44" xfId="0" applyFont="1" applyFill="1" applyBorder="1" applyAlignment="1">
      <alignment horizontal="left" vertical="center" shrinkToFit="1"/>
    </xf>
    <xf numFmtId="0" fontId="48" fillId="5" borderId="43" xfId="0" applyFont="1" applyFill="1" applyBorder="1" applyAlignment="1">
      <alignment horizontal="center" vertical="center" shrinkToFit="1"/>
    </xf>
    <xf numFmtId="0" fontId="48" fillId="5" borderId="45" xfId="0" applyFont="1" applyFill="1" applyBorder="1" applyAlignment="1">
      <alignment horizontal="center" vertical="center" shrinkToFit="1"/>
    </xf>
    <xf numFmtId="0" fontId="48" fillId="3" borderId="39" xfId="0" applyFont="1" applyFill="1" applyBorder="1" applyAlignment="1">
      <alignment horizontal="center" vertical="center"/>
    </xf>
    <xf numFmtId="0" fontId="48" fillId="3" borderId="31" xfId="0" applyFont="1" applyFill="1" applyBorder="1" applyAlignment="1">
      <alignment horizontal="center" vertical="center"/>
    </xf>
    <xf numFmtId="0" fontId="48" fillId="3" borderId="56" xfId="0" applyFont="1" applyFill="1" applyBorder="1" applyAlignment="1">
      <alignment horizontal="right" vertical="center" shrinkToFit="1"/>
    </xf>
    <xf numFmtId="0" fontId="48" fillId="3" borderId="57" xfId="0" applyFont="1" applyFill="1" applyBorder="1" applyAlignment="1">
      <alignment horizontal="left" vertical="center" shrinkToFit="1"/>
    </xf>
    <xf numFmtId="0" fontId="48" fillId="3" borderId="20" xfId="0" applyFont="1" applyFill="1" applyBorder="1" applyAlignment="1">
      <alignment horizontal="center" vertical="center" shrinkToFit="1"/>
    </xf>
    <xf numFmtId="0" fontId="48" fillId="3" borderId="30" xfId="0" applyFont="1" applyFill="1" applyBorder="1" applyAlignment="1">
      <alignment horizontal="center" vertical="center" shrinkToFit="1"/>
    </xf>
    <xf numFmtId="0" fontId="48" fillId="3" borderId="37" xfId="0" applyFont="1" applyFill="1" applyBorder="1" applyAlignment="1">
      <alignment horizontal="center" vertical="center"/>
    </xf>
    <xf numFmtId="0" fontId="48" fillId="3" borderId="32" xfId="0" applyFont="1" applyFill="1" applyBorder="1" applyAlignment="1">
      <alignment horizontal="center" vertical="center"/>
    </xf>
    <xf numFmtId="0" fontId="48" fillId="3" borderId="22" xfId="0" applyFont="1" applyFill="1" applyBorder="1" applyAlignment="1">
      <alignment horizontal="right" vertical="center" shrinkToFit="1"/>
    </xf>
    <xf numFmtId="0" fontId="48" fillId="3" borderId="23" xfId="0" applyFont="1" applyFill="1" applyBorder="1" applyAlignment="1">
      <alignment horizontal="left" vertical="center" shrinkToFit="1"/>
    </xf>
    <xf numFmtId="0" fontId="48" fillId="3" borderId="21" xfId="0" applyFont="1" applyFill="1" applyBorder="1" applyAlignment="1">
      <alignment horizontal="center" vertical="center" shrinkToFit="1"/>
    </xf>
    <xf numFmtId="0" fontId="48" fillId="3" borderId="38" xfId="0" applyFont="1" applyFill="1" applyBorder="1" applyAlignment="1">
      <alignment horizontal="center" vertical="center"/>
    </xf>
    <xf numFmtId="0" fontId="48" fillId="3" borderId="33" xfId="0" applyFont="1" applyFill="1" applyBorder="1" applyAlignment="1">
      <alignment horizontal="center" vertical="center"/>
    </xf>
    <xf numFmtId="0" fontId="48" fillId="3" borderId="25" xfId="0" applyFont="1" applyFill="1" applyBorder="1" applyAlignment="1">
      <alignment horizontal="right" vertical="center" shrinkToFit="1"/>
    </xf>
    <xf numFmtId="0" fontId="48" fillId="3" borderId="26" xfId="0" applyFont="1" applyFill="1" applyBorder="1" applyAlignment="1">
      <alignment horizontal="left" vertical="center" shrinkToFit="1"/>
    </xf>
    <xf numFmtId="0" fontId="48" fillId="3" borderId="24" xfId="0" applyFont="1" applyFill="1" applyBorder="1" applyAlignment="1">
      <alignment horizontal="center" vertical="center" shrinkToFit="1"/>
    </xf>
    <xf numFmtId="0" fontId="48" fillId="3" borderId="27" xfId="0" applyFont="1" applyFill="1" applyBorder="1" applyAlignment="1">
      <alignment horizontal="center" vertical="center" shrinkToFit="1"/>
    </xf>
    <xf numFmtId="0" fontId="48" fillId="3" borderId="28" xfId="0" applyFont="1" applyFill="1" applyBorder="1" applyAlignment="1">
      <alignment horizontal="right" vertical="center" shrinkToFit="1"/>
    </xf>
    <xf numFmtId="0" fontId="48" fillId="3" borderId="29" xfId="0" applyFont="1" applyFill="1" applyBorder="1" applyAlignment="1">
      <alignment horizontal="left" vertical="center" shrinkToFit="1"/>
    </xf>
    <xf numFmtId="0" fontId="48" fillId="5" borderId="39" xfId="0" applyFont="1" applyFill="1" applyBorder="1" applyAlignment="1">
      <alignment horizontal="center" vertical="center"/>
    </xf>
    <xf numFmtId="0" fontId="48" fillId="5" borderId="31" xfId="0" applyFont="1" applyFill="1" applyBorder="1" applyAlignment="1">
      <alignment horizontal="center" vertical="center"/>
    </xf>
    <xf numFmtId="0" fontId="48" fillId="5" borderId="28" xfId="0" applyFont="1" applyFill="1" applyBorder="1" applyAlignment="1">
      <alignment horizontal="right" vertical="center" shrinkToFit="1"/>
    </xf>
    <xf numFmtId="0" fontId="48" fillId="5" borderId="29" xfId="0" applyFont="1" applyFill="1" applyBorder="1" applyAlignment="1">
      <alignment horizontal="left" vertical="center" shrinkToFit="1"/>
    </xf>
    <xf numFmtId="0" fontId="48" fillId="5" borderId="20" xfId="0" applyFont="1" applyFill="1" applyBorder="1" applyAlignment="1">
      <alignment horizontal="center" vertical="center" shrinkToFit="1"/>
    </xf>
    <xf numFmtId="0" fontId="48" fillId="5" borderId="38" xfId="0" applyFont="1" applyFill="1" applyBorder="1" applyAlignment="1">
      <alignment horizontal="center" vertical="center"/>
    </xf>
    <xf numFmtId="0" fontId="48" fillId="5" borderId="33" xfId="0" applyFont="1" applyFill="1" applyBorder="1" applyAlignment="1">
      <alignment horizontal="center" vertical="center"/>
    </xf>
    <xf numFmtId="0" fontId="48" fillId="5" borderId="25" xfId="0" applyFont="1" applyFill="1" applyBorder="1" applyAlignment="1">
      <alignment horizontal="right" vertical="center" shrinkToFit="1"/>
    </xf>
    <xf numFmtId="0" fontId="48" fillId="5" borderId="26" xfId="0" applyFont="1" applyFill="1" applyBorder="1" applyAlignment="1">
      <alignment horizontal="left" vertical="center" shrinkToFit="1"/>
    </xf>
    <xf numFmtId="0" fontId="48" fillId="5" borderId="24" xfId="0" applyFont="1" applyFill="1" applyBorder="1" applyAlignment="1">
      <alignment horizontal="center" vertical="center" shrinkToFit="1"/>
    </xf>
    <xf numFmtId="0" fontId="48" fillId="5" borderId="27" xfId="0" applyFont="1" applyFill="1" applyBorder="1" applyAlignment="1">
      <alignment horizontal="center" vertical="center" shrinkToFit="1"/>
    </xf>
    <xf numFmtId="0" fontId="48" fillId="3" borderId="48" xfId="0" applyFont="1" applyFill="1" applyBorder="1" applyAlignment="1">
      <alignment horizontal="center" vertical="center"/>
    </xf>
    <xf numFmtId="0" fontId="48" fillId="3" borderId="49" xfId="0" applyFont="1" applyFill="1" applyBorder="1" applyAlignment="1">
      <alignment horizontal="center" vertical="center"/>
    </xf>
    <xf numFmtId="0" fontId="48" fillId="3" borderId="50" xfId="0" applyFont="1" applyFill="1" applyBorder="1" applyAlignment="1">
      <alignment horizontal="right" vertical="center" shrinkToFit="1"/>
    </xf>
    <xf numFmtId="0" fontId="48" fillId="3" borderId="52" xfId="0" applyFont="1" applyFill="1" applyBorder="1" applyAlignment="1">
      <alignment horizontal="left" vertical="center" shrinkToFit="1"/>
    </xf>
    <xf numFmtId="0" fontId="48" fillId="3" borderId="51" xfId="0" applyFont="1" applyFill="1" applyBorder="1" applyAlignment="1">
      <alignment horizontal="center" vertical="center" shrinkToFit="1"/>
    </xf>
    <xf numFmtId="0" fontId="48" fillId="3" borderId="53" xfId="0" applyFont="1" applyFill="1" applyBorder="1" applyAlignment="1">
      <alignment horizontal="center" vertical="center" shrinkToFit="1"/>
    </xf>
    <xf numFmtId="0" fontId="48" fillId="3" borderId="40" xfId="0" applyFont="1" applyFill="1" applyBorder="1" applyAlignment="1">
      <alignment horizontal="center" vertical="center"/>
    </xf>
    <xf numFmtId="0" fontId="48" fillId="3" borderId="41" xfId="0" applyFont="1" applyFill="1" applyBorder="1" applyAlignment="1">
      <alignment horizontal="center" vertical="center"/>
    </xf>
    <xf numFmtId="0" fontId="48" fillId="3" borderId="42" xfId="0" applyFont="1" applyFill="1" applyBorder="1" applyAlignment="1">
      <alignment horizontal="right" vertical="center" shrinkToFit="1"/>
    </xf>
    <xf numFmtId="0" fontId="48" fillId="3" borderId="44" xfId="0" applyFont="1" applyFill="1" applyBorder="1" applyAlignment="1">
      <alignment horizontal="left" vertical="center" shrinkToFit="1"/>
    </xf>
    <xf numFmtId="0" fontId="48" fillId="3" borderId="43" xfId="0" applyFont="1" applyFill="1" applyBorder="1" applyAlignment="1">
      <alignment horizontal="center" vertical="center" shrinkToFit="1"/>
    </xf>
    <xf numFmtId="0" fontId="48" fillId="3" borderId="45" xfId="0" applyFont="1" applyFill="1" applyBorder="1" applyAlignment="1">
      <alignment horizontal="center" vertical="center" shrinkToFit="1"/>
    </xf>
    <xf numFmtId="0" fontId="0" fillId="4" borderId="0" xfId="0" applyFill="1" applyAlignment="1">
      <alignment vertical="center"/>
    </xf>
    <xf numFmtId="0" fontId="48" fillId="5" borderId="58" xfId="0" applyFont="1" applyFill="1" applyBorder="1" applyAlignment="1">
      <alignment horizontal="center" vertical="center"/>
    </xf>
    <xf numFmtId="0" fontId="48" fillId="5" borderId="59" xfId="0" applyFont="1" applyFill="1" applyBorder="1" applyAlignment="1">
      <alignment horizontal="center" vertical="center"/>
    </xf>
    <xf numFmtId="0" fontId="48" fillId="5" borderId="60" xfId="0" applyFont="1" applyFill="1" applyBorder="1" applyAlignment="1">
      <alignment horizontal="right" vertical="center" shrinkToFit="1"/>
    </xf>
    <xf numFmtId="0" fontId="48" fillId="5" borderId="61" xfId="0" applyFont="1" applyFill="1" applyBorder="1" applyAlignment="1">
      <alignment horizontal="left" vertical="center" shrinkToFit="1"/>
    </xf>
    <xf numFmtId="0" fontId="48" fillId="5" borderId="47" xfId="0" applyFont="1" applyFill="1" applyBorder="1" applyAlignment="1">
      <alignment horizontal="center" vertical="center" shrinkToFit="1"/>
    </xf>
    <xf numFmtId="0" fontId="48" fillId="5" borderId="62" xfId="0" applyFont="1" applyFill="1" applyBorder="1" applyAlignment="1">
      <alignment horizontal="center" vertical="center" shrinkToFit="1"/>
    </xf>
    <xf numFmtId="0" fontId="48" fillId="3" borderId="58" xfId="0" applyFont="1" applyFill="1" applyBorder="1" applyAlignment="1">
      <alignment horizontal="center" vertical="center"/>
    </xf>
    <xf numFmtId="0" fontId="48" fillId="3" borderId="59" xfId="0" applyFont="1" applyFill="1" applyBorder="1" applyAlignment="1">
      <alignment horizontal="center" vertical="center"/>
    </xf>
    <xf numFmtId="0" fontId="48" fillId="3" borderId="60" xfId="0" applyFont="1" applyFill="1" applyBorder="1" applyAlignment="1">
      <alignment horizontal="right" vertical="center" shrinkToFit="1"/>
    </xf>
    <xf numFmtId="0" fontId="48" fillId="3" borderId="61" xfId="0" applyFont="1" applyFill="1" applyBorder="1" applyAlignment="1">
      <alignment horizontal="left" vertical="center" shrinkToFit="1"/>
    </xf>
    <xf numFmtId="0" fontId="48" fillId="3" borderId="47" xfId="0" applyFont="1" applyFill="1" applyBorder="1" applyAlignment="1">
      <alignment horizontal="center" vertical="center" shrinkToFit="1"/>
    </xf>
    <xf numFmtId="0" fontId="48" fillId="3" borderId="62" xfId="0" applyFont="1" applyFill="1" applyBorder="1" applyAlignment="1">
      <alignment horizontal="center" vertical="center" shrinkToFit="1"/>
    </xf>
    <xf numFmtId="0" fontId="48" fillId="5" borderId="66" xfId="0" applyFont="1" applyFill="1" applyBorder="1" applyAlignment="1">
      <alignment horizontal="center" vertical="center"/>
    </xf>
    <xf numFmtId="0" fontId="48" fillId="5" borderId="36" xfId="0" applyFont="1" applyFill="1" applyBorder="1" applyAlignment="1">
      <alignment horizontal="center" vertical="center"/>
    </xf>
    <xf numFmtId="0" fontId="48" fillId="5" borderId="54" xfId="0" applyFont="1" applyFill="1" applyBorder="1" applyAlignment="1">
      <alignment horizontal="right" vertical="center" shrinkToFit="1"/>
    </xf>
    <xf numFmtId="0" fontId="48" fillId="5" borderId="55" xfId="0" applyFont="1" applyFill="1" applyBorder="1" applyAlignment="1">
      <alignment horizontal="left" vertical="center" shrinkToFit="1"/>
    </xf>
    <xf numFmtId="0" fontId="48" fillId="5" borderId="3" xfId="0" applyFont="1" applyFill="1" applyBorder="1" applyAlignment="1">
      <alignment horizontal="center" vertical="center" shrinkToFit="1"/>
    </xf>
    <xf numFmtId="0" fontId="48" fillId="5" borderId="67" xfId="0" applyFont="1" applyFill="1" applyBorder="1" applyAlignment="1">
      <alignment horizontal="center" vertical="center" shrinkToFit="1"/>
    </xf>
    <xf numFmtId="0" fontId="0" fillId="2" borderId="0" xfId="0" applyFill="1" applyAlignment="1">
      <alignment vertical="center"/>
    </xf>
    <xf numFmtId="0" fontId="48" fillId="6" borderId="0" xfId="0" applyFont="1" applyFill="1" applyAlignment="1">
      <alignment horizontal="left" vertical="center"/>
    </xf>
    <xf numFmtId="0" fontId="48" fillId="6" borderId="0" xfId="0" applyFont="1" applyFill="1" applyAlignment="1">
      <alignment vertical="center"/>
    </xf>
    <xf numFmtId="0" fontId="48" fillId="6" borderId="0" xfId="0" applyFont="1" applyFill="1" applyAlignment="1">
      <alignment horizontal="right" vertical="center"/>
    </xf>
    <xf numFmtId="0" fontId="52" fillId="5" borderId="51" xfId="0" applyFont="1" applyFill="1" applyBorder="1" applyAlignment="1">
      <alignment horizontal="center" vertical="center"/>
    </xf>
    <xf numFmtId="0" fontId="52" fillId="5" borderId="21" xfId="0" applyFont="1" applyFill="1" applyBorder="1" applyAlignment="1">
      <alignment horizontal="center" vertical="center"/>
    </xf>
    <xf numFmtId="0" fontId="52" fillId="5" borderId="43" xfId="0" applyFont="1" applyFill="1" applyBorder="1" applyAlignment="1">
      <alignment horizontal="center" vertical="center"/>
    </xf>
    <xf numFmtId="0" fontId="52" fillId="3" borderId="21" xfId="0" applyFont="1" applyFill="1" applyBorder="1" applyAlignment="1">
      <alignment horizontal="center" vertical="center"/>
    </xf>
    <xf numFmtId="0" fontId="52" fillId="3" borderId="24" xfId="0" applyFont="1" applyFill="1" applyBorder="1" applyAlignment="1">
      <alignment horizontal="center" vertical="center"/>
    </xf>
    <xf numFmtId="0" fontId="52" fillId="3" borderId="20" xfId="0" applyFont="1" applyFill="1" applyBorder="1" applyAlignment="1">
      <alignment horizontal="center" vertical="center"/>
    </xf>
    <xf numFmtId="0" fontId="52" fillId="5" borderId="20" xfId="0" applyFont="1" applyFill="1" applyBorder="1" applyAlignment="1">
      <alignment horizontal="center" vertical="center"/>
    </xf>
    <xf numFmtId="0" fontId="52" fillId="5" borderId="24" xfId="0" applyFont="1" applyFill="1" applyBorder="1" applyAlignment="1">
      <alignment horizontal="center" vertical="center"/>
    </xf>
    <xf numFmtId="0" fontId="52" fillId="3" borderId="51" xfId="0" applyFont="1" applyFill="1" applyBorder="1" applyAlignment="1">
      <alignment horizontal="center" vertical="center"/>
    </xf>
    <xf numFmtId="0" fontId="52" fillId="3" borderId="43" xfId="0" applyFont="1" applyFill="1" applyBorder="1" applyAlignment="1">
      <alignment horizontal="center" vertical="center"/>
    </xf>
    <xf numFmtId="0" fontId="52" fillId="5" borderId="47" xfId="0" applyFont="1" applyFill="1" applyBorder="1" applyAlignment="1">
      <alignment horizontal="center" vertical="center"/>
    </xf>
    <xf numFmtId="0" fontId="52" fillId="3" borderId="47" xfId="0" applyFont="1" applyFill="1" applyBorder="1" applyAlignment="1">
      <alignment horizontal="center" vertical="center"/>
    </xf>
    <xf numFmtId="0" fontId="52" fillId="5" borderId="3" xfId="0" applyFont="1" applyFill="1" applyBorder="1" applyAlignment="1">
      <alignment horizontal="center" vertical="center"/>
    </xf>
    <xf numFmtId="0" fontId="51" fillId="5" borderId="50" xfId="0" applyFont="1" applyFill="1" applyBorder="1" applyAlignment="1">
      <alignment horizontal="left" vertical="center" indent="1" shrinkToFit="1"/>
    </xf>
    <xf numFmtId="0" fontId="51" fillId="5" borderId="22" xfId="0" applyFont="1" applyFill="1" applyBorder="1" applyAlignment="1">
      <alignment horizontal="left" vertical="center" indent="1" shrinkToFit="1"/>
    </xf>
    <xf numFmtId="0" fontId="51" fillId="5" borderId="42" xfId="0" applyFont="1" applyFill="1" applyBorder="1" applyAlignment="1">
      <alignment horizontal="left" vertical="center" indent="1" shrinkToFit="1"/>
    </xf>
    <xf numFmtId="0" fontId="51" fillId="3" borderId="28" xfId="0" applyFont="1" applyFill="1" applyBorder="1" applyAlignment="1">
      <alignment horizontal="left" vertical="center" indent="1" shrinkToFit="1"/>
    </xf>
    <xf numFmtId="0" fontId="51" fillId="3" borderId="22" xfId="0" applyFont="1" applyFill="1" applyBorder="1" applyAlignment="1">
      <alignment horizontal="left" vertical="center" indent="1" shrinkToFit="1"/>
    </xf>
    <xf numFmtId="0" fontId="51" fillId="3" borderId="25" xfId="0" applyFont="1" applyFill="1" applyBorder="1" applyAlignment="1">
      <alignment horizontal="left" vertical="center" indent="1" shrinkToFit="1"/>
    </xf>
    <xf numFmtId="0" fontId="51" fillId="5" borderId="28" xfId="0" applyFont="1" applyFill="1" applyBorder="1" applyAlignment="1">
      <alignment horizontal="left" vertical="center" indent="1" shrinkToFit="1"/>
    </xf>
    <xf numFmtId="0" fontId="51" fillId="5" borderId="25" xfId="0" applyFont="1" applyFill="1" applyBorder="1" applyAlignment="1">
      <alignment horizontal="left" vertical="center" indent="1" shrinkToFit="1"/>
    </xf>
    <xf numFmtId="0" fontId="51" fillId="3" borderId="50" xfId="0" applyFont="1" applyFill="1" applyBorder="1" applyAlignment="1">
      <alignment horizontal="left" vertical="center" indent="1" shrinkToFit="1"/>
    </xf>
    <xf numFmtId="0" fontId="51" fillId="3" borderId="42" xfId="0" applyFont="1" applyFill="1" applyBorder="1" applyAlignment="1">
      <alignment horizontal="left" vertical="center" indent="1" shrinkToFit="1"/>
    </xf>
    <xf numFmtId="0" fontId="51" fillId="5" borderId="60" xfId="0" applyFont="1" applyFill="1" applyBorder="1" applyAlignment="1">
      <alignment horizontal="left" vertical="center" indent="1" shrinkToFit="1"/>
    </xf>
    <xf numFmtId="0" fontId="51" fillId="3" borderId="60" xfId="0" applyFont="1" applyFill="1" applyBorder="1" applyAlignment="1">
      <alignment horizontal="left" vertical="center" indent="1" shrinkToFit="1"/>
    </xf>
    <xf numFmtId="0" fontId="51" fillId="5" borderId="54" xfId="0" applyFont="1" applyFill="1" applyBorder="1" applyAlignment="1">
      <alignment horizontal="left" vertical="center" indent="1" shrinkToFit="1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8" fillId="5" borderId="68" xfId="0" applyFont="1" applyFill="1" applyBorder="1" applyAlignment="1">
      <alignment horizontal="center" vertical="center" shrinkToFit="1"/>
    </xf>
    <xf numFmtId="0" fontId="48" fillId="5" borderId="69" xfId="0" applyFont="1" applyFill="1" applyBorder="1" applyAlignment="1">
      <alignment horizontal="center" vertical="center" shrinkToFit="1"/>
    </xf>
    <xf numFmtId="0" fontId="48" fillId="5" borderId="70" xfId="0" applyFont="1" applyFill="1" applyBorder="1" applyAlignment="1">
      <alignment horizontal="center" vertical="center" shrinkToFit="1"/>
    </xf>
    <xf numFmtId="0" fontId="48" fillId="3" borderId="71" xfId="0" applyFont="1" applyFill="1" applyBorder="1" applyAlignment="1">
      <alignment horizontal="center" vertical="center" shrinkToFit="1"/>
    </xf>
    <xf numFmtId="0" fontId="48" fillId="3" borderId="69" xfId="0" applyFont="1" applyFill="1" applyBorder="1" applyAlignment="1">
      <alignment horizontal="center" vertical="center" shrinkToFit="1"/>
    </xf>
    <xf numFmtId="0" fontId="48" fillId="3" borderId="72" xfId="0" applyFont="1" applyFill="1" applyBorder="1" applyAlignment="1">
      <alignment horizontal="center" vertical="center" shrinkToFit="1"/>
    </xf>
    <xf numFmtId="0" fontId="48" fillId="5" borderId="71" xfId="0" applyFont="1" applyFill="1" applyBorder="1" applyAlignment="1">
      <alignment horizontal="center" vertical="center" shrinkToFit="1"/>
    </xf>
    <xf numFmtId="0" fontId="48" fillId="5" borderId="72" xfId="0" applyFont="1" applyFill="1" applyBorder="1" applyAlignment="1">
      <alignment horizontal="center" vertical="center" shrinkToFit="1"/>
    </xf>
    <xf numFmtId="0" fontId="48" fillId="3" borderId="68" xfId="0" applyFont="1" applyFill="1" applyBorder="1" applyAlignment="1">
      <alignment horizontal="center" vertical="center" shrinkToFit="1"/>
    </xf>
    <xf numFmtId="0" fontId="48" fillId="3" borderId="70" xfId="0" applyFont="1" applyFill="1" applyBorder="1" applyAlignment="1">
      <alignment horizontal="center" vertical="center" shrinkToFit="1"/>
    </xf>
    <xf numFmtId="0" fontId="48" fillId="3" borderId="59" xfId="0" applyFont="1" applyFill="1" applyBorder="1" applyAlignment="1">
      <alignment horizontal="center" vertical="center" shrinkToFit="1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2" fillId="0" borderId="3" xfId="0" applyFont="1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applyBorder="1" applyAlignment="1">
      <alignment vertical="center"/>
    </xf>
    <xf numFmtId="0" fontId="2" fillId="0" borderId="8" xfId="0" applyFont="1" applyBorder="1" applyAlignment="1">
      <alignment vertical="center"/>
    </xf>
    <xf numFmtId="0" fontId="6" fillId="0" borderId="0" xfId="1" applyNumberFormat="1" applyAlignment="1" applyProtection="1"/>
    <xf numFmtId="0" fontId="52" fillId="3" borderId="0" xfId="0" applyFont="1" applyFill="1" applyAlignment="1">
      <alignment horizontal="center" vertical="center"/>
    </xf>
    <xf numFmtId="0" fontId="53" fillId="5" borderId="77" xfId="0" applyFont="1" applyFill="1" applyBorder="1" applyAlignment="1">
      <alignment horizontal="center" vertical="center" wrapText="1" shrinkToFit="1"/>
    </xf>
    <xf numFmtId="0" fontId="53" fillId="5" borderId="73" xfId="0" applyFont="1" applyFill="1" applyBorder="1" applyAlignment="1">
      <alignment horizontal="center" vertical="center" wrapText="1" shrinkToFit="1"/>
    </xf>
    <xf numFmtId="0" fontId="53" fillId="5" borderId="78" xfId="0" applyFont="1" applyFill="1" applyBorder="1" applyAlignment="1">
      <alignment horizontal="center" vertical="center" wrapText="1" shrinkToFit="1"/>
    </xf>
    <xf numFmtId="0" fontId="53" fillId="3" borderId="77" xfId="0" applyFont="1" applyFill="1" applyBorder="1" applyAlignment="1">
      <alignment horizontal="center" vertical="center" wrapText="1" shrinkToFit="1"/>
    </xf>
    <xf numFmtId="0" fontId="53" fillId="3" borderId="73" xfId="0" applyFont="1" applyFill="1" applyBorder="1" applyAlignment="1">
      <alignment horizontal="center" vertical="center" wrapText="1" shrinkToFit="1"/>
    </xf>
    <xf numFmtId="0" fontId="53" fillId="3" borderId="74" xfId="0" applyFont="1" applyFill="1" applyBorder="1" applyAlignment="1">
      <alignment horizontal="center" vertical="center" wrapText="1" shrinkToFit="1"/>
    </xf>
    <xf numFmtId="0" fontId="53" fillId="5" borderId="75" xfId="0" applyFont="1" applyFill="1" applyBorder="1" applyAlignment="1">
      <alignment horizontal="center" vertical="center" wrapText="1" shrinkToFit="1"/>
    </xf>
    <xf numFmtId="0" fontId="54" fillId="7" borderId="9" xfId="0" applyFont="1" applyFill="1" applyBorder="1" applyAlignment="1">
      <alignment horizontal="center" vertical="center"/>
    </xf>
    <xf numFmtId="0" fontId="53" fillId="5" borderId="79" xfId="0" applyFont="1" applyFill="1" applyBorder="1" applyAlignment="1">
      <alignment horizontal="center" vertical="center" wrapText="1" shrinkToFit="1"/>
    </xf>
    <xf numFmtId="0" fontId="53" fillId="3" borderId="76" xfId="0" applyFont="1" applyFill="1" applyBorder="1" applyAlignment="1">
      <alignment horizontal="center" vertical="center" wrapText="1" shrinkToFit="1"/>
    </xf>
    <xf numFmtId="0" fontId="53" fillId="5" borderId="80" xfId="0" applyFont="1" applyFill="1" applyBorder="1" applyAlignment="1">
      <alignment horizontal="center" vertical="center" wrapText="1" shrinkToFit="1"/>
    </xf>
    <xf numFmtId="0" fontId="53" fillId="5" borderId="76" xfId="0" applyFont="1" applyFill="1" applyBorder="1" applyAlignment="1">
      <alignment horizontal="center" vertical="center" wrapText="1" shrinkToFit="1"/>
    </xf>
    <xf numFmtId="0" fontId="48" fillId="3" borderId="50" xfId="0" applyFont="1" applyFill="1" applyBorder="1" applyAlignment="1">
      <alignment horizontal="center" vertical="center" shrinkToFit="1"/>
    </xf>
    <xf numFmtId="0" fontId="48" fillId="3" borderId="42" xfId="0" applyFont="1" applyFill="1" applyBorder="1" applyAlignment="1">
      <alignment horizontal="center" vertical="center" shrinkToFit="1"/>
    </xf>
    <xf numFmtId="0" fontId="46" fillId="7" borderId="4" xfId="0" applyFont="1" applyFill="1" applyBorder="1" applyAlignment="1">
      <alignment horizontal="center" vertical="center"/>
    </xf>
    <xf numFmtId="0" fontId="46" fillId="7" borderId="9" xfId="0" applyFont="1" applyFill="1" applyBorder="1" applyAlignment="1">
      <alignment horizontal="center" vertical="center"/>
    </xf>
    <xf numFmtId="0" fontId="47" fillId="7" borderId="47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center" vertical="center"/>
    </xf>
    <xf numFmtId="0" fontId="46" fillId="7" borderId="8" xfId="0" applyFont="1" applyFill="1" applyBorder="1" applyAlignment="1">
      <alignment horizontal="center" vertical="center"/>
    </xf>
    <xf numFmtId="0" fontId="46" fillId="7" borderId="2" xfId="0" applyFont="1" applyFill="1" applyBorder="1" applyAlignment="1">
      <alignment horizontal="center" vertical="center"/>
    </xf>
    <xf numFmtId="0" fontId="46" fillId="7" borderId="7" xfId="0" applyFont="1" applyFill="1" applyBorder="1" applyAlignment="1">
      <alignment horizontal="center" vertical="center"/>
    </xf>
    <xf numFmtId="0" fontId="47" fillId="7" borderId="3" xfId="0" applyFont="1" applyFill="1" applyBorder="1" applyAlignment="1">
      <alignment horizontal="center" vertical="center"/>
    </xf>
    <xf numFmtId="0" fontId="47" fillId="7" borderId="8" xfId="0" applyFont="1" applyFill="1" applyBorder="1" applyAlignment="1">
      <alignment horizontal="center" vertical="center"/>
    </xf>
    <xf numFmtId="0" fontId="46" fillId="7" borderId="3" xfId="0" applyFont="1" applyFill="1" applyBorder="1" applyAlignment="1">
      <alignment horizontal="right" vertical="center"/>
    </xf>
    <xf numFmtId="0" fontId="46" fillId="7" borderId="8" xfId="0" applyFont="1" applyFill="1" applyBorder="1" applyAlignment="1">
      <alignment horizontal="right" vertical="center"/>
    </xf>
    <xf numFmtId="0" fontId="37" fillId="6" borderId="63" xfId="0" applyFont="1" applyFill="1" applyBorder="1" applyAlignment="1">
      <alignment horizontal="center" shrinkToFit="1"/>
    </xf>
    <xf numFmtId="0" fontId="37" fillId="6" borderId="34" xfId="0" applyFont="1" applyFill="1" applyBorder="1" applyAlignment="1">
      <alignment horizontal="center" shrinkToFit="1"/>
    </xf>
    <xf numFmtId="0" fontId="37" fillId="6" borderId="0" xfId="0" applyFont="1" applyFill="1" applyAlignment="1">
      <alignment horizontal="center" shrinkToFit="1"/>
    </xf>
    <xf numFmtId="0" fontId="37" fillId="6" borderId="8" xfId="0" applyFont="1" applyFill="1" applyBorder="1" applyAlignment="1">
      <alignment horizontal="center" shrinkToFit="1"/>
    </xf>
    <xf numFmtId="0" fontId="35" fillId="6" borderId="14" xfId="0" applyFont="1" applyFill="1" applyBorder="1" applyAlignment="1">
      <alignment horizontal="center" shrinkToFit="1"/>
    </xf>
    <xf numFmtId="0" fontId="35" fillId="6" borderId="19" xfId="0" applyFont="1" applyFill="1" applyBorder="1" applyAlignment="1">
      <alignment horizontal="center" shrinkToFit="1"/>
    </xf>
    <xf numFmtId="0" fontId="35" fillId="6" borderId="15" xfId="0" applyFont="1" applyFill="1" applyBorder="1" applyAlignment="1">
      <alignment horizontal="center" shrinkToFit="1"/>
    </xf>
    <xf numFmtId="0" fontId="35" fillId="6" borderId="16" xfId="0" applyFont="1" applyFill="1" applyBorder="1" applyAlignment="1">
      <alignment horizontal="center" shrinkToFit="1"/>
    </xf>
    <xf numFmtId="0" fontId="14" fillId="6" borderId="0" xfId="0" applyFont="1" applyFill="1" applyAlignment="1">
      <alignment horizontal="center"/>
    </xf>
    <xf numFmtId="0" fontId="33" fillId="6" borderId="0" xfId="0" applyFont="1" applyFill="1" applyAlignment="1">
      <alignment horizontal="center"/>
    </xf>
    <xf numFmtId="0" fontId="33" fillId="6" borderId="8" xfId="0" applyFont="1" applyFill="1" applyBorder="1" applyAlignment="1">
      <alignment horizontal="center"/>
    </xf>
    <xf numFmtId="0" fontId="15" fillId="6" borderId="0" xfId="0" applyFont="1" applyFill="1" applyAlignment="1">
      <alignment horizontal="center"/>
    </xf>
    <xf numFmtId="0" fontId="33" fillId="6" borderId="64" xfId="0" applyFont="1" applyFill="1" applyBorder="1" applyAlignment="1">
      <alignment horizontal="center"/>
    </xf>
    <xf numFmtId="0" fontId="33" fillId="6" borderId="65" xfId="0" applyFont="1" applyFill="1" applyBorder="1" applyAlignment="1">
      <alignment horizontal="center"/>
    </xf>
    <xf numFmtId="0" fontId="35" fillId="6" borderId="17" xfId="0" applyFont="1" applyFill="1" applyBorder="1" applyAlignment="1">
      <alignment horizontal="center" shrinkToFit="1"/>
    </xf>
    <xf numFmtId="0" fontId="35" fillId="6" borderId="18" xfId="0" applyFont="1" applyFill="1" applyBorder="1" applyAlignment="1">
      <alignment horizontal="center" shrinkToFit="1"/>
    </xf>
    <xf numFmtId="0" fontId="32" fillId="6" borderId="0" xfId="0" applyFont="1" applyFill="1" applyAlignment="1">
      <alignment horizontal="center"/>
    </xf>
    <xf numFmtId="0" fontId="32" fillId="6" borderId="8" xfId="0" applyFont="1" applyFill="1" applyBorder="1" applyAlignment="1">
      <alignment horizontal="center"/>
    </xf>
    <xf numFmtId="0" fontId="33" fillId="6" borderId="5" xfId="0" applyFont="1" applyFill="1" applyBorder="1" applyAlignment="1">
      <alignment horizontal="center"/>
    </xf>
    <xf numFmtId="0" fontId="33" fillId="6" borderId="7" xfId="0" applyFont="1" applyFill="1" applyBorder="1" applyAlignment="1">
      <alignment horizontal="center"/>
    </xf>
    <xf numFmtId="0" fontId="37" fillId="6" borderId="0" xfId="0" applyFont="1" applyFill="1" applyAlignment="1">
      <alignment horizontal="left" vertical="center" shrinkToFit="1"/>
    </xf>
    <xf numFmtId="0" fontId="37" fillId="6" borderId="8" xfId="0" applyFont="1" applyFill="1" applyBorder="1" applyAlignment="1">
      <alignment horizontal="left" vertical="center" shrinkToFit="1"/>
    </xf>
    <xf numFmtId="0" fontId="33" fillId="6" borderId="6" xfId="0" applyFont="1" applyFill="1" applyBorder="1" applyAlignment="1">
      <alignment horizontal="center"/>
    </xf>
    <xf numFmtId="0" fontId="33" fillId="6" borderId="9" xfId="0" applyFont="1" applyFill="1" applyBorder="1" applyAlignment="1">
      <alignment horizontal="center"/>
    </xf>
    <xf numFmtId="0" fontId="33" fillId="6" borderId="64" xfId="0" applyFont="1" applyFill="1" applyBorder="1" applyAlignment="1">
      <alignment horizontal="right" vertical="center"/>
    </xf>
    <xf numFmtId="0" fontId="33" fillId="6" borderId="65" xfId="0" applyFont="1" applyFill="1" applyBorder="1" applyAlignment="1">
      <alignment horizontal="right" vertical="center"/>
    </xf>
    <xf numFmtId="0" fontId="37" fillId="6" borderId="14" xfId="0" applyFont="1" applyFill="1" applyBorder="1" applyAlignment="1">
      <alignment horizontal="center" shrinkToFit="1"/>
    </xf>
    <xf numFmtId="0" fontId="37" fillId="6" borderId="19" xfId="0" applyFont="1" applyFill="1" applyBorder="1" applyAlignment="1">
      <alignment horizontal="center" shrinkToFit="1"/>
    </xf>
    <xf numFmtId="0" fontId="9" fillId="6" borderId="0" xfId="0" applyFont="1" applyFill="1" applyAlignment="1">
      <alignment horizontal="left" vertical="top" wrapText="1"/>
    </xf>
    <xf numFmtId="0" fontId="14" fillId="6" borderId="3" xfId="0" applyFont="1" applyFill="1" applyBorder="1" applyAlignment="1">
      <alignment horizontal="center"/>
    </xf>
    <xf numFmtId="0" fontId="14" fillId="6" borderId="0" xfId="0" applyFont="1" applyFill="1" applyAlignment="1">
      <alignment horizontal="center" vertical="center"/>
    </xf>
    <xf numFmtId="0" fontId="14" fillId="6" borderId="0" xfId="0" applyFont="1" applyFill="1" applyAlignment="1">
      <alignment horizontal="left"/>
    </xf>
    <xf numFmtId="0" fontId="17" fillId="6" borderId="0" xfId="0" applyFont="1" applyFill="1" applyAlignment="1">
      <alignment horizontal="center" vertical="center"/>
    </xf>
    <xf numFmtId="0" fontId="35" fillId="6" borderId="35" xfId="0" applyFont="1" applyFill="1" applyBorder="1" applyAlignment="1">
      <alignment horizontal="center" shrinkToFit="1"/>
    </xf>
    <xf numFmtId="0" fontId="39" fillId="7" borderId="0" xfId="0" applyFont="1" applyFill="1" applyAlignment="1">
      <alignment horizontal="center" vertical="center"/>
    </xf>
    <xf numFmtId="0" fontId="20" fillId="6" borderId="2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0" fontId="20" fillId="6" borderId="4" xfId="0" applyFont="1" applyFill="1" applyBorder="1" applyAlignment="1">
      <alignment horizontal="center"/>
    </xf>
    <xf numFmtId="0" fontId="20" fillId="6" borderId="5" xfId="0" applyFont="1" applyFill="1" applyBorder="1" applyAlignment="1">
      <alignment horizontal="center"/>
    </xf>
    <xf numFmtId="0" fontId="20" fillId="6" borderId="0" xfId="0" applyFont="1" applyFill="1" applyAlignment="1">
      <alignment horizontal="center"/>
    </xf>
    <xf numFmtId="0" fontId="20" fillId="6" borderId="6" xfId="0" applyFont="1" applyFill="1" applyBorder="1" applyAlignment="1">
      <alignment horizontal="center"/>
    </xf>
    <xf numFmtId="0" fontId="20" fillId="6" borderId="7" xfId="0" applyFont="1" applyFill="1" applyBorder="1" applyAlignment="1">
      <alignment horizontal="center"/>
    </xf>
    <xf numFmtId="0" fontId="20" fillId="6" borderId="8" xfId="0" applyFont="1" applyFill="1" applyBorder="1" applyAlignment="1">
      <alignment horizontal="center"/>
    </xf>
    <xf numFmtId="0" fontId="20" fillId="6" borderId="9" xfId="0" applyFont="1" applyFill="1" applyBorder="1" applyAlignment="1">
      <alignment horizontal="center"/>
    </xf>
    <xf numFmtId="0" fontId="24" fillId="6" borderId="0" xfId="1" applyFont="1" applyFill="1" applyAlignment="1" applyProtection="1">
      <alignment horizontal="center"/>
    </xf>
    <xf numFmtId="0" fontId="19" fillId="6" borderId="0" xfId="0" applyFont="1" applyFill="1" applyAlignment="1">
      <alignment horizontal="center"/>
    </xf>
    <xf numFmtId="0" fontId="18" fillId="9" borderId="2" xfId="0" applyFont="1" applyFill="1" applyBorder="1" applyAlignment="1">
      <alignment horizontal="center" vertical="center"/>
    </xf>
    <xf numFmtId="0" fontId="18" fillId="9" borderId="3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center" vertical="center"/>
    </xf>
    <xf numFmtId="0" fontId="18" fillId="9" borderId="7" xfId="0" applyFont="1" applyFill="1" applyBorder="1" applyAlignment="1">
      <alignment horizontal="center" vertical="center"/>
    </xf>
    <xf numFmtId="0" fontId="18" fillId="9" borderId="8" xfId="0" applyFont="1" applyFill="1" applyBorder="1" applyAlignment="1">
      <alignment horizontal="center" vertical="center"/>
    </xf>
    <xf numFmtId="0" fontId="18" fillId="9" borderId="9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 customBuiltin="1"/>
  </cellStyles>
  <dxfs count="10">
    <dxf>
      <numFmt numFmtId="0" formatCode="General"/>
      <alignment horizontal="center" vertical="bottom" textRotation="0" wrapText="0" indent="0" justifyLastLine="0" shrinkToFit="0" readingOrder="0"/>
    </dxf>
    <dxf>
      <numFmt numFmtId="0" formatCode="General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border outline="0">
        <bottom style="thin">
          <color theme="1" tint="0.499984740745262"/>
        </bottom>
      </border>
    </dxf>
    <dxf>
      <fill>
        <patternFill patternType="solid">
          <fgColor indexed="64"/>
          <bgColor rgb="FF003E64"/>
        </patternFill>
      </fill>
      <alignment horizontal="center" vertical="center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5FF25F"/>
      <rgbColor rgb="000000FF"/>
      <rgbColor rgb="00FFFF00"/>
      <rgbColor rgb="00DE3018"/>
      <rgbColor rgb="0053D4C9"/>
      <rgbColor rgb="006B0C00"/>
      <rgbColor rgb="00006500"/>
      <rgbColor rgb="00182C63"/>
      <rgbColor rgb="00F88200"/>
      <rgbColor rgb="00C99A83"/>
      <rgbColor rgb="00007F74"/>
      <rgbColor rgb="00EAEAEA"/>
      <rgbColor rgb="005F5F5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799FC4"/>
      <rgbColor rgb="00C1F1ED"/>
      <rgbColor rgb="00D6F4D9"/>
      <rgbColor rgb="00FFFFCC"/>
      <rgbColor rgb="00C9DAFB"/>
      <rgbColor rgb="00FAC8D7"/>
      <rgbColor rgb="00F3E9E4"/>
      <rgbColor rgb="00E4E8F3"/>
      <rgbColor rgb="001849B5"/>
      <rgbColor rgb="0036ACA2"/>
      <rgbColor rgb="00FFE21B"/>
      <rgbColor rgb="00B8CCE4"/>
      <rgbColor rgb="0095B3D7"/>
      <rgbColor rgb="004F81BD"/>
      <rgbColor rgb="0087543B"/>
      <rgbColor rgb="00969696"/>
      <rgbColor rgb="00003366"/>
      <rgbColor rgb="00109618"/>
      <rgbColor rgb="00085108"/>
      <rgbColor rgb="00C84C08"/>
      <rgbColor rgb="00244061"/>
      <rgbColor rgb="00E1C8BC"/>
      <rgbColor rgb="00614424"/>
      <rgbColor rgb="00333333"/>
    </indexedColors>
    <mruColors>
      <color rgb="FFFEC89C"/>
      <color rgb="FFF67008"/>
      <color rgb="FFFAF1E8"/>
      <color rgb="FF003E64"/>
      <color rgb="FFFCF7F2"/>
      <color rgb="FFF6E7D8"/>
      <color rgb="FFF9F0E7"/>
      <color rgb="FFFBF5EF"/>
      <color rgb="FFAD642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0/07/relationships/rdRichValueWebImage" Target="richData/rdRichValueWebImage.xml"/><Relationship Id="rId5" Type="http://schemas.openxmlformats.org/officeDocument/2006/relationships/externalLink" Target="externalLinks/externalLink1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Documents%20and%20Settings/Jon%20Wittwer/My%20Documents/VERTEX42/TEMPLATES/TEMPLATE%20-%20Debt%20Reduction/debt-reduction-calculator_GDocs5.xlsx" TargetMode="External"/><Relationship Id="rId1" Type="http://schemas.openxmlformats.org/officeDocument/2006/relationships/externalLinkPath" Target="/Documents%20and%20Settings/Jon%20Wittwer/My%20Documents/VERTEX42/TEMPLATES/TEMPLATE%20-%20Debt%20Reduction/debt-reduction-calculator_GDocs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Calculator"/>
      <sheetName val="PaymentSchedule"/>
      <sheetName val="©"/>
      <sheetName val="Order"/>
    </sheetNames>
    <sheetDataSet>
      <sheetData sheetId="0">
        <row r="20">
          <cell r="F20">
            <v>2</v>
          </cell>
        </row>
        <row r="21">
          <cell r="F21" t="b">
            <v>1</v>
          </cell>
        </row>
      </sheetData>
      <sheetData sheetId="1" refreshError="1"/>
      <sheetData sheetId="2" refreshError="1"/>
      <sheetData sheetId="3" refreshError="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4" xr16:uid="{3DD1CC80-D998-458D-86EF-3871D03CAB8A}" autoFormatId="16" applyNumberFormats="0" applyBorderFormats="0" applyFontFormats="0" applyPatternFormats="0" applyAlignmentFormats="0" applyWidthHeightFormats="0">
  <queryTableRefresh nextId="7" unboundColumnsRight="1">
    <queryTableFields count="5">
      <queryTableField id="1" name="Column1" tableColumnId="1"/>
      <queryTableField id="2" name="School" tableColumnId="2"/>
      <queryTableField id="3" name="Link" tableColumnId="3"/>
      <queryTableField id="4" name="GameLogs" tableColumnId="4"/>
      <queryTableField id="6" dataBound="0" tableColumnId="6"/>
    </queryTableFields>
    <queryTableDeletedFields count="1">
      <deletedField name="Pace"/>
    </queryTableDeletedFields>
  </queryTableRefresh>
</queryTable>
</file>

<file path=xl/richData/_rels/rdRichValueWebImage.xml.rels><?xml version="1.0" encoding="UTF-8" standalone="yes"?>
<Relationships xmlns="http://schemas.openxmlformats.org/package/2006/relationships"><Relationship Id="rId26" Type="http://schemas.openxmlformats.org/officeDocument/2006/relationships/image" Target="../media/image13.png"/><Relationship Id="rId117" Type="http://schemas.openxmlformats.org/officeDocument/2006/relationships/hyperlink" Target="https://cdn.ssref.net/req/202510241/tlogo/ncaa/columbia-2025.png" TargetMode="External"/><Relationship Id="rId21" Type="http://schemas.openxmlformats.org/officeDocument/2006/relationships/hyperlink" Target="https://cdn.ssref.net/req/202510241/tlogo/ncaa/arizona-2025.png" TargetMode="External"/><Relationship Id="rId42" Type="http://schemas.openxmlformats.org/officeDocument/2006/relationships/image" Target="../media/image21.png"/><Relationship Id="rId47" Type="http://schemas.openxmlformats.org/officeDocument/2006/relationships/hyperlink" Target="https://cdn.ssref.net/req/202510241/tlogo/ncaa/binghamton-2025.png" TargetMode="External"/><Relationship Id="rId63" Type="http://schemas.openxmlformats.org/officeDocument/2006/relationships/hyperlink" Target="https://cdn.ssref.net/req/202510241/tlogo/ncaa/bryant-2025.png" TargetMode="External"/><Relationship Id="rId68" Type="http://schemas.openxmlformats.org/officeDocument/2006/relationships/image" Target="../media/image34.png"/><Relationship Id="rId84" Type="http://schemas.openxmlformats.org/officeDocument/2006/relationships/image" Target="../media/image42.png"/><Relationship Id="rId89" Type="http://schemas.openxmlformats.org/officeDocument/2006/relationships/hyperlink" Target="https://cdn.ssref.net/req/202510241/tlogo/ncaa/central-connecticut-state-2025.png" TargetMode="External"/><Relationship Id="rId112" Type="http://schemas.openxmlformats.org/officeDocument/2006/relationships/image" Target="../media/image56.png"/><Relationship Id="rId16" Type="http://schemas.openxmlformats.org/officeDocument/2006/relationships/image" Target="../media/image8.png"/><Relationship Id="rId107" Type="http://schemas.openxmlformats.org/officeDocument/2006/relationships/hyperlink" Target="https://cdn.ssref.net/req/202510241/tlogo/ncaa/coastal-carolina-2025.png" TargetMode="External"/><Relationship Id="rId11" Type="http://schemas.openxmlformats.org/officeDocument/2006/relationships/hyperlink" Target="https://cdn.ssref.net/req/202510241/tlogo/ncaa/alabama-state-2025.png" TargetMode="External"/><Relationship Id="rId32" Type="http://schemas.openxmlformats.org/officeDocument/2006/relationships/image" Target="../media/image16.png"/><Relationship Id="rId37" Type="http://schemas.openxmlformats.org/officeDocument/2006/relationships/hyperlink" Target="https://cdn.ssref.net/req/202510241/tlogo/ncaa/ball-state-2025.png" TargetMode="External"/><Relationship Id="rId53" Type="http://schemas.openxmlformats.org/officeDocument/2006/relationships/hyperlink" Target="https://cdn.ssref.net/req/202510241/tlogo/ncaa/florida-2025.png" TargetMode="External"/><Relationship Id="rId58" Type="http://schemas.openxmlformats.org/officeDocument/2006/relationships/image" Target="../media/image29.png"/><Relationship Id="rId74" Type="http://schemas.openxmlformats.org/officeDocument/2006/relationships/image" Target="../media/image37.png"/><Relationship Id="rId79" Type="http://schemas.openxmlformats.org/officeDocument/2006/relationships/hyperlink" Target="https://cdn.ssref.net/req/202510241/tlogo/ncaa/california-2025.png" TargetMode="External"/><Relationship Id="rId102" Type="http://schemas.openxmlformats.org/officeDocument/2006/relationships/image" Target="../media/image51.png"/><Relationship Id="rId123" Type="http://schemas.openxmlformats.org/officeDocument/2006/relationships/hyperlink" Target="https://cdn.ssref.net/req/202510241/tlogo/ncaa/cornell-2025.png" TargetMode="External"/><Relationship Id="rId128" Type="http://schemas.openxmlformats.org/officeDocument/2006/relationships/image" Target="../media/image64.png"/><Relationship Id="rId5" Type="http://schemas.openxmlformats.org/officeDocument/2006/relationships/hyperlink" Target="https://cdn.ssref.net/req/202510241/tlogo/ncaa/akron-2025.png" TargetMode="External"/><Relationship Id="rId90" Type="http://schemas.openxmlformats.org/officeDocument/2006/relationships/image" Target="../media/image45.png"/><Relationship Id="rId95" Type="http://schemas.openxmlformats.org/officeDocument/2006/relationships/hyperlink" Target="https://cdn.ssref.net/req/202510241/tlogo/ncaa/charlotte-2025.png" TargetMode="External"/><Relationship Id="rId22" Type="http://schemas.openxmlformats.org/officeDocument/2006/relationships/image" Target="../media/image11.png"/><Relationship Id="rId27" Type="http://schemas.openxmlformats.org/officeDocument/2006/relationships/hyperlink" Target="https://cdn.ssref.net/req/202510241/tlogo/ncaa/arkansas-state-2025.png" TargetMode="External"/><Relationship Id="rId43" Type="http://schemas.openxmlformats.org/officeDocument/2006/relationships/hyperlink" Target="https://cdn.ssref.net/req/202510241/tlogo/ncaa/belmont-2025.png" TargetMode="External"/><Relationship Id="rId48" Type="http://schemas.openxmlformats.org/officeDocument/2006/relationships/image" Target="../media/image24.png"/><Relationship Id="rId64" Type="http://schemas.openxmlformats.org/officeDocument/2006/relationships/image" Target="../media/image32.png"/><Relationship Id="rId69" Type="http://schemas.openxmlformats.org/officeDocument/2006/relationships/hyperlink" Target="https://cdn.ssref.net/req/202510241/tlogo/ncaa/butler-2025.png" TargetMode="External"/><Relationship Id="rId113" Type="http://schemas.openxmlformats.org/officeDocument/2006/relationships/hyperlink" Target="https://cdn.ssref.net/req/202510241/tlogo/ncaa/colorado-2025.png" TargetMode="External"/><Relationship Id="rId118" Type="http://schemas.openxmlformats.org/officeDocument/2006/relationships/image" Target="../media/image59.png"/><Relationship Id="rId80" Type="http://schemas.openxmlformats.org/officeDocument/2006/relationships/image" Target="../media/image40.png"/><Relationship Id="rId85" Type="http://schemas.openxmlformats.org/officeDocument/2006/relationships/hyperlink" Target="https://cdn.ssref.net/req/202510241/tlogo/ncaa/canisius-2025.png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cdn.ssref.net/req/202510241/tlogo/ncaa/american-2025.png" TargetMode="External"/><Relationship Id="rId33" Type="http://schemas.openxmlformats.org/officeDocument/2006/relationships/hyperlink" Target="https://cdn.ssref.net/req/202510241/tlogo/ncaa/auburn-2025.png" TargetMode="External"/><Relationship Id="rId38" Type="http://schemas.openxmlformats.org/officeDocument/2006/relationships/image" Target="../media/image19.png"/><Relationship Id="rId59" Type="http://schemas.openxmlformats.org/officeDocument/2006/relationships/hyperlink" Target="https://cdn.ssref.net/req/202510241/tlogo/ncaa/brigham-young-2025.png" TargetMode="External"/><Relationship Id="rId103" Type="http://schemas.openxmlformats.org/officeDocument/2006/relationships/hyperlink" Target="https://cdn.ssref.net/req/202510241/tlogo/ncaa/clemson-2025.png" TargetMode="External"/><Relationship Id="rId108" Type="http://schemas.openxmlformats.org/officeDocument/2006/relationships/image" Target="../media/image54.png"/><Relationship Id="rId124" Type="http://schemas.openxmlformats.org/officeDocument/2006/relationships/image" Target="../media/image62.png"/><Relationship Id="rId54" Type="http://schemas.openxmlformats.org/officeDocument/2006/relationships/image" Target="../media/image27.png"/><Relationship Id="rId70" Type="http://schemas.openxmlformats.org/officeDocument/2006/relationships/image" Target="../media/image35.png"/><Relationship Id="rId75" Type="http://schemas.openxmlformats.org/officeDocument/2006/relationships/hyperlink" Target="https://cdn.ssref.net/req/202510241/tlogo/ncaa/cal-state-fullerton-2025.png" TargetMode="External"/><Relationship Id="rId91" Type="http://schemas.openxmlformats.org/officeDocument/2006/relationships/hyperlink" Target="https://cdn.ssref.net/req/202510241/tlogo/ncaa/central-michigan-2025.png" TargetMode="External"/><Relationship Id="rId96" Type="http://schemas.openxmlformats.org/officeDocument/2006/relationships/image" Target="../media/image48.png"/><Relationship Id="rId1" Type="http://schemas.openxmlformats.org/officeDocument/2006/relationships/hyperlink" Target="https://cdn.ssref.net/req/202510241/tlogo/ncaa/abilene-christian-2025.png" TargetMode="External"/><Relationship Id="rId6" Type="http://schemas.openxmlformats.org/officeDocument/2006/relationships/image" Target="../media/image3.png"/><Relationship Id="rId23" Type="http://schemas.openxmlformats.org/officeDocument/2006/relationships/hyperlink" Target="https://cdn.ssref.net/req/202510241/tlogo/ncaa/arizona-state-2025.png" TargetMode="External"/><Relationship Id="rId28" Type="http://schemas.openxmlformats.org/officeDocument/2006/relationships/image" Target="../media/image14.png"/><Relationship Id="rId49" Type="http://schemas.openxmlformats.org/officeDocument/2006/relationships/hyperlink" Target="https://cdn.ssref.net/req/202510241/tlogo/ncaa/boise-state-2025.png" TargetMode="External"/><Relationship Id="rId114" Type="http://schemas.openxmlformats.org/officeDocument/2006/relationships/image" Target="../media/image57.png"/><Relationship Id="rId119" Type="http://schemas.openxmlformats.org/officeDocument/2006/relationships/hyperlink" Target="https://cdn.ssref.net/req/202510241/tlogo/ncaa/connecticut-2025.png" TargetMode="External"/><Relationship Id="rId44" Type="http://schemas.openxmlformats.org/officeDocument/2006/relationships/image" Target="../media/image22.png"/><Relationship Id="rId60" Type="http://schemas.openxmlformats.org/officeDocument/2006/relationships/image" Target="../media/image30.png"/><Relationship Id="rId65" Type="http://schemas.openxmlformats.org/officeDocument/2006/relationships/hyperlink" Target="https://cdn.ssref.net/req/202510241/tlogo/ncaa/bucknell-2025.png" TargetMode="External"/><Relationship Id="rId81" Type="http://schemas.openxmlformats.org/officeDocument/2006/relationships/hyperlink" Target="https://cdn.ssref.net/req/202510241/tlogo/ncaa/california-baptist-2025.png" TargetMode="External"/><Relationship Id="rId86" Type="http://schemas.openxmlformats.org/officeDocument/2006/relationships/image" Target="../media/image43.png"/><Relationship Id="rId13" Type="http://schemas.openxmlformats.org/officeDocument/2006/relationships/hyperlink" Target="https://cdn.ssref.net/req/202510241/tlogo/ncaa/albany-ny-2025.png" TargetMode="External"/><Relationship Id="rId18" Type="http://schemas.openxmlformats.org/officeDocument/2006/relationships/image" Target="../media/image9.png"/><Relationship Id="rId39" Type="http://schemas.openxmlformats.org/officeDocument/2006/relationships/hyperlink" Target="https://cdn.ssref.net/req/202510241/tlogo/ncaa/baylor-2025.png" TargetMode="External"/><Relationship Id="rId109" Type="http://schemas.openxmlformats.org/officeDocument/2006/relationships/hyperlink" Target="https://cdn.ssref.net/req/202510241/tlogo/ncaa/colgate-2025.png" TargetMode="External"/><Relationship Id="rId34" Type="http://schemas.openxmlformats.org/officeDocument/2006/relationships/image" Target="../media/image17.png"/><Relationship Id="rId50" Type="http://schemas.openxmlformats.org/officeDocument/2006/relationships/image" Target="../media/image25.png"/><Relationship Id="rId55" Type="http://schemas.openxmlformats.org/officeDocument/2006/relationships/hyperlink" Target="https://cdn.ssref.net/req/202510241/tlogo/ncaa/duke-2025.png" TargetMode="External"/><Relationship Id="rId76" Type="http://schemas.openxmlformats.org/officeDocument/2006/relationships/image" Target="../media/image38.png"/><Relationship Id="rId97" Type="http://schemas.openxmlformats.org/officeDocument/2006/relationships/hyperlink" Target="https://cdn.ssref.net/req/202510241/tlogo/ncaa/chattanooga-2025.png" TargetMode="External"/><Relationship Id="rId104" Type="http://schemas.openxmlformats.org/officeDocument/2006/relationships/image" Target="../media/image52.png"/><Relationship Id="rId120" Type="http://schemas.openxmlformats.org/officeDocument/2006/relationships/image" Target="../media/image60.png"/><Relationship Id="rId125" Type="http://schemas.openxmlformats.org/officeDocument/2006/relationships/hyperlink" Target="https://cdn.ssref.net/req/202510241/tlogo/ncaa/creighton-2025.png" TargetMode="External"/><Relationship Id="rId7" Type="http://schemas.openxmlformats.org/officeDocument/2006/relationships/hyperlink" Target="https://cdn.ssref.net/req/202510241/tlogo/ncaa/alabama-2025.png" TargetMode="External"/><Relationship Id="rId71" Type="http://schemas.openxmlformats.org/officeDocument/2006/relationships/hyperlink" Target="https://cdn.ssref.net/req/202510241/tlogo/ncaa/cal-poly-2025.png" TargetMode="External"/><Relationship Id="rId92" Type="http://schemas.openxmlformats.org/officeDocument/2006/relationships/image" Target="../media/image46.png"/><Relationship Id="rId2" Type="http://schemas.openxmlformats.org/officeDocument/2006/relationships/image" Target="../media/image1.png"/><Relationship Id="rId29" Type="http://schemas.openxmlformats.org/officeDocument/2006/relationships/hyperlink" Target="https://cdn.ssref.net/req/202510241/tlogo/ncaa/arkansas-pine-bluff-2025.png" TargetMode="External"/><Relationship Id="rId24" Type="http://schemas.openxmlformats.org/officeDocument/2006/relationships/image" Target="../media/image12.png"/><Relationship Id="rId40" Type="http://schemas.openxmlformats.org/officeDocument/2006/relationships/image" Target="../media/image20.png"/><Relationship Id="rId45" Type="http://schemas.openxmlformats.org/officeDocument/2006/relationships/hyperlink" Target="https://cdn.ssref.net/req/202510241/tlogo/ncaa/bethune-cookman-2025.png" TargetMode="External"/><Relationship Id="rId66" Type="http://schemas.openxmlformats.org/officeDocument/2006/relationships/image" Target="../media/image33.png"/><Relationship Id="rId87" Type="http://schemas.openxmlformats.org/officeDocument/2006/relationships/hyperlink" Target="https://cdn.ssref.net/req/202510241/tlogo/ncaa/central-arkansas-2025.png" TargetMode="External"/><Relationship Id="rId110" Type="http://schemas.openxmlformats.org/officeDocument/2006/relationships/image" Target="../media/image55.png"/><Relationship Id="rId115" Type="http://schemas.openxmlformats.org/officeDocument/2006/relationships/hyperlink" Target="https://cdn.ssref.net/req/202510241/tlogo/ncaa/colorado-state-2025.png" TargetMode="External"/><Relationship Id="rId61" Type="http://schemas.openxmlformats.org/officeDocument/2006/relationships/hyperlink" Target="https://cdn.ssref.net/req/202510241/tlogo/ncaa/brown-2025.png" TargetMode="External"/><Relationship Id="rId82" Type="http://schemas.openxmlformats.org/officeDocument/2006/relationships/image" Target="../media/image41.png"/><Relationship Id="rId19" Type="http://schemas.openxmlformats.org/officeDocument/2006/relationships/hyperlink" Target="https://cdn.ssref.net/req/202510241/tlogo/ncaa/appalachian-state-2025.png" TargetMode="External"/><Relationship Id="rId14" Type="http://schemas.openxmlformats.org/officeDocument/2006/relationships/image" Target="../media/image7.png"/><Relationship Id="rId30" Type="http://schemas.openxmlformats.org/officeDocument/2006/relationships/image" Target="../media/image15.png"/><Relationship Id="rId35" Type="http://schemas.openxmlformats.org/officeDocument/2006/relationships/hyperlink" Target="https://cdn.ssref.net/req/202510241/tlogo/ncaa/austin-peay-2025.png" TargetMode="External"/><Relationship Id="rId56" Type="http://schemas.openxmlformats.org/officeDocument/2006/relationships/image" Target="../media/image28.png"/><Relationship Id="rId77" Type="http://schemas.openxmlformats.org/officeDocument/2006/relationships/hyperlink" Target="https://cdn.ssref.net/req/202510241/tlogo/ncaa/cal-state-northridge-2025.png" TargetMode="External"/><Relationship Id="rId100" Type="http://schemas.openxmlformats.org/officeDocument/2006/relationships/image" Target="../media/image50.png"/><Relationship Id="rId105" Type="http://schemas.openxmlformats.org/officeDocument/2006/relationships/hyperlink" Target="https://cdn.ssref.net/req/202510241/tlogo/ncaa/cleveland-state-2025.png" TargetMode="External"/><Relationship Id="rId126" Type="http://schemas.openxmlformats.org/officeDocument/2006/relationships/image" Target="../media/image63.png"/><Relationship Id="rId8" Type="http://schemas.openxmlformats.org/officeDocument/2006/relationships/image" Target="../media/image4.png"/><Relationship Id="rId51" Type="http://schemas.openxmlformats.org/officeDocument/2006/relationships/hyperlink" Target="https://cdn.ssref.net/req/202510241/tlogo/ncaa/boston-college-2025.png" TargetMode="External"/><Relationship Id="rId72" Type="http://schemas.openxmlformats.org/officeDocument/2006/relationships/image" Target="../media/image36.png"/><Relationship Id="rId93" Type="http://schemas.openxmlformats.org/officeDocument/2006/relationships/hyperlink" Target="https://cdn.ssref.net/req/202510241/tlogo/ncaa/charleston-southern-2025.png" TargetMode="External"/><Relationship Id="rId98" Type="http://schemas.openxmlformats.org/officeDocument/2006/relationships/image" Target="../media/image49.png"/><Relationship Id="rId121" Type="http://schemas.openxmlformats.org/officeDocument/2006/relationships/hyperlink" Target="https://cdn.ssref.net/req/202510241/tlogo/ncaa/coppin-state-2025.png" TargetMode="External"/><Relationship Id="rId3" Type="http://schemas.openxmlformats.org/officeDocument/2006/relationships/hyperlink" Target="https://cdn.ssref.net/req/202510241/tlogo/ncaa/air-force-2025.png" TargetMode="External"/><Relationship Id="rId25" Type="http://schemas.openxmlformats.org/officeDocument/2006/relationships/hyperlink" Target="https://cdn.ssref.net/req/202510241/tlogo/ncaa/arkansas-2025.png" TargetMode="External"/><Relationship Id="rId46" Type="http://schemas.openxmlformats.org/officeDocument/2006/relationships/image" Target="../media/image23.png"/><Relationship Id="rId67" Type="http://schemas.openxmlformats.org/officeDocument/2006/relationships/hyperlink" Target="https://cdn.ssref.net/req/202510241/tlogo/ncaa/buffalo-2025.png" TargetMode="External"/><Relationship Id="rId116" Type="http://schemas.openxmlformats.org/officeDocument/2006/relationships/image" Target="../media/image58.png"/><Relationship Id="rId20" Type="http://schemas.openxmlformats.org/officeDocument/2006/relationships/image" Target="../media/image10.png"/><Relationship Id="rId41" Type="http://schemas.openxmlformats.org/officeDocument/2006/relationships/hyperlink" Target="https://cdn.ssref.net/req/202510241/tlogo/ncaa/bellarmine-2025.png" TargetMode="External"/><Relationship Id="rId62" Type="http://schemas.openxmlformats.org/officeDocument/2006/relationships/image" Target="../media/image31.png"/><Relationship Id="rId83" Type="http://schemas.openxmlformats.org/officeDocument/2006/relationships/hyperlink" Target="https://cdn.ssref.net/req/202510241/tlogo/ncaa/campbell-2025.png" TargetMode="External"/><Relationship Id="rId88" Type="http://schemas.openxmlformats.org/officeDocument/2006/relationships/image" Target="../media/image44.png"/><Relationship Id="rId111" Type="http://schemas.openxmlformats.org/officeDocument/2006/relationships/hyperlink" Target="https://cdn.ssref.net/req/202510241/tlogo/ncaa/college-of-charleston-2025.png" TargetMode="External"/><Relationship Id="rId15" Type="http://schemas.openxmlformats.org/officeDocument/2006/relationships/hyperlink" Target="https://cdn.ssref.net/req/202510241/tlogo/ncaa/alcorn-state-2025.png" TargetMode="External"/><Relationship Id="rId36" Type="http://schemas.openxmlformats.org/officeDocument/2006/relationships/image" Target="../media/image18.png"/><Relationship Id="rId57" Type="http://schemas.openxmlformats.org/officeDocument/2006/relationships/hyperlink" Target="https://cdn.ssref.net/req/202510241/tlogo/ncaa/bradley-2025.png" TargetMode="External"/><Relationship Id="rId106" Type="http://schemas.openxmlformats.org/officeDocument/2006/relationships/image" Target="../media/image53.png"/><Relationship Id="rId127" Type="http://schemas.openxmlformats.org/officeDocument/2006/relationships/hyperlink" Target="https://cdn.ssref.net/req/202510241/tlogo/ncaa/dartmouth-2025.png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cdn.ssref.net/req/202510241/tlogo/ncaa/army-2025.png" TargetMode="External"/><Relationship Id="rId52" Type="http://schemas.openxmlformats.org/officeDocument/2006/relationships/image" Target="../media/image26.png"/><Relationship Id="rId73" Type="http://schemas.openxmlformats.org/officeDocument/2006/relationships/hyperlink" Target="https://cdn.ssref.net/req/202510241/tlogo/ncaa/cal-state-bakersfield-2025.png" TargetMode="External"/><Relationship Id="rId78" Type="http://schemas.openxmlformats.org/officeDocument/2006/relationships/image" Target="../media/image39.png"/><Relationship Id="rId94" Type="http://schemas.openxmlformats.org/officeDocument/2006/relationships/image" Target="../media/image47.png"/><Relationship Id="rId99" Type="http://schemas.openxmlformats.org/officeDocument/2006/relationships/hyperlink" Target="https://cdn.ssref.net/req/202510241/tlogo/ncaa/chicago-state-2025.png" TargetMode="External"/><Relationship Id="rId101" Type="http://schemas.openxmlformats.org/officeDocument/2006/relationships/hyperlink" Target="https://cdn.ssref.net/req/202510241/tlogo/ncaa/cincinnati-2025.png" TargetMode="External"/><Relationship Id="rId122" Type="http://schemas.openxmlformats.org/officeDocument/2006/relationships/image" Target="../media/image61.png"/><Relationship Id="rId4" Type="http://schemas.openxmlformats.org/officeDocument/2006/relationships/image" Target="../media/image2.png"/><Relationship Id="rId9" Type="http://schemas.openxmlformats.org/officeDocument/2006/relationships/hyperlink" Target="https://cdn.ssref.net/req/202510241/tlogo/ncaa/alabama-am-2025.png" TargetMode="Externa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webimage">
      <keyFlags>
        <key name="WebImageIdentifier">
          <flag name="ShowInCardView" value="0"/>
        </key>
      </keyFlags>
    </type>
  </types>
</rvTypesInfo>
</file>

<file path=xl/richData/rdRichValueWebImage.xml><?xml version="1.0" encoding="utf-8"?>
<webImagesSrd xmlns="http://schemas.microsoft.com/office/spreadsheetml/2020/richdatawebimage" xmlns:r="http://schemas.openxmlformats.org/officeDocument/2006/relationships">
  <webImageSrd>
    <address r:id="rId1"/>
    <blip r:id="rId2"/>
  </webImageSrd>
  <webImageSrd>
    <address r:id="rId3"/>
    <blip r:id="rId4"/>
  </webImageSrd>
  <webImageSrd>
    <address r:id="rId5"/>
    <blip r:id="rId6"/>
  </webImageSrd>
  <webImageSrd>
    <address r:id="rId7"/>
    <blip r:id="rId8"/>
  </webImageSrd>
  <webImageSrd>
    <address r:id="rId9"/>
    <blip r:id="rId10"/>
  </webImageSrd>
  <webImageSrd>
    <address r:id="rId11"/>
    <blip r:id="rId12"/>
  </webImageSrd>
  <webImageSrd>
    <address r:id="rId13"/>
    <blip r:id="rId14"/>
  </webImageSrd>
  <webImageSrd>
    <address r:id="rId15"/>
    <blip r:id="rId16"/>
  </webImageSrd>
  <webImageSrd>
    <address r:id="rId17"/>
    <blip r:id="rId18"/>
  </webImageSrd>
  <webImageSrd>
    <address r:id="rId19"/>
    <blip r:id="rId20"/>
  </webImageSrd>
  <webImageSrd>
    <address r:id="rId21"/>
    <blip r:id="rId22"/>
  </webImageSrd>
  <webImageSrd>
    <address r:id="rId23"/>
    <blip r:id="rId24"/>
  </webImageSrd>
  <webImageSrd>
    <address r:id="rId25"/>
    <blip r:id="rId26"/>
  </webImageSrd>
  <webImageSrd>
    <address r:id="rId27"/>
    <blip r:id="rId28"/>
  </webImageSrd>
  <webImageSrd>
    <address r:id="rId29"/>
    <blip r:id="rId30"/>
  </webImageSrd>
  <webImageSrd>
    <address r:id="rId31"/>
    <blip r:id="rId32"/>
  </webImageSrd>
  <webImageSrd>
    <address r:id="rId33"/>
    <blip r:id="rId34"/>
  </webImageSrd>
  <webImageSrd>
    <address r:id="rId35"/>
    <blip r:id="rId36"/>
  </webImageSrd>
  <webImageSrd>
    <address r:id="rId37"/>
    <blip r:id="rId38"/>
  </webImageSrd>
  <webImageSrd>
    <address r:id="rId39"/>
    <blip r:id="rId40"/>
  </webImageSrd>
  <webImageSrd>
    <address r:id="rId41"/>
    <blip r:id="rId42"/>
  </webImageSrd>
  <webImageSrd>
    <address r:id="rId43"/>
    <blip r:id="rId44"/>
  </webImageSrd>
  <webImageSrd>
    <address r:id="rId45"/>
    <blip r:id="rId46"/>
  </webImageSrd>
  <webImageSrd>
    <address r:id="rId47"/>
    <blip r:id="rId48"/>
  </webImageSrd>
  <webImageSrd>
    <address r:id="rId49"/>
    <blip r:id="rId50"/>
  </webImageSrd>
  <webImageSrd>
    <address r:id="rId51"/>
    <blip r:id="rId52"/>
  </webImageSrd>
  <webImageSrd>
    <address r:id="rId53"/>
    <blip r:id="rId54"/>
  </webImageSrd>
  <webImageSrd>
    <address r:id="rId55"/>
    <blip r:id="rId56"/>
  </webImageSrd>
  <webImageSrd>
    <address r:id="rId57"/>
    <blip r:id="rId58"/>
  </webImageSrd>
  <webImageSrd>
    <address r:id="rId59"/>
    <blip r:id="rId60"/>
  </webImageSrd>
  <webImageSrd>
    <address r:id="rId61"/>
    <blip r:id="rId62"/>
  </webImageSrd>
  <webImageSrd>
    <address r:id="rId63"/>
    <blip r:id="rId64"/>
  </webImageSrd>
  <webImageSrd>
    <address r:id="rId65"/>
    <blip r:id="rId66"/>
  </webImageSrd>
  <webImageSrd>
    <address r:id="rId67"/>
    <blip r:id="rId68"/>
  </webImageSrd>
  <webImageSrd>
    <address r:id="rId69"/>
    <blip r:id="rId70"/>
  </webImageSrd>
  <webImageSrd>
    <address r:id="rId71"/>
    <blip r:id="rId72"/>
  </webImageSrd>
  <webImageSrd>
    <address r:id="rId73"/>
    <blip r:id="rId74"/>
  </webImageSrd>
  <webImageSrd>
    <address r:id="rId75"/>
    <blip r:id="rId76"/>
  </webImageSrd>
  <webImageSrd>
    <address r:id="rId77"/>
    <blip r:id="rId78"/>
  </webImageSrd>
  <webImageSrd>
    <address r:id="rId79"/>
    <blip r:id="rId80"/>
  </webImageSrd>
  <webImageSrd>
    <address r:id="rId81"/>
    <blip r:id="rId82"/>
  </webImageSrd>
  <webImageSrd>
    <address r:id="rId83"/>
    <blip r:id="rId84"/>
  </webImageSrd>
  <webImageSrd>
    <address r:id="rId85"/>
    <blip r:id="rId86"/>
  </webImageSrd>
  <webImageSrd>
    <address r:id="rId87"/>
    <blip r:id="rId88"/>
  </webImageSrd>
  <webImageSrd>
    <address r:id="rId89"/>
    <blip r:id="rId90"/>
  </webImageSrd>
  <webImageSrd>
    <address r:id="rId91"/>
    <blip r:id="rId92"/>
  </webImageSrd>
  <webImageSrd>
    <address r:id="rId93"/>
    <blip r:id="rId94"/>
  </webImageSrd>
  <webImageSrd>
    <address r:id="rId95"/>
    <blip r:id="rId96"/>
  </webImageSrd>
  <webImageSrd>
    <address r:id="rId97"/>
    <blip r:id="rId98"/>
  </webImageSrd>
  <webImageSrd>
    <address r:id="rId99"/>
    <blip r:id="rId100"/>
  </webImageSrd>
  <webImageSrd>
    <address r:id="rId101"/>
    <blip r:id="rId102"/>
  </webImageSrd>
  <webImageSrd>
    <address r:id="rId103"/>
    <blip r:id="rId104"/>
  </webImageSrd>
  <webImageSrd>
    <address r:id="rId105"/>
    <blip r:id="rId106"/>
  </webImageSrd>
  <webImageSrd>
    <address r:id="rId107"/>
    <blip r:id="rId108"/>
  </webImageSrd>
  <webImageSrd>
    <address r:id="rId109"/>
    <blip r:id="rId110"/>
  </webImageSrd>
  <webImageSrd>
    <address r:id="rId111"/>
    <blip r:id="rId112"/>
  </webImageSrd>
  <webImageSrd>
    <address r:id="rId113"/>
    <blip r:id="rId114"/>
  </webImageSrd>
  <webImageSrd>
    <address r:id="rId115"/>
    <blip r:id="rId116"/>
  </webImageSrd>
  <webImageSrd>
    <address r:id="rId117"/>
    <blip r:id="rId118"/>
  </webImageSrd>
  <webImageSrd>
    <address r:id="rId119"/>
    <blip r:id="rId120"/>
  </webImageSrd>
  <webImageSrd>
    <address r:id="rId121"/>
    <blip r:id="rId122"/>
  </webImageSrd>
  <webImageSrd>
    <address r:id="rId123"/>
    <blip r:id="rId124"/>
  </webImageSrd>
  <webImageSrd>
    <address r:id="rId125"/>
    <blip r:id="rId126"/>
  </webImageSrd>
  <webImageSrd>
    <address r:id="rId127"/>
    <blip r:id="rId128"/>
  </webImageSrd>
</webImagesSrd>
</file>

<file path=xl/richData/rdrichvalue.xml><?xml version="1.0" encoding="utf-8"?>
<rvData xmlns="http://schemas.microsoft.com/office/spreadsheetml/2017/richdata" count="128">
  <rv s="0">
    <v>0</v>
    <v>1</v>
    <v>0</v>
    <v>0</v>
  </rv>
  <rv s="0">
    <v>1</v>
    <v>1</v>
    <v>0</v>
    <v>0</v>
  </rv>
  <rv s="0">
    <v>2</v>
    <v>1</v>
    <v>0</v>
    <v>0</v>
  </rv>
  <rv s="0">
    <v>3</v>
    <v>1</v>
    <v>0</v>
    <v>0</v>
  </rv>
  <rv s="0">
    <v>4</v>
    <v>1</v>
    <v>0</v>
    <v>0</v>
  </rv>
  <rv s="0">
    <v>5</v>
    <v>1</v>
    <v>0</v>
    <v>0</v>
  </rv>
  <rv s="0">
    <v>6</v>
    <v>1</v>
    <v>0</v>
    <v>0</v>
  </rv>
  <rv s="0">
    <v>7</v>
    <v>1</v>
    <v>0</v>
    <v>0</v>
  </rv>
  <rv s="0">
    <v>8</v>
    <v>1</v>
    <v>0</v>
    <v>0</v>
  </rv>
  <rv s="0">
    <v>9</v>
    <v>1</v>
    <v>0</v>
    <v>0</v>
  </rv>
  <rv s="0">
    <v>10</v>
    <v>1</v>
    <v>0</v>
    <v>0</v>
  </rv>
  <rv s="0">
    <v>11</v>
    <v>1</v>
    <v>0</v>
    <v>0</v>
  </rv>
  <rv s="0">
    <v>12</v>
    <v>1</v>
    <v>0</v>
    <v>0</v>
  </rv>
  <rv s="0">
    <v>13</v>
    <v>1</v>
    <v>0</v>
    <v>0</v>
  </rv>
  <rv s="0">
    <v>14</v>
    <v>1</v>
    <v>0</v>
    <v>0</v>
  </rv>
  <rv s="0">
    <v>15</v>
    <v>1</v>
    <v>0</v>
    <v>0</v>
  </rv>
  <rv s="0">
    <v>16</v>
    <v>1</v>
    <v>0</v>
    <v>0</v>
  </rv>
  <rv s="0">
    <v>17</v>
    <v>1</v>
    <v>0</v>
    <v>0</v>
  </rv>
  <rv s="0">
    <v>18</v>
    <v>1</v>
    <v>0</v>
    <v>0</v>
  </rv>
  <rv s="0">
    <v>19</v>
    <v>1</v>
    <v>0</v>
    <v>0</v>
  </rv>
  <rv s="0">
    <v>20</v>
    <v>1</v>
    <v>0</v>
    <v>0</v>
  </rv>
  <rv s="0">
    <v>21</v>
    <v>1</v>
    <v>0</v>
    <v>0</v>
  </rv>
  <rv s="0">
    <v>22</v>
    <v>1</v>
    <v>0</v>
    <v>0</v>
  </rv>
  <rv s="0">
    <v>23</v>
    <v>1</v>
    <v>0</v>
    <v>0</v>
  </rv>
  <rv s="0">
    <v>24</v>
    <v>1</v>
    <v>0</v>
    <v>0</v>
  </rv>
  <rv s="0">
    <v>25</v>
    <v>1</v>
    <v>0</v>
    <v>0</v>
  </rv>
  <rv s="0">
    <v>26</v>
    <v>1</v>
    <v>0</v>
    <v>0</v>
  </rv>
  <rv s="0">
    <v>27</v>
    <v>1</v>
    <v>0</v>
    <v>0</v>
  </rv>
  <rv s="0">
    <v>28</v>
    <v>1</v>
    <v>0</v>
    <v>0</v>
  </rv>
  <rv s="0">
    <v>29</v>
    <v>1</v>
    <v>0</v>
    <v>0</v>
  </rv>
  <rv s="0">
    <v>30</v>
    <v>1</v>
    <v>0</v>
    <v>0</v>
  </rv>
  <rv s="0">
    <v>31</v>
    <v>1</v>
    <v>0</v>
    <v>0</v>
  </rv>
  <rv s="0">
    <v>32</v>
    <v>1</v>
    <v>0</v>
    <v>0</v>
  </rv>
  <rv s="0">
    <v>33</v>
    <v>1</v>
    <v>0</v>
    <v>0</v>
  </rv>
  <rv s="0">
    <v>34</v>
    <v>1</v>
    <v>0</v>
    <v>0</v>
  </rv>
  <rv s="0">
    <v>35</v>
    <v>1</v>
    <v>0</v>
    <v>0</v>
  </rv>
  <rv s="0">
    <v>36</v>
    <v>1</v>
    <v>0</v>
    <v>0</v>
  </rv>
  <rv s="0">
    <v>37</v>
    <v>1</v>
    <v>0</v>
    <v>0</v>
  </rv>
  <rv s="0">
    <v>38</v>
    <v>1</v>
    <v>0</v>
    <v>0</v>
  </rv>
  <rv s="0">
    <v>39</v>
    <v>1</v>
    <v>0</v>
    <v>0</v>
  </rv>
  <rv s="0">
    <v>40</v>
    <v>1</v>
    <v>0</v>
    <v>0</v>
  </rv>
  <rv s="0">
    <v>41</v>
    <v>1</v>
    <v>0</v>
    <v>0</v>
  </rv>
  <rv s="0">
    <v>42</v>
    <v>1</v>
    <v>0</v>
    <v>0</v>
  </rv>
  <rv s="0">
    <v>43</v>
    <v>1</v>
    <v>0</v>
    <v>0</v>
  </rv>
  <rv s="0">
    <v>44</v>
    <v>1</v>
    <v>0</v>
    <v>0</v>
  </rv>
  <rv s="0">
    <v>45</v>
    <v>1</v>
    <v>0</v>
    <v>0</v>
  </rv>
  <rv s="0">
    <v>46</v>
    <v>1</v>
    <v>0</v>
    <v>0</v>
  </rv>
  <rv s="0">
    <v>47</v>
    <v>1</v>
    <v>0</v>
    <v>0</v>
  </rv>
  <rv s="0">
    <v>48</v>
    <v>1</v>
    <v>0</v>
    <v>0</v>
  </rv>
  <rv s="0">
    <v>49</v>
    <v>1</v>
    <v>0</v>
    <v>0</v>
  </rv>
  <rv s="0">
    <v>50</v>
    <v>1</v>
    <v>0</v>
    <v>0</v>
  </rv>
  <rv s="0">
    <v>51</v>
    <v>1</v>
    <v>0</v>
    <v>0</v>
  </rv>
  <rv s="0">
    <v>52</v>
    <v>1</v>
    <v>0</v>
    <v>0</v>
  </rv>
  <rv s="0">
    <v>53</v>
    <v>1</v>
    <v>0</v>
    <v>0</v>
  </rv>
  <rv s="0">
    <v>54</v>
    <v>1</v>
    <v>0</v>
    <v>0</v>
  </rv>
  <rv s="0">
    <v>55</v>
    <v>1</v>
    <v>0</v>
    <v>0</v>
  </rv>
  <rv s="0">
    <v>56</v>
    <v>1</v>
    <v>0</v>
    <v>0</v>
  </rv>
  <rv s="0">
    <v>57</v>
    <v>1</v>
    <v>0</v>
    <v>0</v>
  </rv>
  <rv s="0">
    <v>58</v>
    <v>1</v>
    <v>0</v>
    <v>0</v>
  </rv>
  <rv s="0">
    <v>59</v>
    <v>1</v>
    <v>0</v>
    <v>0</v>
  </rv>
  <rv s="0">
    <v>60</v>
    <v>1</v>
    <v>0</v>
    <v>0</v>
  </rv>
  <rv s="0">
    <v>61</v>
    <v>1</v>
    <v>0</v>
    <v>0</v>
  </rv>
  <rv s="0">
    <v>62</v>
    <v>1</v>
    <v>0</v>
    <v>0</v>
  </rv>
  <rv s="0">
    <v>63</v>
    <v>1</v>
    <v>0</v>
    <v>0</v>
  </rv>
  <rv s="0">
    <v>32</v>
    <v>4</v>
    <v>0</v>
    <v>0</v>
  </rv>
  <rv s="0">
    <v>33</v>
    <v>4</v>
    <v>0</v>
    <v>0</v>
  </rv>
  <rv s="0">
    <v>34</v>
    <v>4</v>
    <v>0</v>
    <v>0</v>
  </rv>
  <rv s="0">
    <v>35</v>
    <v>4</v>
    <v>0</v>
    <v>0</v>
  </rv>
  <rv s="0">
    <v>36</v>
    <v>4</v>
    <v>0</v>
    <v>0</v>
  </rv>
  <rv s="0">
    <v>37</v>
    <v>4</v>
    <v>0</v>
    <v>0</v>
  </rv>
  <rv s="0">
    <v>38</v>
    <v>4</v>
    <v>0</v>
    <v>0</v>
  </rv>
  <rv s="0">
    <v>39</v>
    <v>4</v>
    <v>0</v>
    <v>0</v>
  </rv>
  <rv s="0">
    <v>40</v>
    <v>4</v>
    <v>0</v>
    <v>0</v>
  </rv>
  <rv s="0">
    <v>41</v>
    <v>4</v>
    <v>0</v>
    <v>0</v>
  </rv>
  <rv s="0">
    <v>42</v>
    <v>4</v>
    <v>0</v>
    <v>0</v>
  </rv>
  <rv s="0">
    <v>43</v>
    <v>4</v>
    <v>0</v>
    <v>0</v>
  </rv>
  <rv s="0">
    <v>44</v>
    <v>4</v>
    <v>0</v>
    <v>0</v>
  </rv>
  <rv s="0">
    <v>45</v>
    <v>4</v>
    <v>0</v>
    <v>0</v>
  </rv>
  <rv s="0">
    <v>46</v>
    <v>4</v>
    <v>0</v>
    <v>0</v>
  </rv>
  <rv s="0">
    <v>47</v>
    <v>4</v>
    <v>0</v>
    <v>0</v>
  </rv>
  <rv s="0">
    <v>16</v>
    <v>4</v>
    <v>0</v>
    <v>0</v>
  </rv>
  <rv s="0">
    <v>17</v>
    <v>4</v>
    <v>0</v>
    <v>0</v>
  </rv>
  <rv s="0">
    <v>18</v>
    <v>4</v>
    <v>0</v>
    <v>0</v>
  </rv>
  <rv s="0">
    <v>19</v>
    <v>4</v>
    <v>0</v>
    <v>0</v>
  </rv>
  <rv s="0">
    <v>20</v>
    <v>4</v>
    <v>0</v>
    <v>0</v>
  </rv>
  <rv s="0">
    <v>21</v>
    <v>4</v>
    <v>0</v>
    <v>0</v>
  </rv>
  <rv s="0">
    <v>22</v>
    <v>4</v>
    <v>0</v>
    <v>0</v>
  </rv>
  <rv s="0">
    <v>23</v>
    <v>4</v>
    <v>0</v>
    <v>0</v>
  </rv>
  <rv s="0">
    <v>24</v>
    <v>4</v>
    <v>0</v>
    <v>0</v>
  </rv>
  <rv s="0">
    <v>25</v>
    <v>4</v>
    <v>0</v>
    <v>0</v>
  </rv>
  <rv s="0">
    <v>26</v>
    <v>4</v>
    <v>0</v>
    <v>0</v>
  </rv>
  <rv s="0">
    <v>27</v>
    <v>4</v>
    <v>0</v>
    <v>0</v>
  </rv>
  <rv s="0">
    <v>28</v>
    <v>4</v>
    <v>0</v>
    <v>0</v>
  </rv>
  <rv s="0">
    <v>29</v>
    <v>4</v>
    <v>0</v>
    <v>0</v>
  </rv>
  <rv s="0">
    <v>30</v>
    <v>4</v>
    <v>0</v>
    <v>0</v>
  </rv>
  <rv s="0">
    <v>31</v>
    <v>4</v>
    <v>0</v>
    <v>0</v>
  </rv>
  <rv s="0">
    <v>0</v>
    <v>4</v>
    <v>0</v>
    <v>0</v>
  </rv>
  <rv s="0">
    <v>1</v>
    <v>4</v>
    <v>0</v>
    <v>0</v>
  </rv>
  <rv s="0">
    <v>2</v>
    <v>4</v>
    <v>0</v>
    <v>0</v>
  </rv>
  <rv s="0">
    <v>3</v>
    <v>4</v>
    <v>0</v>
    <v>0</v>
  </rv>
  <rv s="0">
    <v>4</v>
    <v>4</v>
    <v>0</v>
    <v>0</v>
  </rv>
  <rv s="0">
    <v>5</v>
    <v>4</v>
    <v>0</v>
    <v>0</v>
  </rv>
  <rv s="0">
    <v>6</v>
    <v>4</v>
    <v>0</v>
    <v>0</v>
  </rv>
  <rv s="0">
    <v>7</v>
    <v>4</v>
    <v>0</v>
    <v>0</v>
  </rv>
  <rv s="0">
    <v>8</v>
    <v>4</v>
    <v>0</v>
    <v>0</v>
  </rv>
  <rv s="0">
    <v>9</v>
    <v>4</v>
    <v>0</v>
    <v>0</v>
  </rv>
  <rv s="0">
    <v>10</v>
    <v>4</v>
    <v>0</v>
    <v>0</v>
  </rv>
  <rv s="0">
    <v>11</v>
    <v>4</v>
    <v>0</v>
    <v>0</v>
  </rv>
  <rv s="0">
    <v>12</v>
    <v>4</v>
    <v>0</v>
    <v>0</v>
  </rv>
  <rv s="0">
    <v>13</v>
    <v>4</v>
    <v>0</v>
    <v>0</v>
  </rv>
  <rv s="0">
    <v>14</v>
    <v>4</v>
    <v>0</v>
    <v>0</v>
  </rv>
  <rv s="0">
    <v>15</v>
    <v>4</v>
    <v>0</v>
    <v>0</v>
  </rv>
  <rv s="0">
    <v>48</v>
    <v>4</v>
    <v>0</v>
    <v>0</v>
  </rv>
  <rv s="0">
    <v>49</v>
    <v>4</v>
    <v>0</v>
    <v>0</v>
  </rv>
  <rv s="0">
    <v>50</v>
    <v>4</v>
    <v>0</v>
    <v>0</v>
  </rv>
  <rv s="0">
    <v>51</v>
    <v>4</v>
    <v>0</v>
    <v>0</v>
  </rv>
  <rv s="0">
    <v>52</v>
    <v>4</v>
    <v>0</v>
    <v>0</v>
  </rv>
  <rv s="0">
    <v>53</v>
    <v>4</v>
    <v>0</v>
    <v>0</v>
  </rv>
  <rv s="0">
    <v>54</v>
    <v>4</v>
    <v>0</v>
    <v>0</v>
  </rv>
  <rv s="0">
    <v>55</v>
    <v>4</v>
    <v>0</v>
    <v>0</v>
  </rv>
  <rv s="0">
    <v>56</v>
    <v>4</v>
    <v>0</v>
    <v>0</v>
  </rv>
  <rv s="0">
    <v>57</v>
    <v>4</v>
    <v>0</v>
    <v>0</v>
  </rv>
  <rv s="0">
    <v>58</v>
    <v>4</v>
    <v>0</v>
    <v>0</v>
  </rv>
  <rv s="0">
    <v>59</v>
    <v>4</v>
    <v>0</v>
    <v>0</v>
  </rv>
  <rv s="0">
    <v>60</v>
    <v>4</v>
    <v>0</v>
    <v>0</v>
  </rv>
  <rv s="0">
    <v>61</v>
    <v>4</v>
    <v>0</v>
    <v>0</v>
  </rv>
  <rv s="0">
    <v>62</v>
    <v>4</v>
    <v>0</v>
    <v>0</v>
  </rv>
  <rv s="0">
    <v>63</v>
    <v>4</v>
    <v>0</v>
    <v>0</v>
  </rv>
</rvData>
</file>

<file path=xl/richData/rdrichvaluestructure.xml><?xml version="1.0" encoding="utf-8"?>
<rvStructures xmlns="http://schemas.microsoft.com/office/spreadsheetml/2017/richdata" count="1">
  <s t="_webimage">
    <k n="WebImageIdentifier" t="i"/>
    <k n="CalcOrigin" t="i"/>
    <k n="ComputedImage" t="b"/>
    <k n="ImageSizing" t="i"/>
  </s>
</rvStructures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D505134-AFF6-4E75-8F26-2310FE67E62F}" name="Team_Links" displayName="Team_Links" ref="A1:E366" tableType="queryTable" totalsRowShown="0">
  <autoFilter ref="A1:E366" xr:uid="{AD505134-AFF6-4E75-8F26-2310FE67E62F}"/>
  <tableColumns count="5">
    <tableColumn id="1" xr3:uid="{8D7B944F-F39F-4DE5-B36F-96816F477C68}" uniqueName="1" name="Column1" queryTableFieldId="1"/>
    <tableColumn id="2" xr3:uid="{767B4EBC-1D6B-4D8D-AC6F-5DAFFC73A49A}" uniqueName="2" name="School" queryTableFieldId="2" dataDxfId="9"/>
    <tableColumn id="3" xr3:uid="{714CBA45-7DDA-43B9-86A4-4C5947403F44}" uniqueName="3" name="Link" queryTableFieldId="3" dataDxfId="8"/>
    <tableColumn id="4" xr3:uid="{51A37069-17DD-4524-B091-9E772D95E297}" uniqueName="4" name="GameLogs" queryTableFieldId="4" dataDxfId="7"/>
    <tableColumn id="6" xr3:uid="{16FD7BE5-C80E-4178-848D-B547195018E8}" uniqueName="6" name="PartialLink" queryTableFieldId="6" dataDxfId="6">
      <calculatedColumnFormula array="1">_xlfn.TEXTSPLIT(
_xlfn.TEXTSPLIT(Team_Links[[#This Row],[GameLogs]],"https://www.sports-reference.com/cbb/schools/",,TRUE,0,), "/",,TRUE,0)</calculatedColumnFormula>
    </tableColumn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022D98-9C5C-4F61-B0DF-E159B216C11F}" name="Teams" displayName="Teams" ref="A1:E65" totalsRowShown="0" headerRowDxfId="5" tableBorderDxfId="4" dataCellStyle="Normal">
  <autoFilter ref="A1:E65" xr:uid="{26022D98-9C5C-4F61-B0DF-E159B216C11F}"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xr3:uid="{ED40F7E7-3328-4259-9877-945FE5D47DC3}" name="Seed" dataDxfId="3" dataCellStyle="Normal"/>
    <tableColumn id="3" xr3:uid="{4CDAB027-D970-460D-AAC2-EB0B9485FD8C}" name="Region" dataDxfId="2" dataCellStyle="Normal"/>
    <tableColumn id="2" xr3:uid="{E218ED8F-68F8-429A-9939-575EF5D8461D}" name="Team" dataCellStyle="Normal"/>
    <tableColumn id="5" xr3:uid="{5B5B6B66-69E6-43F4-9B60-841171B24FC7}" name="Hyperlink Name" dataDxfId="1">
      <calculatedColumnFormula>_xlfn.XLOOKUP(Teams[[#This Row],[Team]],Team_Links[School],Team_Links[PartialLink],,0,1)</calculatedColumnFormula>
    </tableColumn>
    <tableColumn id="4" xr3:uid="{5DE08296-6B22-41D3-9B0D-54A014588C20}" name="Logo" dataDxfId="0" dataCellStyle="Normal">
      <calculatedColumnFormula>_xlfn.IMAGE(_xlfn.CONCAT("https://cdn.ssref.net/req/202510241/tlogo/ncaa/",TEXT(Teams[[#This Row],[Hyperlink Name]],),"-2025.png"))</calculatedColumnFormula>
    </tableColumn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V42-BlueGray">
      <a:dk1>
        <a:sysClr val="windowText" lastClr="000000"/>
      </a:dk1>
      <a:lt1>
        <a:sysClr val="window" lastClr="FFFFFF"/>
      </a:lt1>
      <a:dk2>
        <a:srgbClr val="3B4E87"/>
      </a:dk2>
      <a:lt2>
        <a:srgbClr val="EEECE2"/>
      </a:lt2>
      <a:accent1>
        <a:srgbClr val="5E8BCE"/>
      </a:accent1>
      <a:accent2>
        <a:srgbClr val="7F7F7F"/>
      </a:accent2>
      <a:accent3>
        <a:srgbClr val="26AA26"/>
      </a:accent3>
      <a:accent4>
        <a:srgbClr val="7860B4"/>
      </a:accent4>
      <a:accent5>
        <a:srgbClr val="C04E4E"/>
      </a:accent5>
      <a:accent6>
        <a:srgbClr val="846648"/>
      </a:accent6>
      <a:hlink>
        <a:srgbClr val="4C92AE"/>
      </a:hlink>
      <a:folHlink>
        <a:srgbClr val="969696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sports-reference.com/cbb/schools/missouri/men/2026.htm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E38F-E82C-4DD5-B895-0D5504A3F167}">
  <sheetPr>
    <tabColor rgb="FFFCF7F2"/>
  </sheetPr>
  <dimension ref="A1:E366"/>
  <sheetViews>
    <sheetView zoomScale="85" zoomScaleNormal="85" workbookViewId="0">
      <selection activeCell="E5" sqref="E5"/>
    </sheetView>
  </sheetViews>
  <sheetFormatPr defaultRowHeight="13.2" x14ac:dyDescent="0.25"/>
  <cols>
    <col min="1" max="1" width="10.88671875" bestFit="1" customWidth="1"/>
    <col min="2" max="2" width="23.33203125" bestFit="1" customWidth="1"/>
    <col min="3" max="3" width="75.88671875" bestFit="1" customWidth="1"/>
    <col min="4" max="4" width="80.88671875" bestFit="1" customWidth="1"/>
    <col min="5" max="5" width="24.21875" bestFit="1" customWidth="1"/>
  </cols>
  <sheetData>
    <row r="1" spans="1:5" x14ac:dyDescent="0.25">
      <c r="A1" t="s">
        <v>145</v>
      </c>
      <c r="B1" t="s">
        <v>103</v>
      </c>
      <c r="C1" t="s">
        <v>146</v>
      </c>
      <c r="D1" t="s">
        <v>147</v>
      </c>
      <c r="E1" t="s">
        <v>1130</v>
      </c>
    </row>
    <row r="2" spans="1:5" x14ac:dyDescent="0.25">
      <c r="A2">
        <v>0</v>
      </c>
      <c r="B2" t="s">
        <v>29</v>
      </c>
      <c r="C2" t="s">
        <v>148</v>
      </c>
      <c r="D2" t="s">
        <v>149</v>
      </c>
      <c r="E2" t="str" cm="1">
        <f t="array" ref="E2">_xlfn.TEXTSPLIT(
_xlfn.TEXTSPLIT(Team_Links[[#This Row],[GameLogs]],"https://www.sports-reference.com/cbb/schools/",,TRUE,0,), "/",,TRUE,0)</f>
        <v>abilene-christian</v>
      </c>
    </row>
    <row r="3" spans="1:5" x14ac:dyDescent="0.25">
      <c r="A3">
        <v>1</v>
      </c>
      <c r="B3" t="s">
        <v>30</v>
      </c>
      <c r="C3" t="s">
        <v>150</v>
      </c>
      <c r="D3" t="s">
        <v>151</v>
      </c>
      <c r="E3" t="str" cm="1">
        <f t="array" ref="E3">_xlfn.TEXTSPLIT(
_xlfn.TEXTSPLIT(Team_Links[[#This Row],[GameLogs]],"https://www.sports-reference.com/cbb/schools/",,TRUE,0,), "/",,TRUE,0)</f>
        <v>air-force</v>
      </c>
    </row>
    <row r="4" spans="1:5" x14ac:dyDescent="0.25">
      <c r="A4">
        <v>2</v>
      </c>
      <c r="B4" t="s">
        <v>31</v>
      </c>
      <c r="C4" t="s">
        <v>152</v>
      </c>
      <c r="D4" t="s">
        <v>153</v>
      </c>
      <c r="E4" t="str" cm="1">
        <f t="array" ref="E4">_xlfn.TEXTSPLIT(
_xlfn.TEXTSPLIT(Team_Links[[#This Row],[GameLogs]],"https://www.sports-reference.com/cbb/schools/",,TRUE,0,), "/",,TRUE,0)</f>
        <v>akron</v>
      </c>
    </row>
    <row r="5" spans="1:5" x14ac:dyDescent="0.25">
      <c r="A5">
        <v>3</v>
      </c>
      <c r="B5" t="s">
        <v>32</v>
      </c>
      <c r="C5" t="s">
        <v>154</v>
      </c>
      <c r="D5" t="s">
        <v>155</v>
      </c>
      <c r="E5" t="str" cm="1">
        <f t="array" ref="E5">_xlfn.TEXTSPLIT(
_xlfn.TEXTSPLIT(Team_Links[[#This Row],[GameLogs]],"https://www.sports-reference.com/cbb/schools/",,TRUE,0,), "/",,TRUE,0)</f>
        <v>alabama</v>
      </c>
    </row>
    <row r="6" spans="1:5" x14ac:dyDescent="0.25">
      <c r="A6">
        <v>4</v>
      </c>
      <c r="B6" t="s">
        <v>33</v>
      </c>
      <c r="C6" t="s">
        <v>156</v>
      </c>
      <c r="D6" t="s">
        <v>157</v>
      </c>
      <c r="E6" t="str" cm="1">
        <f t="array" ref="E6">_xlfn.TEXTSPLIT(
_xlfn.TEXTSPLIT(Team_Links[[#This Row],[GameLogs]],"https://www.sports-reference.com/cbb/schools/",,TRUE,0,), "/",,TRUE,0)</f>
        <v>alabama-am</v>
      </c>
    </row>
    <row r="7" spans="1:5" x14ac:dyDescent="0.25">
      <c r="A7">
        <v>5</v>
      </c>
      <c r="B7" t="s">
        <v>34</v>
      </c>
      <c r="C7" t="s">
        <v>158</v>
      </c>
      <c r="D7" t="s">
        <v>159</v>
      </c>
      <c r="E7" t="str" cm="1">
        <f t="array" ref="E7">_xlfn.TEXTSPLIT(
_xlfn.TEXTSPLIT(Team_Links[[#This Row],[GameLogs]],"https://www.sports-reference.com/cbb/schools/",,TRUE,0,), "/",,TRUE,0)</f>
        <v>alabama-state</v>
      </c>
    </row>
    <row r="8" spans="1:5" x14ac:dyDescent="0.25">
      <c r="A8">
        <v>6</v>
      </c>
      <c r="B8" t="s">
        <v>35</v>
      </c>
      <c r="C8" t="s">
        <v>160</v>
      </c>
      <c r="D8" t="s">
        <v>161</v>
      </c>
      <c r="E8" t="str" cm="1">
        <f t="array" ref="E8">_xlfn.TEXTSPLIT(
_xlfn.TEXTSPLIT(Team_Links[[#This Row],[GameLogs]],"https://www.sports-reference.com/cbb/schools/",,TRUE,0,), "/",,TRUE,0)</f>
        <v>albany-ny</v>
      </c>
    </row>
    <row r="9" spans="1:5" x14ac:dyDescent="0.25">
      <c r="A9">
        <v>7</v>
      </c>
      <c r="B9" t="s">
        <v>36</v>
      </c>
      <c r="C9" t="s">
        <v>162</v>
      </c>
      <c r="D9" t="s">
        <v>163</v>
      </c>
      <c r="E9" t="str" cm="1">
        <f t="array" ref="E9">_xlfn.TEXTSPLIT(
_xlfn.TEXTSPLIT(Team_Links[[#This Row],[GameLogs]],"https://www.sports-reference.com/cbb/schools/",,TRUE,0,), "/",,TRUE,0)</f>
        <v>alcorn-state</v>
      </c>
    </row>
    <row r="10" spans="1:5" x14ac:dyDescent="0.25">
      <c r="A10">
        <v>8</v>
      </c>
      <c r="B10" t="s">
        <v>37</v>
      </c>
      <c r="C10" t="s">
        <v>164</v>
      </c>
      <c r="D10" t="s">
        <v>165</v>
      </c>
      <c r="E10" t="str" cm="1">
        <f t="array" ref="E10">_xlfn.TEXTSPLIT(
_xlfn.TEXTSPLIT(Team_Links[[#This Row],[GameLogs]],"https://www.sports-reference.com/cbb/schools/",,TRUE,0,), "/",,TRUE,0)</f>
        <v>american</v>
      </c>
    </row>
    <row r="11" spans="1:5" x14ac:dyDescent="0.25">
      <c r="A11">
        <v>9</v>
      </c>
      <c r="B11" t="s">
        <v>38</v>
      </c>
      <c r="C11" t="s">
        <v>166</v>
      </c>
      <c r="D11" t="s">
        <v>167</v>
      </c>
      <c r="E11" t="str" cm="1">
        <f t="array" ref="E11">_xlfn.TEXTSPLIT(
_xlfn.TEXTSPLIT(Team_Links[[#This Row],[GameLogs]],"https://www.sports-reference.com/cbb/schools/",,TRUE,0,), "/",,TRUE,0)</f>
        <v>appalachian-state</v>
      </c>
    </row>
    <row r="12" spans="1:5" x14ac:dyDescent="0.25">
      <c r="A12">
        <v>10</v>
      </c>
      <c r="B12" t="s">
        <v>39</v>
      </c>
      <c r="C12" t="s">
        <v>168</v>
      </c>
      <c r="D12" t="s">
        <v>169</v>
      </c>
      <c r="E12" t="str" cm="1">
        <f t="array" ref="E12">_xlfn.TEXTSPLIT(
_xlfn.TEXTSPLIT(Team_Links[[#This Row],[GameLogs]],"https://www.sports-reference.com/cbb/schools/",,TRUE,0,), "/",,TRUE,0)</f>
        <v>arizona</v>
      </c>
    </row>
    <row r="13" spans="1:5" x14ac:dyDescent="0.25">
      <c r="A13">
        <v>11</v>
      </c>
      <c r="B13" t="s">
        <v>40</v>
      </c>
      <c r="C13" t="s">
        <v>170</v>
      </c>
      <c r="D13" t="s">
        <v>171</v>
      </c>
      <c r="E13" t="str" cm="1">
        <f t="array" ref="E13">_xlfn.TEXTSPLIT(
_xlfn.TEXTSPLIT(Team_Links[[#This Row],[GameLogs]],"https://www.sports-reference.com/cbb/schools/",,TRUE,0,), "/",,TRUE,0)</f>
        <v>arizona-state</v>
      </c>
    </row>
    <row r="14" spans="1:5" x14ac:dyDescent="0.25">
      <c r="A14">
        <v>12</v>
      </c>
      <c r="B14" t="s">
        <v>41</v>
      </c>
      <c r="C14" t="s">
        <v>172</v>
      </c>
      <c r="D14" t="s">
        <v>173</v>
      </c>
      <c r="E14" t="str" cm="1">
        <f t="array" ref="E14">_xlfn.TEXTSPLIT(
_xlfn.TEXTSPLIT(Team_Links[[#This Row],[GameLogs]],"https://www.sports-reference.com/cbb/schools/",,TRUE,0,), "/",,TRUE,0)</f>
        <v>arkansas</v>
      </c>
    </row>
    <row r="15" spans="1:5" x14ac:dyDescent="0.25">
      <c r="A15">
        <v>13</v>
      </c>
      <c r="B15" t="s">
        <v>42</v>
      </c>
      <c r="C15" t="s">
        <v>174</v>
      </c>
      <c r="D15" t="s">
        <v>175</v>
      </c>
      <c r="E15" t="str" cm="1">
        <f t="array" ref="E15">_xlfn.TEXTSPLIT(
_xlfn.TEXTSPLIT(Team_Links[[#This Row],[GameLogs]],"https://www.sports-reference.com/cbb/schools/",,TRUE,0,), "/",,TRUE,0)</f>
        <v>arkansas-state</v>
      </c>
    </row>
    <row r="16" spans="1:5" x14ac:dyDescent="0.25">
      <c r="A16">
        <v>14</v>
      </c>
      <c r="B16" t="s">
        <v>43</v>
      </c>
      <c r="C16" t="s">
        <v>176</v>
      </c>
      <c r="D16" t="s">
        <v>177</v>
      </c>
      <c r="E16" t="str" cm="1">
        <f t="array" ref="E16">_xlfn.TEXTSPLIT(
_xlfn.TEXTSPLIT(Team_Links[[#This Row],[GameLogs]],"https://www.sports-reference.com/cbb/schools/",,TRUE,0,), "/",,TRUE,0)</f>
        <v>arkansas-pine-bluff</v>
      </c>
    </row>
    <row r="17" spans="1:5" x14ac:dyDescent="0.25">
      <c r="A17">
        <v>15</v>
      </c>
      <c r="B17" t="s">
        <v>44</v>
      </c>
      <c r="C17" t="s">
        <v>178</v>
      </c>
      <c r="D17" t="s">
        <v>179</v>
      </c>
      <c r="E17" t="str" cm="1">
        <f t="array" ref="E17">_xlfn.TEXTSPLIT(
_xlfn.TEXTSPLIT(Team_Links[[#This Row],[GameLogs]],"https://www.sports-reference.com/cbb/schools/",,TRUE,0,), "/",,TRUE,0)</f>
        <v>army</v>
      </c>
    </row>
    <row r="18" spans="1:5" x14ac:dyDescent="0.25">
      <c r="A18">
        <v>16</v>
      </c>
      <c r="B18" t="s">
        <v>45</v>
      </c>
      <c r="C18" t="s">
        <v>180</v>
      </c>
      <c r="D18" t="s">
        <v>181</v>
      </c>
      <c r="E18" t="str" cm="1">
        <f t="array" ref="E18">_xlfn.TEXTSPLIT(
_xlfn.TEXTSPLIT(Team_Links[[#This Row],[GameLogs]],"https://www.sports-reference.com/cbb/schools/",,TRUE,0,), "/",,TRUE,0)</f>
        <v>auburn</v>
      </c>
    </row>
    <row r="19" spans="1:5" x14ac:dyDescent="0.25">
      <c r="A19">
        <v>17</v>
      </c>
      <c r="B19" t="s">
        <v>46</v>
      </c>
      <c r="C19" t="s">
        <v>182</v>
      </c>
      <c r="D19" t="s">
        <v>183</v>
      </c>
      <c r="E19" t="str" cm="1">
        <f t="array" ref="E19">_xlfn.TEXTSPLIT(
_xlfn.TEXTSPLIT(Team_Links[[#This Row],[GameLogs]],"https://www.sports-reference.com/cbb/schools/",,TRUE,0,), "/",,TRUE,0)</f>
        <v>austin-peay</v>
      </c>
    </row>
    <row r="20" spans="1:5" x14ac:dyDescent="0.25">
      <c r="A20">
        <v>18</v>
      </c>
      <c r="B20" t="s">
        <v>47</v>
      </c>
      <c r="C20" t="s">
        <v>184</v>
      </c>
      <c r="D20" t="s">
        <v>185</v>
      </c>
      <c r="E20" t="str" cm="1">
        <f t="array" ref="E20">_xlfn.TEXTSPLIT(
_xlfn.TEXTSPLIT(Team_Links[[#This Row],[GameLogs]],"https://www.sports-reference.com/cbb/schools/",,TRUE,0,), "/",,TRUE,0)</f>
        <v>ball-state</v>
      </c>
    </row>
    <row r="21" spans="1:5" x14ac:dyDescent="0.25">
      <c r="A21">
        <v>19</v>
      </c>
      <c r="B21" t="s">
        <v>48</v>
      </c>
      <c r="C21" t="s">
        <v>186</v>
      </c>
      <c r="D21" t="s">
        <v>187</v>
      </c>
      <c r="E21" t="str" cm="1">
        <f t="array" ref="E21">_xlfn.TEXTSPLIT(
_xlfn.TEXTSPLIT(Team_Links[[#This Row],[GameLogs]],"https://www.sports-reference.com/cbb/schools/",,TRUE,0,), "/",,TRUE,0)</f>
        <v>baylor</v>
      </c>
    </row>
    <row r="22" spans="1:5" x14ac:dyDescent="0.25">
      <c r="A22">
        <v>20</v>
      </c>
      <c r="B22" t="s">
        <v>49</v>
      </c>
      <c r="C22" t="s">
        <v>188</v>
      </c>
      <c r="D22" t="s">
        <v>189</v>
      </c>
      <c r="E22" t="str" cm="1">
        <f t="array" ref="E22">_xlfn.TEXTSPLIT(
_xlfn.TEXTSPLIT(Team_Links[[#This Row],[GameLogs]],"https://www.sports-reference.com/cbb/schools/",,TRUE,0,), "/",,TRUE,0)</f>
        <v>bellarmine</v>
      </c>
    </row>
    <row r="23" spans="1:5" x14ac:dyDescent="0.25">
      <c r="A23">
        <v>21</v>
      </c>
      <c r="B23" t="s">
        <v>50</v>
      </c>
      <c r="C23" t="s">
        <v>190</v>
      </c>
      <c r="D23" t="s">
        <v>191</v>
      </c>
      <c r="E23" t="str" cm="1">
        <f t="array" ref="E23">_xlfn.TEXTSPLIT(
_xlfn.TEXTSPLIT(Team_Links[[#This Row],[GameLogs]],"https://www.sports-reference.com/cbb/schools/",,TRUE,0,), "/",,TRUE,0)</f>
        <v>belmont</v>
      </c>
    </row>
    <row r="24" spans="1:5" x14ac:dyDescent="0.25">
      <c r="A24">
        <v>22</v>
      </c>
      <c r="B24" t="s">
        <v>51</v>
      </c>
      <c r="C24" t="s">
        <v>192</v>
      </c>
      <c r="D24" t="s">
        <v>193</v>
      </c>
      <c r="E24" t="str" cm="1">
        <f t="array" ref="E24">_xlfn.TEXTSPLIT(
_xlfn.TEXTSPLIT(Team_Links[[#This Row],[GameLogs]],"https://www.sports-reference.com/cbb/schools/",,TRUE,0,), "/",,TRUE,0)</f>
        <v>bethune-cookman</v>
      </c>
    </row>
    <row r="25" spans="1:5" x14ac:dyDescent="0.25">
      <c r="A25">
        <v>23</v>
      </c>
      <c r="B25" t="s">
        <v>52</v>
      </c>
      <c r="C25" t="s">
        <v>194</v>
      </c>
      <c r="D25" t="s">
        <v>195</v>
      </c>
      <c r="E25" t="str" cm="1">
        <f t="array" ref="E25">_xlfn.TEXTSPLIT(
_xlfn.TEXTSPLIT(Team_Links[[#This Row],[GameLogs]],"https://www.sports-reference.com/cbb/schools/",,TRUE,0,), "/",,TRUE,0)</f>
        <v>binghamton</v>
      </c>
    </row>
    <row r="26" spans="1:5" x14ac:dyDescent="0.25">
      <c r="A26">
        <v>24</v>
      </c>
      <c r="B26" t="s">
        <v>53</v>
      </c>
      <c r="C26" t="s">
        <v>196</v>
      </c>
      <c r="D26" t="s">
        <v>197</v>
      </c>
      <c r="E26" t="str" cm="1">
        <f t="array" ref="E26">_xlfn.TEXTSPLIT(
_xlfn.TEXTSPLIT(Team_Links[[#This Row],[GameLogs]],"https://www.sports-reference.com/cbb/schools/",,TRUE,0,), "/",,TRUE,0)</f>
        <v>boise-state</v>
      </c>
    </row>
    <row r="27" spans="1:5" x14ac:dyDescent="0.25">
      <c r="A27">
        <v>25</v>
      </c>
      <c r="B27" t="s">
        <v>54</v>
      </c>
      <c r="C27" t="s">
        <v>198</v>
      </c>
      <c r="D27" t="s">
        <v>199</v>
      </c>
      <c r="E27" t="str" cm="1">
        <f t="array" ref="E27">_xlfn.TEXTSPLIT(
_xlfn.TEXTSPLIT(Team_Links[[#This Row],[GameLogs]],"https://www.sports-reference.com/cbb/schools/",,TRUE,0,), "/",,TRUE,0)</f>
        <v>boston-college</v>
      </c>
    </row>
    <row r="28" spans="1:5" x14ac:dyDescent="0.25">
      <c r="A28">
        <v>26</v>
      </c>
      <c r="B28" t="s">
        <v>55</v>
      </c>
      <c r="C28" t="s">
        <v>200</v>
      </c>
      <c r="D28" t="s">
        <v>201</v>
      </c>
      <c r="E28" t="str" cm="1">
        <f t="array" ref="E28">_xlfn.TEXTSPLIT(
_xlfn.TEXTSPLIT(Team_Links[[#This Row],[GameLogs]],"https://www.sports-reference.com/cbb/schools/",,TRUE,0,), "/",,TRUE,0)</f>
        <v>boston-university</v>
      </c>
    </row>
    <row r="29" spans="1:5" x14ac:dyDescent="0.25">
      <c r="A29">
        <v>27</v>
      </c>
      <c r="B29" t="s">
        <v>56</v>
      </c>
      <c r="C29" t="s">
        <v>202</v>
      </c>
      <c r="D29" t="s">
        <v>203</v>
      </c>
      <c r="E29" t="str" cm="1">
        <f t="array" ref="E29">_xlfn.TEXTSPLIT(
_xlfn.TEXTSPLIT(Team_Links[[#This Row],[GameLogs]],"https://www.sports-reference.com/cbb/schools/",,TRUE,0,), "/",,TRUE,0)</f>
        <v>bowling-green-state</v>
      </c>
    </row>
    <row r="30" spans="1:5" x14ac:dyDescent="0.25">
      <c r="A30">
        <v>28</v>
      </c>
      <c r="B30" t="s">
        <v>57</v>
      </c>
      <c r="C30" t="s">
        <v>204</v>
      </c>
      <c r="D30" t="s">
        <v>205</v>
      </c>
      <c r="E30" t="str" cm="1">
        <f t="array" ref="E30">_xlfn.TEXTSPLIT(
_xlfn.TEXTSPLIT(Team_Links[[#This Row],[GameLogs]],"https://www.sports-reference.com/cbb/schools/",,TRUE,0,), "/",,TRUE,0)</f>
        <v>bradley</v>
      </c>
    </row>
    <row r="31" spans="1:5" x14ac:dyDescent="0.25">
      <c r="A31">
        <v>29</v>
      </c>
      <c r="B31" t="s">
        <v>58</v>
      </c>
      <c r="C31" t="s">
        <v>206</v>
      </c>
      <c r="D31" t="s">
        <v>207</v>
      </c>
      <c r="E31" t="str" cm="1">
        <f t="array" ref="E31">_xlfn.TEXTSPLIT(
_xlfn.TEXTSPLIT(Team_Links[[#This Row],[GameLogs]],"https://www.sports-reference.com/cbb/schools/",,TRUE,0,), "/",,TRUE,0)</f>
        <v>brigham-young</v>
      </c>
    </row>
    <row r="32" spans="1:5" x14ac:dyDescent="0.25">
      <c r="A32">
        <v>30</v>
      </c>
      <c r="B32" t="s">
        <v>59</v>
      </c>
      <c r="C32" t="s">
        <v>208</v>
      </c>
      <c r="D32" t="s">
        <v>209</v>
      </c>
      <c r="E32" t="str" cm="1">
        <f t="array" ref="E32">_xlfn.TEXTSPLIT(
_xlfn.TEXTSPLIT(Team_Links[[#This Row],[GameLogs]],"https://www.sports-reference.com/cbb/schools/",,TRUE,0,), "/",,TRUE,0)</f>
        <v>brown</v>
      </c>
    </row>
    <row r="33" spans="1:5" x14ac:dyDescent="0.25">
      <c r="A33">
        <v>31</v>
      </c>
      <c r="B33" t="s">
        <v>60</v>
      </c>
      <c r="C33" t="s">
        <v>210</v>
      </c>
      <c r="D33" t="s">
        <v>211</v>
      </c>
      <c r="E33" t="str" cm="1">
        <f t="array" ref="E33">_xlfn.TEXTSPLIT(
_xlfn.TEXTSPLIT(Team_Links[[#This Row],[GameLogs]],"https://www.sports-reference.com/cbb/schools/",,TRUE,0,), "/",,TRUE,0)</f>
        <v>bryant</v>
      </c>
    </row>
    <row r="34" spans="1:5" x14ac:dyDescent="0.25">
      <c r="A34">
        <v>32</v>
      </c>
      <c r="B34" t="s">
        <v>61</v>
      </c>
      <c r="C34" t="s">
        <v>212</v>
      </c>
      <c r="D34" t="s">
        <v>213</v>
      </c>
      <c r="E34" t="str" cm="1">
        <f t="array" ref="E34">_xlfn.TEXTSPLIT(
_xlfn.TEXTSPLIT(Team_Links[[#This Row],[GameLogs]],"https://www.sports-reference.com/cbb/schools/",,TRUE,0,), "/",,TRUE,0)</f>
        <v>bucknell</v>
      </c>
    </row>
    <row r="35" spans="1:5" x14ac:dyDescent="0.25">
      <c r="A35">
        <v>33</v>
      </c>
      <c r="B35" t="s">
        <v>62</v>
      </c>
      <c r="C35" t="s">
        <v>214</v>
      </c>
      <c r="D35" t="s">
        <v>215</v>
      </c>
      <c r="E35" t="str" cm="1">
        <f t="array" ref="E35">_xlfn.TEXTSPLIT(
_xlfn.TEXTSPLIT(Team_Links[[#This Row],[GameLogs]],"https://www.sports-reference.com/cbb/schools/",,TRUE,0,), "/",,TRUE,0)</f>
        <v>buffalo</v>
      </c>
    </row>
    <row r="36" spans="1:5" x14ac:dyDescent="0.25">
      <c r="A36">
        <v>34</v>
      </c>
      <c r="B36" t="s">
        <v>63</v>
      </c>
      <c r="C36" t="s">
        <v>216</v>
      </c>
      <c r="D36" t="s">
        <v>217</v>
      </c>
      <c r="E36" t="str" cm="1">
        <f t="array" ref="E36">_xlfn.TEXTSPLIT(
_xlfn.TEXTSPLIT(Team_Links[[#This Row],[GameLogs]],"https://www.sports-reference.com/cbb/schools/",,TRUE,0,), "/",,TRUE,0)</f>
        <v>butler</v>
      </c>
    </row>
    <row r="37" spans="1:5" x14ac:dyDescent="0.25">
      <c r="A37">
        <v>35</v>
      </c>
      <c r="B37" t="s">
        <v>64</v>
      </c>
      <c r="C37" t="s">
        <v>218</v>
      </c>
      <c r="D37" t="s">
        <v>219</v>
      </c>
      <c r="E37" t="str" cm="1">
        <f t="array" ref="E37">_xlfn.TEXTSPLIT(
_xlfn.TEXTSPLIT(Team_Links[[#This Row],[GameLogs]],"https://www.sports-reference.com/cbb/schools/",,TRUE,0,), "/",,TRUE,0)</f>
        <v>cal-poly</v>
      </c>
    </row>
    <row r="38" spans="1:5" x14ac:dyDescent="0.25">
      <c r="A38">
        <v>36</v>
      </c>
      <c r="B38" t="s">
        <v>65</v>
      </c>
      <c r="C38" t="s">
        <v>220</v>
      </c>
      <c r="D38" t="s">
        <v>221</v>
      </c>
      <c r="E38" t="str" cm="1">
        <f t="array" ref="E38">_xlfn.TEXTSPLIT(
_xlfn.TEXTSPLIT(Team_Links[[#This Row],[GameLogs]],"https://www.sports-reference.com/cbb/schools/",,TRUE,0,), "/",,TRUE,0)</f>
        <v>cal-state-bakersfield</v>
      </c>
    </row>
    <row r="39" spans="1:5" x14ac:dyDescent="0.25">
      <c r="A39">
        <v>37</v>
      </c>
      <c r="B39" t="s">
        <v>66</v>
      </c>
      <c r="C39" t="s">
        <v>222</v>
      </c>
      <c r="D39" t="s">
        <v>223</v>
      </c>
      <c r="E39" t="str" cm="1">
        <f t="array" ref="E39">_xlfn.TEXTSPLIT(
_xlfn.TEXTSPLIT(Team_Links[[#This Row],[GameLogs]],"https://www.sports-reference.com/cbb/schools/",,TRUE,0,), "/",,TRUE,0)</f>
        <v>cal-state-fullerton</v>
      </c>
    </row>
    <row r="40" spans="1:5" x14ac:dyDescent="0.25">
      <c r="A40">
        <v>38</v>
      </c>
      <c r="B40" t="s">
        <v>67</v>
      </c>
      <c r="C40" t="s">
        <v>224</v>
      </c>
      <c r="D40" t="s">
        <v>225</v>
      </c>
      <c r="E40" t="str" cm="1">
        <f t="array" ref="E40">_xlfn.TEXTSPLIT(
_xlfn.TEXTSPLIT(Team_Links[[#This Row],[GameLogs]],"https://www.sports-reference.com/cbb/schools/",,TRUE,0,), "/",,TRUE,0)</f>
        <v>cal-state-northridge</v>
      </c>
    </row>
    <row r="41" spans="1:5" x14ac:dyDescent="0.25">
      <c r="A41">
        <v>39</v>
      </c>
      <c r="B41" t="s">
        <v>68</v>
      </c>
      <c r="C41" t="s">
        <v>226</v>
      </c>
      <c r="D41" t="s">
        <v>227</v>
      </c>
      <c r="E41" t="str" cm="1">
        <f t="array" ref="E41">_xlfn.TEXTSPLIT(
_xlfn.TEXTSPLIT(Team_Links[[#This Row],[GameLogs]],"https://www.sports-reference.com/cbb/schools/",,TRUE,0,), "/",,TRUE,0)</f>
        <v>california</v>
      </c>
    </row>
    <row r="42" spans="1:5" x14ac:dyDescent="0.25">
      <c r="A42">
        <v>40</v>
      </c>
      <c r="B42" t="s">
        <v>69</v>
      </c>
      <c r="C42" t="s">
        <v>228</v>
      </c>
      <c r="D42" t="s">
        <v>229</v>
      </c>
      <c r="E42" t="str" cm="1">
        <f t="array" ref="E42">_xlfn.TEXTSPLIT(
_xlfn.TEXTSPLIT(Team_Links[[#This Row],[GameLogs]],"https://www.sports-reference.com/cbb/schools/",,TRUE,0,), "/",,TRUE,0)</f>
        <v>california-baptist</v>
      </c>
    </row>
    <row r="43" spans="1:5" x14ac:dyDescent="0.25">
      <c r="A43">
        <v>41</v>
      </c>
      <c r="B43" t="s">
        <v>70</v>
      </c>
      <c r="C43" t="s">
        <v>230</v>
      </c>
      <c r="D43" t="s">
        <v>231</v>
      </c>
      <c r="E43" t="str" cm="1">
        <f t="array" ref="E43">_xlfn.TEXTSPLIT(
_xlfn.TEXTSPLIT(Team_Links[[#This Row],[GameLogs]],"https://www.sports-reference.com/cbb/schools/",,TRUE,0,), "/",,TRUE,0)</f>
        <v>campbell</v>
      </c>
    </row>
    <row r="44" spans="1:5" x14ac:dyDescent="0.25">
      <c r="A44">
        <v>42</v>
      </c>
      <c r="B44" t="s">
        <v>71</v>
      </c>
      <c r="C44" t="s">
        <v>232</v>
      </c>
      <c r="D44" t="s">
        <v>233</v>
      </c>
      <c r="E44" t="str" cm="1">
        <f t="array" ref="E44">_xlfn.TEXTSPLIT(
_xlfn.TEXTSPLIT(Team_Links[[#This Row],[GameLogs]],"https://www.sports-reference.com/cbb/schools/",,TRUE,0,), "/",,TRUE,0)</f>
        <v>canisius</v>
      </c>
    </row>
    <row r="45" spans="1:5" x14ac:dyDescent="0.25">
      <c r="A45">
        <v>43</v>
      </c>
      <c r="B45" t="s">
        <v>72</v>
      </c>
      <c r="C45" t="s">
        <v>234</v>
      </c>
      <c r="D45" t="s">
        <v>235</v>
      </c>
      <c r="E45" t="str" cm="1">
        <f t="array" ref="E45">_xlfn.TEXTSPLIT(
_xlfn.TEXTSPLIT(Team_Links[[#This Row],[GameLogs]],"https://www.sports-reference.com/cbb/schools/",,TRUE,0,), "/",,TRUE,0)</f>
        <v>central-arkansas</v>
      </c>
    </row>
    <row r="46" spans="1:5" x14ac:dyDescent="0.25">
      <c r="A46">
        <v>44</v>
      </c>
      <c r="B46" t="s">
        <v>73</v>
      </c>
      <c r="C46" t="s">
        <v>236</v>
      </c>
      <c r="D46" t="s">
        <v>237</v>
      </c>
      <c r="E46" t="str" cm="1">
        <f t="array" ref="E46">_xlfn.TEXTSPLIT(
_xlfn.TEXTSPLIT(Team_Links[[#This Row],[GameLogs]],"https://www.sports-reference.com/cbb/schools/",,TRUE,0,), "/",,TRUE,0)</f>
        <v>central-connecticut-state</v>
      </c>
    </row>
    <row r="47" spans="1:5" x14ac:dyDescent="0.25">
      <c r="A47">
        <v>45</v>
      </c>
      <c r="B47" t="s">
        <v>74</v>
      </c>
      <c r="C47" t="s">
        <v>238</v>
      </c>
      <c r="D47" t="s">
        <v>239</v>
      </c>
      <c r="E47" t="str" cm="1">
        <f t="array" ref="E47">_xlfn.TEXTSPLIT(
_xlfn.TEXTSPLIT(Team_Links[[#This Row],[GameLogs]],"https://www.sports-reference.com/cbb/schools/",,TRUE,0,), "/",,TRUE,0)</f>
        <v>central-michigan</v>
      </c>
    </row>
    <row r="48" spans="1:5" x14ac:dyDescent="0.25">
      <c r="A48">
        <v>46</v>
      </c>
      <c r="B48" t="s">
        <v>75</v>
      </c>
      <c r="C48" t="s">
        <v>240</v>
      </c>
      <c r="D48" t="s">
        <v>241</v>
      </c>
      <c r="E48" t="str" cm="1">
        <f t="array" ref="E48">_xlfn.TEXTSPLIT(
_xlfn.TEXTSPLIT(Team_Links[[#This Row],[GameLogs]],"https://www.sports-reference.com/cbb/schools/",,TRUE,0,), "/",,TRUE,0)</f>
        <v>charleston-southern</v>
      </c>
    </row>
    <row r="49" spans="1:5" x14ac:dyDescent="0.25">
      <c r="A49">
        <v>47</v>
      </c>
      <c r="B49" t="s">
        <v>76</v>
      </c>
      <c r="C49" t="s">
        <v>242</v>
      </c>
      <c r="D49" t="s">
        <v>243</v>
      </c>
      <c r="E49" t="str" cm="1">
        <f t="array" ref="E49">_xlfn.TEXTSPLIT(
_xlfn.TEXTSPLIT(Team_Links[[#This Row],[GameLogs]],"https://www.sports-reference.com/cbb/schools/",,TRUE,0,), "/",,TRUE,0)</f>
        <v>charlotte</v>
      </c>
    </row>
    <row r="50" spans="1:5" x14ac:dyDescent="0.25">
      <c r="A50">
        <v>48</v>
      </c>
      <c r="B50" t="s">
        <v>77</v>
      </c>
      <c r="C50" t="s">
        <v>244</v>
      </c>
      <c r="D50" t="s">
        <v>245</v>
      </c>
      <c r="E50" t="str" cm="1">
        <f t="array" ref="E50">_xlfn.TEXTSPLIT(
_xlfn.TEXTSPLIT(Team_Links[[#This Row],[GameLogs]],"https://www.sports-reference.com/cbb/schools/",,TRUE,0,), "/",,TRUE,0)</f>
        <v>chattanooga</v>
      </c>
    </row>
    <row r="51" spans="1:5" x14ac:dyDescent="0.25">
      <c r="A51">
        <v>49</v>
      </c>
      <c r="B51" t="s">
        <v>78</v>
      </c>
      <c r="C51" t="s">
        <v>246</v>
      </c>
      <c r="D51" t="s">
        <v>247</v>
      </c>
      <c r="E51" t="str" cm="1">
        <f t="array" ref="E51">_xlfn.TEXTSPLIT(
_xlfn.TEXTSPLIT(Team_Links[[#This Row],[GameLogs]],"https://www.sports-reference.com/cbb/schools/",,TRUE,0,), "/",,TRUE,0)</f>
        <v>chicago-state</v>
      </c>
    </row>
    <row r="52" spans="1:5" x14ac:dyDescent="0.25">
      <c r="A52">
        <v>50</v>
      </c>
      <c r="B52" t="s">
        <v>79</v>
      </c>
      <c r="C52" t="s">
        <v>248</v>
      </c>
      <c r="D52" t="s">
        <v>249</v>
      </c>
      <c r="E52" t="str" cm="1">
        <f t="array" ref="E52">_xlfn.TEXTSPLIT(
_xlfn.TEXTSPLIT(Team_Links[[#This Row],[GameLogs]],"https://www.sports-reference.com/cbb/schools/",,TRUE,0,), "/",,TRUE,0)</f>
        <v>cincinnati</v>
      </c>
    </row>
    <row r="53" spans="1:5" x14ac:dyDescent="0.25">
      <c r="A53">
        <v>51</v>
      </c>
      <c r="B53" t="s">
        <v>80</v>
      </c>
      <c r="C53" t="s">
        <v>250</v>
      </c>
      <c r="D53" t="s">
        <v>251</v>
      </c>
      <c r="E53" t="str" cm="1">
        <f t="array" ref="E53">_xlfn.TEXTSPLIT(
_xlfn.TEXTSPLIT(Team_Links[[#This Row],[GameLogs]],"https://www.sports-reference.com/cbb/schools/",,TRUE,0,), "/",,TRUE,0)</f>
        <v>clemson</v>
      </c>
    </row>
    <row r="54" spans="1:5" x14ac:dyDescent="0.25">
      <c r="A54">
        <v>52</v>
      </c>
      <c r="B54" t="s">
        <v>81</v>
      </c>
      <c r="C54" t="s">
        <v>252</v>
      </c>
      <c r="D54" t="s">
        <v>253</v>
      </c>
      <c r="E54" t="str" cm="1">
        <f t="array" ref="E54">_xlfn.TEXTSPLIT(
_xlfn.TEXTSPLIT(Team_Links[[#This Row],[GameLogs]],"https://www.sports-reference.com/cbb/schools/",,TRUE,0,), "/",,TRUE,0)</f>
        <v>cleveland-state</v>
      </c>
    </row>
    <row r="55" spans="1:5" x14ac:dyDescent="0.25">
      <c r="A55">
        <v>53</v>
      </c>
      <c r="B55" t="s">
        <v>82</v>
      </c>
      <c r="C55" t="s">
        <v>254</v>
      </c>
      <c r="D55" t="s">
        <v>255</v>
      </c>
      <c r="E55" t="str" cm="1">
        <f t="array" ref="E55">_xlfn.TEXTSPLIT(
_xlfn.TEXTSPLIT(Team_Links[[#This Row],[GameLogs]],"https://www.sports-reference.com/cbb/schools/",,TRUE,0,), "/",,TRUE,0)</f>
        <v>coastal-carolina</v>
      </c>
    </row>
    <row r="56" spans="1:5" x14ac:dyDescent="0.25">
      <c r="A56">
        <v>54</v>
      </c>
      <c r="B56" t="s">
        <v>83</v>
      </c>
      <c r="C56" t="s">
        <v>256</v>
      </c>
      <c r="D56" t="s">
        <v>257</v>
      </c>
      <c r="E56" t="str" cm="1">
        <f t="array" ref="E56">_xlfn.TEXTSPLIT(
_xlfn.TEXTSPLIT(Team_Links[[#This Row],[GameLogs]],"https://www.sports-reference.com/cbb/schools/",,TRUE,0,), "/",,TRUE,0)</f>
        <v>colgate</v>
      </c>
    </row>
    <row r="57" spans="1:5" x14ac:dyDescent="0.25">
      <c r="A57">
        <v>55</v>
      </c>
      <c r="B57" t="s">
        <v>84</v>
      </c>
      <c r="C57" t="s">
        <v>258</v>
      </c>
      <c r="D57" t="s">
        <v>259</v>
      </c>
      <c r="E57" t="str" cm="1">
        <f t="array" ref="E57">_xlfn.TEXTSPLIT(
_xlfn.TEXTSPLIT(Team_Links[[#This Row],[GameLogs]],"https://www.sports-reference.com/cbb/schools/",,TRUE,0,), "/",,TRUE,0)</f>
        <v>college-of-charleston</v>
      </c>
    </row>
    <row r="58" spans="1:5" x14ac:dyDescent="0.25">
      <c r="A58">
        <v>56</v>
      </c>
      <c r="B58" t="s">
        <v>85</v>
      </c>
      <c r="C58" t="s">
        <v>260</v>
      </c>
      <c r="D58" t="s">
        <v>261</v>
      </c>
      <c r="E58" t="str" cm="1">
        <f t="array" ref="E58">_xlfn.TEXTSPLIT(
_xlfn.TEXTSPLIT(Team_Links[[#This Row],[GameLogs]],"https://www.sports-reference.com/cbb/schools/",,TRUE,0,), "/",,TRUE,0)</f>
        <v>colorado</v>
      </c>
    </row>
    <row r="59" spans="1:5" x14ac:dyDescent="0.25">
      <c r="A59">
        <v>57</v>
      </c>
      <c r="B59" t="s">
        <v>86</v>
      </c>
      <c r="C59" t="s">
        <v>262</v>
      </c>
      <c r="D59" t="s">
        <v>263</v>
      </c>
      <c r="E59" t="str" cm="1">
        <f t="array" ref="E59">_xlfn.TEXTSPLIT(
_xlfn.TEXTSPLIT(Team_Links[[#This Row],[GameLogs]],"https://www.sports-reference.com/cbb/schools/",,TRUE,0,), "/",,TRUE,0)</f>
        <v>colorado-state</v>
      </c>
    </row>
    <row r="60" spans="1:5" x14ac:dyDescent="0.25">
      <c r="A60">
        <v>58</v>
      </c>
      <c r="B60" t="s">
        <v>87</v>
      </c>
      <c r="C60" t="s">
        <v>264</v>
      </c>
      <c r="D60" t="s">
        <v>265</v>
      </c>
      <c r="E60" t="str" cm="1">
        <f t="array" ref="E60">_xlfn.TEXTSPLIT(
_xlfn.TEXTSPLIT(Team_Links[[#This Row],[GameLogs]],"https://www.sports-reference.com/cbb/schools/",,TRUE,0,), "/",,TRUE,0)</f>
        <v>columbia</v>
      </c>
    </row>
    <row r="61" spans="1:5" x14ac:dyDescent="0.25">
      <c r="A61">
        <v>59</v>
      </c>
      <c r="B61" t="s">
        <v>88</v>
      </c>
      <c r="C61" t="s">
        <v>266</v>
      </c>
      <c r="D61" t="s">
        <v>267</v>
      </c>
      <c r="E61" t="str" cm="1">
        <f t="array" ref="E61">_xlfn.TEXTSPLIT(
_xlfn.TEXTSPLIT(Team_Links[[#This Row],[GameLogs]],"https://www.sports-reference.com/cbb/schools/",,TRUE,0,), "/",,TRUE,0)</f>
        <v>connecticut</v>
      </c>
    </row>
    <row r="62" spans="1:5" x14ac:dyDescent="0.25">
      <c r="A62">
        <v>60</v>
      </c>
      <c r="B62" t="s">
        <v>89</v>
      </c>
      <c r="C62" t="s">
        <v>268</v>
      </c>
      <c r="D62" t="s">
        <v>269</v>
      </c>
      <c r="E62" t="str" cm="1">
        <f t="array" ref="E62">_xlfn.TEXTSPLIT(
_xlfn.TEXTSPLIT(Team_Links[[#This Row],[GameLogs]],"https://www.sports-reference.com/cbb/schools/",,TRUE,0,), "/",,TRUE,0)</f>
        <v>coppin-state</v>
      </c>
    </row>
    <row r="63" spans="1:5" x14ac:dyDescent="0.25">
      <c r="A63">
        <v>61</v>
      </c>
      <c r="B63" t="s">
        <v>90</v>
      </c>
      <c r="C63" t="s">
        <v>270</v>
      </c>
      <c r="D63" t="s">
        <v>271</v>
      </c>
      <c r="E63" t="str" cm="1">
        <f t="array" ref="E63">_xlfn.TEXTSPLIT(
_xlfn.TEXTSPLIT(Team_Links[[#This Row],[GameLogs]],"https://www.sports-reference.com/cbb/schools/",,TRUE,0,), "/",,TRUE,0)</f>
        <v>cornell</v>
      </c>
    </row>
    <row r="64" spans="1:5" x14ac:dyDescent="0.25">
      <c r="A64">
        <v>62</v>
      </c>
      <c r="B64" t="s">
        <v>91</v>
      </c>
      <c r="C64" t="s">
        <v>272</v>
      </c>
      <c r="D64" t="s">
        <v>273</v>
      </c>
      <c r="E64" t="str" cm="1">
        <f t="array" ref="E64">_xlfn.TEXTSPLIT(
_xlfn.TEXTSPLIT(Team_Links[[#This Row],[GameLogs]],"https://www.sports-reference.com/cbb/schools/",,TRUE,0,), "/",,TRUE,0)</f>
        <v>creighton</v>
      </c>
    </row>
    <row r="65" spans="1:5" x14ac:dyDescent="0.25">
      <c r="A65">
        <v>63</v>
      </c>
      <c r="B65" t="s">
        <v>92</v>
      </c>
      <c r="C65" t="s">
        <v>274</v>
      </c>
      <c r="D65" t="s">
        <v>275</v>
      </c>
      <c r="E65" t="str" cm="1">
        <f t="array" ref="E65">_xlfn.TEXTSPLIT(
_xlfn.TEXTSPLIT(Team_Links[[#This Row],[GameLogs]],"https://www.sports-reference.com/cbb/schools/",,TRUE,0,), "/",,TRUE,0)</f>
        <v>dartmouth</v>
      </c>
    </row>
    <row r="66" spans="1:5" x14ac:dyDescent="0.25">
      <c r="A66">
        <v>64</v>
      </c>
      <c r="B66" t="s">
        <v>276</v>
      </c>
      <c r="C66" t="s">
        <v>277</v>
      </c>
      <c r="D66" t="s">
        <v>278</v>
      </c>
      <c r="E66" t="str" cm="1">
        <f t="array" ref="E66">_xlfn.TEXTSPLIT(
_xlfn.TEXTSPLIT(Team_Links[[#This Row],[GameLogs]],"https://www.sports-reference.com/cbb/schools/",,TRUE,0,), "/",,TRUE,0)</f>
        <v>davidson</v>
      </c>
    </row>
    <row r="67" spans="1:5" x14ac:dyDescent="0.25">
      <c r="A67">
        <v>65</v>
      </c>
      <c r="B67" t="s">
        <v>279</v>
      </c>
      <c r="C67" t="s">
        <v>280</v>
      </c>
      <c r="D67" t="s">
        <v>281</v>
      </c>
      <c r="E67" t="str" cm="1">
        <f t="array" ref="E67">_xlfn.TEXTSPLIT(
_xlfn.TEXTSPLIT(Team_Links[[#This Row],[GameLogs]],"https://www.sports-reference.com/cbb/schools/",,TRUE,0,), "/",,TRUE,0)</f>
        <v>dayton</v>
      </c>
    </row>
    <row r="68" spans="1:5" x14ac:dyDescent="0.25">
      <c r="A68">
        <v>66</v>
      </c>
      <c r="B68" t="s">
        <v>282</v>
      </c>
      <c r="C68" t="s">
        <v>283</v>
      </c>
      <c r="D68" t="s">
        <v>284</v>
      </c>
      <c r="E68" t="str" cm="1">
        <f t="array" ref="E68">_xlfn.TEXTSPLIT(
_xlfn.TEXTSPLIT(Team_Links[[#This Row],[GameLogs]],"https://www.sports-reference.com/cbb/schools/",,TRUE,0,), "/",,TRUE,0)</f>
        <v>delaware</v>
      </c>
    </row>
    <row r="69" spans="1:5" x14ac:dyDescent="0.25">
      <c r="A69">
        <v>67</v>
      </c>
      <c r="B69" t="s">
        <v>285</v>
      </c>
      <c r="C69" t="s">
        <v>286</v>
      </c>
      <c r="D69" t="s">
        <v>287</v>
      </c>
      <c r="E69" t="str" cm="1">
        <f t="array" ref="E69">_xlfn.TEXTSPLIT(
_xlfn.TEXTSPLIT(Team_Links[[#This Row],[GameLogs]],"https://www.sports-reference.com/cbb/schools/",,TRUE,0,), "/",,TRUE,0)</f>
        <v>delaware-state</v>
      </c>
    </row>
    <row r="70" spans="1:5" x14ac:dyDescent="0.25">
      <c r="A70">
        <v>68</v>
      </c>
      <c r="B70" t="s">
        <v>288</v>
      </c>
      <c r="C70" t="s">
        <v>289</v>
      </c>
      <c r="D70" t="s">
        <v>290</v>
      </c>
      <c r="E70" t="str" cm="1">
        <f t="array" ref="E70">_xlfn.TEXTSPLIT(
_xlfn.TEXTSPLIT(Team_Links[[#This Row],[GameLogs]],"https://www.sports-reference.com/cbb/schools/",,TRUE,0,), "/",,TRUE,0)</f>
        <v>denver</v>
      </c>
    </row>
    <row r="71" spans="1:5" x14ac:dyDescent="0.25">
      <c r="A71">
        <v>69</v>
      </c>
      <c r="B71" t="s">
        <v>291</v>
      </c>
      <c r="C71" t="s">
        <v>292</v>
      </c>
      <c r="D71" t="s">
        <v>293</v>
      </c>
      <c r="E71" t="str" cm="1">
        <f t="array" ref="E71">_xlfn.TEXTSPLIT(
_xlfn.TEXTSPLIT(Team_Links[[#This Row],[GameLogs]],"https://www.sports-reference.com/cbb/schools/",,TRUE,0,), "/",,TRUE,0)</f>
        <v>depaul</v>
      </c>
    </row>
    <row r="72" spans="1:5" x14ac:dyDescent="0.25">
      <c r="A72">
        <v>70</v>
      </c>
      <c r="B72" t="s">
        <v>294</v>
      </c>
      <c r="C72" t="s">
        <v>295</v>
      </c>
      <c r="D72" t="s">
        <v>296</v>
      </c>
      <c r="E72" t="str" cm="1">
        <f t="array" ref="E72">_xlfn.TEXTSPLIT(
_xlfn.TEXTSPLIT(Team_Links[[#This Row],[GameLogs]],"https://www.sports-reference.com/cbb/schools/",,TRUE,0,), "/",,TRUE,0)</f>
        <v>detroit-mercy</v>
      </c>
    </row>
    <row r="73" spans="1:5" x14ac:dyDescent="0.25">
      <c r="A73">
        <v>71</v>
      </c>
      <c r="B73" t="s">
        <v>112</v>
      </c>
      <c r="C73" t="s">
        <v>297</v>
      </c>
      <c r="D73" t="s">
        <v>298</v>
      </c>
      <c r="E73" t="str" cm="1">
        <f t="array" ref="E73">_xlfn.TEXTSPLIT(
_xlfn.TEXTSPLIT(Team_Links[[#This Row],[GameLogs]],"https://www.sports-reference.com/cbb/schools/",,TRUE,0,), "/",,TRUE,0)</f>
        <v>drake</v>
      </c>
    </row>
    <row r="74" spans="1:5" x14ac:dyDescent="0.25">
      <c r="A74">
        <v>72</v>
      </c>
      <c r="B74" t="s">
        <v>299</v>
      </c>
      <c r="C74" t="s">
        <v>300</v>
      </c>
      <c r="D74" t="s">
        <v>301</v>
      </c>
      <c r="E74" t="str" cm="1">
        <f t="array" ref="E74">_xlfn.TEXTSPLIT(
_xlfn.TEXTSPLIT(Team_Links[[#This Row],[GameLogs]],"https://www.sports-reference.com/cbb/schools/",,TRUE,0,), "/",,TRUE,0)</f>
        <v>drexel</v>
      </c>
    </row>
    <row r="75" spans="1:5" x14ac:dyDescent="0.25">
      <c r="A75">
        <v>73</v>
      </c>
      <c r="B75" t="s">
        <v>95</v>
      </c>
      <c r="C75" t="s">
        <v>302</v>
      </c>
      <c r="D75" t="s">
        <v>303</v>
      </c>
      <c r="E75" t="str" cm="1">
        <f t="array" ref="E75">_xlfn.TEXTSPLIT(
_xlfn.TEXTSPLIT(Team_Links[[#This Row],[GameLogs]],"https://www.sports-reference.com/cbb/schools/",,TRUE,0,), "/",,TRUE,0)</f>
        <v>duke</v>
      </c>
    </row>
    <row r="76" spans="1:5" x14ac:dyDescent="0.25">
      <c r="A76">
        <v>74</v>
      </c>
      <c r="B76" t="s">
        <v>304</v>
      </c>
      <c r="C76" t="s">
        <v>305</v>
      </c>
      <c r="D76" t="s">
        <v>306</v>
      </c>
      <c r="E76" t="str" cm="1">
        <f t="array" ref="E76">_xlfn.TEXTSPLIT(
_xlfn.TEXTSPLIT(Team_Links[[#This Row],[GameLogs]],"https://www.sports-reference.com/cbb/schools/",,TRUE,0,), "/",,TRUE,0)</f>
        <v>duquesne</v>
      </c>
    </row>
    <row r="77" spans="1:5" x14ac:dyDescent="0.25">
      <c r="A77">
        <v>75</v>
      </c>
      <c r="B77" t="s">
        <v>307</v>
      </c>
      <c r="C77" t="s">
        <v>308</v>
      </c>
      <c r="D77" t="s">
        <v>309</v>
      </c>
      <c r="E77" t="str" cm="1">
        <f t="array" ref="E77">_xlfn.TEXTSPLIT(
_xlfn.TEXTSPLIT(Team_Links[[#This Row],[GameLogs]],"https://www.sports-reference.com/cbb/schools/",,TRUE,0,), "/",,TRUE,0)</f>
        <v>east-carolina</v>
      </c>
    </row>
    <row r="78" spans="1:5" x14ac:dyDescent="0.25">
      <c r="A78">
        <v>76</v>
      </c>
      <c r="B78" t="s">
        <v>310</v>
      </c>
      <c r="C78" t="s">
        <v>311</v>
      </c>
      <c r="D78" t="s">
        <v>312</v>
      </c>
      <c r="E78" t="str" cm="1">
        <f t="array" ref="E78">_xlfn.TEXTSPLIT(
_xlfn.TEXTSPLIT(Team_Links[[#This Row],[GameLogs]],"https://www.sports-reference.com/cbb/schools/",,TRUE,0,), "/",,TRUE,0)</f>
        <v>east-tennessee-state</v>
      </c>
    </row>
    <row r="79" spans="1:5" x14ac:dyDescent="0.25">
      <c r="A79">
        <v>77</v>
      </c>
      <c r="B79" t="s">
        <v>313</v>
      </c>
      <c r="C79" t="s">
        <v>314</v>
      </c>
      <c r="D79" t="s">
        <v>315</v>
      </c>
      <c r="E79" t="str" cm="1">
        <f t="array" ref="E79">_xlfn.TEXTSPLIT(
_xlfn.TEXTSPLIT(Team_Links[[#This Row],[GameLogs]],"https://www.sports-reference.com/cbb/schools/",,TRUE,0,), "/",,TRUE,0)</f>
        <v>texas-am-commerce</v>
      </c>
    </row>
    <row r="80" spans="1:5" x14ac:dyDescent="0.25">
      <c r="A80">
        <v>78</v>
      </c>
      <c r="B80" t="s">
        <v>316</v>
      </c>
      <c r="C80" t="s">
        <v>317</v>
      </c>
      <c r="D80" t="s">
        <v>318</v>
      </c>
      <c r="E80" t="str" cm="1">
        <f t="array" ref="E80">_xlfn.TEXTSPLIT(
_xlfn.TEXTSPLIT(Team_Links[[#This Row],[GameLogs]],"https://www.sports-reference.com/cbb/schools/",,TRUE,0,), "/",,TRUE,0)</f>
        <v>eastern-illinois</v>
      </c>
    </row>
    <row r="81" spans="1:5" x14ac:dyDescent="0.25">
      <c r="A81">
        <v>79</v>
      </c>
      <c r="B81" t="s">
        <v>319</v>
      </c>
      <c r="C81" t="s">
        <v>320</v>
      </c>
      <c r="D81" t="s">
        <v>321</v>
      </c>
      <c r="E81" t="str" cm="1">
        <f t="array" ref="E81">_xlfn.TEXTSPLIT(
_xlfn.TEXTSPLIT(Team_Links[[#This Row],[GameLogs]],"https://www.sports-reference.com/cbb/schools/",,TRUE,0,), "/",,TRUE,0)</f>
        <v>eastern-kentucky</v>
      </c>
    </row>
    <row r="82" spans="1:5" x14ac:dyDescent="0.25">
      <c r="A82">
        <v>80</v>
      </c>
      <c r="B82" t="s">
        <v>322</v>
      </c>
      <c r="C82" t="s">
        <v>323</v>
      </c>
      <c r="D82" t="s">
        <v>324</v>
      </c>
      <c r="E82" t="str" cm="1">
        <f t="array" ref="E82">_xlfn.TEXTSPLIT(
_xlfn.TEXTSPLIT(Team_Links[[#This Row],[GameLogs]],"https://www.sports-reference.com/cbb/schools/",,TRUE,0,), "/",,TRUE,0)</f>
        <v>eastern-michigan</v>
      </c>
    </row>
    <row r="83" spans="1:5" x14ac:dyDescent="0.25">
      <c r="A83">
        <v>81</v>
      </c>
      <c r="B83" t="s">
        <v>325</v>
      </c>
      <c r="C83" t="s">
        <v>326</v>
      </c>
      <c r="D83" t="s">
        <v>327</v>
      </c>
      <c r="E83" t="str" cm="1">
        <f t="array" ref="E83">_xlfn.TEXTSPLIT(
_xlfn.TEXTSPLIT(Team_Links[[#This Row],[GameLogs]],"https://www.sports-reference.com/cbb/schools/",,TRUE,0,), "/",,TRUE,0)</f>
        <v>eastern-washington</v>
      </c>
    </row>
    <row r="84" spans="1:5" x14ac:dyDescent="0.25">
      <c r="A84">
        <v>82</v>
      </c>
      <c r="B84" t="s">
        <v>328</v>
      </c>
      <c r="C84" t="s">
        <v>329</v>
      </c>
      <c r="D84" t="s">
        <v>330</v>
      </c>
      <c r="E84" t="str" cm="1">
        <f t="array" ref="E84">_xlfn.TEXTSPLIT(
_xlfn.TEXTSPLIT(Team_Links[[#This Row],[GameLogs]],"https://www.sports-reference.com/cbb/schools/",,TRUE,0,), "/",,TRUE,0)</f>
        <v>elon</v>
      </c>
    </row>
    <row r="85" spans="1:5" x14ac:dyDescent="0.25">
      <c r="A85">
        <v>83</v>
      </c>
      <c r="B85" t="s">
        <v>331</v>
      </c>
      <c r="C85" t="s">
        <v>332</v>
      </c>
      <c r="D85" t="s">
        <v>333</v>
      </c>
      <c r="E85" t="str" cm="1">
        <f t="array" ref="E85">_xlfn.TEXTSPLIT(
_xlfn.TEXTSPLIT(Team_Links[[#This Row],[GameLogs]],"https://www.sports-reference.com/cbb/schools/",,TRUE,0,), "/",,TRUE,0)</f>
        <v>evansville</v>
      </c>
    </row>
    <row r="86" spans="1:5" x14ac:dyDescent="0.25">
      <c r="A86">
        <v>84</v>
      </c>
      <c r="B86" t="s">
        <v>334</v>
      </c>
      <c r="C86" t="s">
        <v>335</v>
      </c>
      <c r="D86" t="s">
        <v>336</v>
      </c>
      <c r="E86" t="str" cm="1">
        <f t="array" ref="E86">_xlfn.TEXTSPLIT(
_xlfn.TEXTSPLIT(Team_Links[[#This Row],[GameLogs]],"https://www.sports-reference.com/cbb/schools/",,TRUE,0,), "/",,TRUE,0)</f>
        <v>fairfield</v>
      </c>
    </row>
    <row r="87" spans="1:5" x14ac:dyDescent="0.25">
      <c r="A87">
        <v>85</v>
      </c>
      <c r="B87" t="s">
        <v>337</v>
      </c>
      <c r="C87" t="s">
        <v>338</v>
      </c>
      <c r="D87" t="s">
        <v>339</v>
      </c>
      <c r="E87" t="str" cm="1">
        <f t="array" ref="E87">_xlfn.TEXTSPLIT(
_xlfn.TEXTSPLIT(Team_Links[[#This Row],[GameLogs]],"https://www.sports-reference.com/cbb/schools/",,TRUE,0,), "/",,TRUE,0)</f>
        <v>fairleigh-dickinson</v>
      </c>
    </row>
    <row r="88" spans="1:5" x14ac:dyDescent="0.25">
      <c r="A88">
        <v>86</v>
      </c>
      <c r="B88" t="s">
        <v>105</v>
      </c>
      <c r="C88" t="s">
        <v>340</v>
      </c>
      <c r="D88" t="s">
        <v>341</v>
      </c>
      <c r="E88" t="str" cm="1">
        <f t="array" ref="E88">_xlfn.TEXTSPLIT(
_xlfn.TEXTSPLIT(Team_Links[[#This Row],[GameLogs]],"https://www.sports-reference.com/cbb/schools/",,TRUE,0,), "/",,TRUE,0)</f>
        <v>florida</v>
      </c>
    </row>
    <row r="89" spans="1:5" x14ac:dyDescent="0.25">
      <c r="A89">
        <v>87</v>
      </c>
      <c r="B89" t="s">
        <v>342</v>
      </c>
      <c r="C89" t="s">
        <v>343</v>
      </c>
      <c r="D89" t="s">
        <v>344</v>
      </c>
      <c r="E89" t="str" cm="1">
        <f t="array" ref="E89">_xlfn.TEXTSPLIT(
_xlfn.TEXTSPLIT(Team_Links[[#This Row],[GameLogs]],"https://www.sports-reference.com/cbb/schools/",,TRUE,0,), "/",,TRUE,0)</f>
        <v>florida-am</v>
      </c>
    </row>
    <row r="90" spans="1:5" x14ac:dyDescent="0.25">
      <c r="A90">
        <v>88</v>
      </c>
      <c r="B90" t="s">
        <v>345</v>
      </c>
      <c r="C90" t="s">
        <v>346</v>
      </c>
      <c r="D90" t="s">
        <v>347</v>
      </c>
      <c r="E90" t="str" cm="1">
        <f t="array" ref="E90">_xlfn.TEXTSPLIT(
_xlfn.TEXTSPLIT(Team_Links[[#This Row],[GameLogs]],"https://www.sports-reference.com/cbb/schools/",,TRUE,0,), "/",,TRUE,0)</f>
        <v>florida-atlantic</v>
      </c>
    </row>
    <row r="91" spans="1:5" x14ac:dyDescent="0.25">
      <c r="A91">
        <v>89</v>
      </c>
      <c r="B91" t="s">
        <v>348</v>
      </c>
      <c r="C91" t="s">
        <v>349</v>
      </c>
      <c r="D91" t="s">
        <v>350</v>
      </c>
      <c r="E91" t="str" cm="1">
        <f t="array" ref="E91">_xlfn.TEXTSPLIT(
_xlfn.TEXTSPLIT(Team_Links[[#This Row],[GameLogs]],"https://www.sports-reference.com/cbb/schools/",,TRUE,0,), "/",,TRUE,0)</f>
        <v>florida-gulf-coast</v>
      </c>
    </row>
    <row r="92" spans="1:5" x14ac:dyDescent="0.25">
      <c r="A92">
        <v>90</v>
      </c>
      <c r="B92" t="s">
        <v>351</v>
      </c>
      <c r="C92" t="s">
        <v>352</v>
      </c>
      <c r="D92" t="s">
        <v>353</v>
      </c>
      <c r="E92" t="str" cm="1">
        <f t="array" ref="E92">_xlfn.TEXTSPLIT(
_xlfn.TEXTSPLIT(Team_Links[[#This Row],[GameLogs]],"https://www.sports-reference.com/cbb/schools/",,TRUE,0,), "/",,TRUE,0)</f>
        <v>florida-international</v>
      </c>
    </row>
    <row r="93" spans="1:5" x14ac:dyDescent="0.25">
      <c r="A93">
        <v>91</v>
      </c>
      <c r="B93" t="s">
        <v>354</v>
      </c>
      <c r="C93" t="s">
        <v>355</v>
      </c>
      <c r="D93" t="s">
        <v>356</v>
      </c>
      <c r="E93" t="str" cm="1">
        <f t="array" ref="E93">_xlfn.TEXTSPLIT(
_xlfn.TEXTSPLIT(Team_Links[[#This Row],[GameLogs]],"https://www.sports-reference.com/cbb/schools/",,TRUE,0,), "/",,TRUE,0)</f>
        <v>florida-state</v>
      </c>
    </row>
    <row r="94" spans="1:5" x14ac:dyDescent="0.25">
      <c r="A94">
        <v>92</v>
      </c>
      <c r="B94" t="s">
        <v>357</v>
      </c>
      <c r="C94" t="s">
        <v>358</v>
      </c>
      <c r="D94" t="s">
        <v>359</v>
      </c>
      <c r="E94" t="str" cm="1">
        <f t="array" ref="E94">_xlfn.TEXTSPLIT(
_xlfn.TEXTSPLIT(Team_Links[[#This Row],[GameLogs]],"https://www.sports-reference.com/cbb/schools/",,TRUE,0,), "/",,TRUE,0)</f>
        <v>fordham</v>
      </c>
    </row>
    <row r="95" spans="1:5" x14ac:dyDescent="0.25">
      <c r="A95">
        <v>93</v>
      </c>
      <c r="B95" t="s">
        <v>360</v>
      </c>
      <c r="C95" t="s">
        <v>361</v>
      </c>
      <c r="D95" t="s">
        <v>362</v>
      </c>
      <c r="E95" t="str" cm="1">
        <f t="array" ref="E95">_xlfn.TEXTSPLIT(
_xlfn.TEXTSPLIT(Team_Links[[#This Row],[GameLogs]],"https://www.sports-reference.com/cbb/schools/",,TRUE,0,), "/",,TRUE,0)</f>
        <v>fresno-state</v>
      </c>
    </row>
    <row r="96" spans="1:5" x14ac:dyDescent="0.25">
      <c r="A96">
        <v>94</v>
      </c>
      <c r="B96" t="s">
        <v>363</v>
      </c>
      <c r="C96" t="s">
        <v>364</v>
      </c>
      <c r="D96" t="s">
        <v>365</v>
      </c>
      <c r="E96" t="str" cm="1">
        <f t="array" ref="E96">_xlfn.TEXTSPLIT(
_xlfn.TEXTSPLIT(Team_Links[[#This Row],[GameLogs]],"https://www.sports-reference.com/cbb/schools/",,TRUE,0,), "/",,TRUE,0)</f>
        <v>furman</v>
      </c>
    </row>
    <row r="97" spans="1:5" x14ac:dyDescent="0.25">
      <c r="A97">
        <v>95</v>
      </c>
      <c r="B97" t="s">
        <v>366</v>
      </c>
      <c r="C97" t="s">
        <v>367</v>
      </c>
      <c r="D97" t="s">
        <v>368</v>
      </c>
      <c r="E97" t="str" cm="1">
        <f t="array" ref="E97">_xlfn.TEXTSPLIT(
_xlfn.TEXTSPLIT(Team_Links[[#This Row],[GameLogs]],"https://www.sports-reference.com/cbb/schools/",,TRUE,0,), "/",,TRUE,0)</f>
        <v>gardner-webb</v>
      </c>
    </row>
    <row r="98" spans="1:5" x14ac:dyDescent="0.25">
      <c r="A98">
        <v>96</v>
      </c>
      <c r="B98" t="s">
        <v>369</v>
      </c>
      <c r="C98" t="s">
        <v>370</v>
      </c>
      <c r="D98" t="s">
        <v>371</v>
      </c>
      <c r="E98" t="str" cm="1">
        <f t="array" ref="E98">_xlfn.TEXTSPLIT(
_xlfn.TEXTSPLIT(Team_Links[[#This Row],[GameLogs]],"https://www.sports-reference.com/cbb/schools/",,TRUE,0,), "/",,TRUE,0)</f>
        <v>george-mason</v>
      </c>
    </row>
    <row r="99" spans="1:5" x14ac:dyDescent="0.25">
      <c r="A99">
        <v>97</v>
      </c>
      <c r="B99" t="s">
        <v>372</v>
      </c>
      <c r="C99" t="s">
        <v>373</v>
      </c>
      <c r="D99" t="s">
        <v>374</v>
      </c>
      <c r="E99" t="str" cm="1">
        <f t="array" ref="E99">_xlfn.TEXTSPLIT(
_xlfn.TEXTSPLIT(Team_Links[[#This Row],[GameLogs]],"https://www.sports-reference.com/cbb/schools/",,TRUE,0,), "/",,TRUE,0)</f>
        <v>george-washington</v>
      </c>
    </row>
    <row r="100" spans="1:5" x14ac:dyDescent="0.25">
      <c r="A100">
        <v>98</v>
      </c>
      <c r="B100" t="s">
        <v>375</v>
      </c>
      <c r="C100" t="s">
        <v>376</v>
      </c>
      <c r="D100" t="s">
        <v>377</v>
      </c>
      <c r="E100" t="str" cm="1">
        <f t="array" ref="E100">_xlfn.TEXTSPLIT(
_xlfn.TEXTSPLIT(Team_Links[[#This Row],[GameLogs]],"https://www.sports-reference.com/cbb/schools/",,TRUE,0,), "/",,TRUE,0)</f>
        <v>georgetown</v>
      </c>
    </row>
    <row r="101" spans="1:5" x14ac:dyDescent="0.25">
      <c r="A101">
        <v>99</v>
      </c>
      <c r="B101" t="s">
        <v>136</v>
      </c>
      <c r="C101" t="s">
        <v>378</v>
      </c>
      <c r="D101" t="s">
        <v>379</v>
      </c>
      <c r="E101" t="str" cm="1">
        <f t="array" ref="E101">_xlfn.TEXTSPLIT(
_xlfn.TEXTSPLIT(Team_Links[[#This Row],[GameLogs]],"https://www.sports-reference.com/cbb/schools/",,TRUE,0,), "/",,TRUE,0)</f>
        <v>georgia</v>
      </c>
    </row>
    <row r="102" spans="1:5" x14ac:dyDescent="0.25">
      <c r="A102">
        <v>100</v>
      </c>
      <c r="B102" t="s">
        <v>380</v>
      </c>
      <c r="C102" t="s">
        <v>381</v>
      </c>
      <c r="D102" t="s">
        <v>382</v>
      </c>
      <c r="E102" t="str" cm="1">
        <f t="array" ref="E102">_xlfn.TEXTSPLIT(
_xlfn.TEXTSPLIT(Team_Links[[#This Row],[GameLogs]],"https://www.sports-reference.com/cbb/schools/",,TRUE,0,), "/",,TRUE,0)</f>
        <v>georgia-southern</v>
      </c>
    </row>
    <row r="103" spans="1:5" x14ac:dyDescent="0.25">
      <c r="A103">
        <v>101</v>
      </c>
      <c r="B103" t="s">
        <v>383</v>
      </c>
      <c r="C103" t="s">
        <v>384</v>
      </c>
      <c r="D103" t="s">
        <v>385</v>
      </c>
      <c r="E103" t="str" cm="1">
        <f t="array" ref="E103">_xlfn.TEXTSPLIT(
_xlfn.TEXTSPLIT(Team_Links[[#This Row],[GameLogs]],"https://www.sports-reference.com/cbb/schools/",,TRUE,0,), "/",,TRUE,0)</f>
        <v>georgia-state</v>
      </c>
    </row>
    <row r="104" spans="1:5" x14ac:dyDescent="0.25">
      <c r="A104">
        <v>102</v>
      </c>
      <c r="B104" t="s">
        <v>386</v>
      </c>
      <c r="C104" t="s">
        <v>387</v>
      </c>
      <c r="D104" t="s">
        <v>388</v>
      </c>
      <c r="E104" t="str" cm="1">
        <f t="array" ref="E104">_xlfn.TEXTSPLIT(
_xlfn.TEXTSPLIT(Team_Links[[#This Row],[GameLogs]],"https://www.sports-reference.com/cbb/schools/",,TRUE,0,), "/",,TRUE,0)</f>
        <v>georgia-tech</v>
      </c>
    </row>
    <row r="105" spans="1:5" x14ac:dyDescent="0.25">
      <c r="A105">
        <v>103</v>
      </c>
      <c r="B105" t="s">
        <v>135</v>
      </c>
      <c r="C105" t="s">
        <v>389</v>
      </c>
      <c r="D105" t="s">
        <v>390</v>
      </c>
      <c r="E105" t="str" cm="1">
        <f t="array" ref="E105">_xlfn.TEXTSPLIT(
_xlfn.TEXTSPLIT(Team_Links[[#This Row],[GameLogs]],"https://www.sports-reference.com/cbb/schools/",,TRUE,0,), "/",,TRUE,0)</f>
        <v>gonzaga</v>
      </c>
    </row>
    <row r="106" spans="1:5" x14ac:dyDescent="0.25">
      <c r="A106">
        <v>104</v>
      </c>
      <c r="B106" t="s">
        <v>391</v>
      </c>
      <c r="C106" t="s">
        <v>392</v>
      </c>
      <c r="D106" t="s">
        <v>393</v>
      </c>
      <c r="E106" t="str" cm="1">
        <f t="array" ref="E106">_xlfn.TEXTSPLIT(
_xlfn.TEXTSPLIT(Team_Links[[#This Row],[GameLogs]],"https://www.sports-reference.com/cbb/schools/",,TRUE,0,), "/",,TRUE,0)</f>
        <v>grambling</v>
      </c>
    </row>
    <row r="107" spans="1:5" x14ac:dyDescent="0.25">
      <c r="A107">
        <v>105</v>
      </c>
      <c r="B107" t="s">
        <v>113</v>
      </c>
      <c r="C107" t="s">
        <v>394</v>
      </c>
      <c r="D107" t="s">
        <v>395</v>
      </c>
      <c r="E107" t="str" cm="1">
        <f t="array" ref="E107">_xlfn.TEXTSPLIT(
_xlfn.TEXTSPLIT(Team_Links[[#This Row],[GameLogs]],"https://www.sports-reference.com/cbb/schools/",,TRUE,0,), "/",,TRUE,0)</f>
        <v>grand-canyon</v>
      </c>
    </row>
    <row r="108" spans="1:5" x14ac:dyDescent="0.25">
      <c r="A108">
        <v>106</v>
      </c>
      <c r="B108" t="s">
        <v>396</v>
      </c>
      <c r="C108" t="s">
        <v>397</v>
      </c>
      <c r="D108" t="s">
        <v>398</v>
      </c>
      <c r="E108" t="str" cm="1">
        <f t="array" ref="E108">_xlfn.TEXTSPLIT(
_xlfn.TEXTSPLIT(Team_Links[[#This Row],[GameLogs]],"https://www.sports-reference.com/cbb/schools/",,TRUE,0,), "/",,TRUE,0)</f>
        <v>green-bay</v>
      </c>
    </row>
    <row r="109" spans="1:5" x14ac:dyDescent="0.25">
      <c r="A109">
        <v>107</v>
      </c>
      <c r="B109" t="s">
        <v>399</v>
      </c>
      <c r="C109" t="s">
        <v>400</v>
      </c>
      <c r="D109" t="s">
        <v>401</v>
      </c>
      <c r="E109" t="str" cm="1">
        <f t="array" ref="E109">_xlfn.TEXTSPLIT(
_xlfn.TEXTSPLIT(Team_Links[[#This Row],[GameLogs]],"https://www.sports-reference.com/cbb/schools/",,TRUE,0,), "/",,TRUE,0)</f>
        <v>hampton</v>
      </c>
    </row>
    <row r="110" spans="1:5" x14ac:dyDescent="0.25">
      <c r="A110">
        <v>108</v>
      </c>
      <c r="B110" t="s">
        <v>402</v>
      </c>
      <c r="C110" t="s">
        <v>403</v>
      </c>
      <c r="D110" t="s">
        <v>404</v>
      </c>
      <c r="E110" t="str" cm="1">
        <f t="array" ref="E110">_xlfn.TEXTSPLIT(
_xlfn.TEXTSPLIT(Team_Links[[#This Row],[GameLogs]],"https://www.sports-reference.com/cbb/schools/",,TRUE,0,), "/",,TRUE,0)</f>
        <v>harvard</v>
      </c>
    </row>
    <row r="111" spans="1:5" x14ac:dyDescent="0.25">
      <c r="A111">
        <v>109</v>
      </c>
      <c r="B111" t="s">
        <v>405</v>
      </c>
      <c r="C111" t="s">
        <v>406</v>
      </c>
      <c r="D111" t="s">
        <v>407</v>
      </c>
      <c r="E111" t="str" cm="1">
        <f t="array" ref="E111">_xlfn.TEXTSPLIT(
_xlfn.TEXTSPLIT(Team_Links[[#This Row],[GameLogs]],"https://www.sports-reference.com/cbb/schools/",,TRUE,0,), "/",,TRUE,0)</f>
        <v>hawaii</v>
      </c>
    </row>
    <row r="112" spans="1:5" x14ac:dyDescent="0.25">
      <c r="A112">
        <v>110</v>
      </c>
      <c r="B112" t="s">
        <v>140</v>
      </c>
      <c r="C112" t="s">
        <v>408</v>
      </c>
      <c r="D112" t="s">
        <v>409</v>
      </c>
      <c r="E112" t="str" cm="1">
        <f t="array" ref="E112">_xlfn.TEXTSPLIT(
_xlfn.TEXTSPLIT(Team_Links[[#This Row],[GameLogs]],"https://www.sports-reference.com/cbb/schools/",,TRUE,0,), "/",,TRUE,0)</f>
        <v>high-point</v>
      </c>
    </row>
    <row r="113" spans="1:5" x14ac:dyDescent="0.25">
      <c r="A113">
        <v>111</v>
      </c>
      <c r="B113" t="s">
        <v>410</v>
      </c>
      <c r="C113" t="s">
        <v>411</v>
      </c>
      <c r="D113" t="s">
        <v>412</v>
      </c>
      <c r="E113" t="str" cm="1">
        <f t="array" ref="E113">_xlfn.TEXTSPLIT(
_xlfn.TEXTSPLIT(Team_Links[[#This Row],[GameLogs]],"https://www.sports-reference.com/cbb/schools/",,TRUE,0,), "/",,TRUE,0)</f>
        <v>hofstra</v>
      </c>
    </row>
    <row r="114" spans="1:5" x14ac:dyDescent="0.25">
      <c r="A114">
        <v>112</v>
      </c>
      <c r="B114" t="s">
        <v>413</v>
      </c>
      <c r="C114" t="s">
        <v>414</v>
      </c>
      <c r="D114" t="s">
        <v>415</v>
      </c>
      <c r="E114" t="str" cm="1">
        <f t="array" ref="E114">_xlfn.TEXTSPLIT(
_xlfn.TEXTSPLIT(Team_Links[[#This Row],[GameLogs]],"https://www.sports-reference.com/cbb/schools/",,TRUE,0,), "/",,TRUE,0)</f>
        <v>holy-cross</v>
      </c>
    </row>
    <row r="115" spans="1:5" x14ac:dyDescent="0.25">
      <c r="A115">
        <v>113</v>
      </c>
      <c r="B115" t="s">
        <v>129</v>
      </c>
      <c r="C115" t="s">
        <v>416</v>
      </c>
      <c r="D115" t="s">
        <v>417</v>
      </c>
      <c r="E115" t="str" cm="1">
        <f t="array" ref="E115">_xlfn.TEXTSPLIT(
_xlfn.TEXTSPLIT(Team_Links[[#This Row],[GameLogs]],"https://www.sports-reference.com/cbb/schools/",,TRUE,0,), "/",,TRUE,0)</f>
        <v>houston</v>
      </c>
    </row>
    <row r="116" spans="1:5" x14ac:dyDescent="0.25">
      <c r="A116">
        <v>114</v>
      </c>
      <c r="B116" t="s">
        <v>418</v>
      </c>
      <c r="C116" t="s">
        <v>419</v>
      </c>
      <c r="D116" t="s">
        <v>420</v>
      </c>
      <c r="E116" t="str" cm="1">
        <f t="array" ref="E116">_xlfn.TEXTSPLIT(
_xlfn.TEXTSPLIT(Team_Links[[#This Row],[GameLogs]],"https://www.sports-reference.com/cbb/schools/",,TRUE,0,), "/",,TRUE,0)</f>
        <v>houston-baptist</v>
      </c>
    </row>
    <row r="117" spans="1:5" x14ac:dyDescent="0.25">
      <c r="A117">
        <v>115</v>
      </c>
      <c r="B117" t="s">
        <v>421</v>
      </c>
      <c r="C117" t="s">
        <v>422</v>
      </c>
      <c r="D117" t="s">
        <v>423</v>
      </c>
      <c r="E117" t="str" cm="1">
        <f t="array" ref="E117">_xlfn.TEXTSPLIT(
_xlfn.TEXTSPLIT(Team_Links[[#This Row],[GameLogs]],"https://www.sports-reference.com/cbb/schools/",,TRUE,0,), "/",,TRUE,0)</f>
        <v>howard</v>
      </c>
    </row>
    <row r="118" spans="1:5" x14ac:dyDescent="0.25">
      <c r="A118">
        <v>116</v>
      </c>
      <c r="B118" t="s">
        <v>424</v>
      </c>
      <c r="C118" t="s">
        <v>425</v>
      </c>
      <c r="D118" t="s">
        <v>426</v>
      </c>
      <c r="E118" t="str" cm="1">
        <f t="array" ref="E118">_xlfn.TEXTSPLIT(
_xlfn.TEXTSPLIT(Team_Links[[#This Row],[GameLogs]],"https://www.sports-reference.com/cbb/schools/",,TRUE,0,), "/",,TRUE,0)</f>
        <v>idaho</v>
      </c>
    </row>
    <row r="119" spans="1:5" x14ac:dyDescent="0.25">
      <c r="A119">
        <v>117</v>
      </c>
      <c r="B119" t="s">
        <v>427</v>
      </c>
      <c r="C119" t="s">
        <v>428</v>
      </c>
      <c r="D119" t="s">
        <v>429</v>
      </c>
      <c r="E119" t="str" cm="1">
        <f t="array" ref="E119">_xlfn.TEXTSPLIT(
_xlfn.TEXTSPLIT(Team_Links[[#This Row],[GameLogs]],"https://www.sports-reference.com/cbb/schools/",,TRUE,0,), "/",,TRUE,0)</f>
        <v>idaho-state</v>
      </c>
    </row>
    <row r="120" spans="1:5" x14ac:dyDescent="0.25">
      <c r="A120">
        <v>118</v>
      </c>
      <c r="B120" t="s">
        <v>133</v>
      </c>
      <c r="C120" t="s">
        <v>430</v>
      </c>
      <c r="D120" t="s">
        <v>431</v>
      </c>
      <c r="E120" t="str" cm="1">
        <f t="array" ref="E120">_xlfn.TEXTSPLIT(
_xlfn.TEXTSPLIT(Team_Links[[#This Row],[GameLogs]],"https://www.sports-reference.com/cbb/schools/",,TRUE,0,), "/",,TRUE,0)</f>
        <v>illinois</v>
      </c>
    </row>
    <row r="121" spans="1:5" x14ac:dyDescent="0.25">
      <c r="A121">
        <v>119</v>
      </c>
      <c r="B121" t="s">
        <v>432</v>
      </c>
      <c r="C121" t="s">
        <v>433</v>
      </c>
      <c r="D121" t="s">
        <v>434</v>
      </c>
      <c r="E121" t="str" cm="1">
        <f t="array" ref="E121">_xlfn.TEXTSPLIT(
_xlfn.TEXTSPLIT(Team_Links[[#This Row],[GameLogs]],"https://www.sports-reference.com/cbb/schools/",,TRUE,0,), "/",,TRUE,0)</f>
        <v>illinois-state</v>
      </c>
    </row>
    <row r="122" spans="1:5" x14ac:dyDescent="0.25">
      <c r="A122">
        <v>120</v>
      </c>
      <c r="B122" t="s">
        <v>435</v>
      </c>
      <c r="C122" t="s">
        <v>436</v>
      </c>
      <c r="D122" t="s">
        <v>437</v>
      </c>
      <c r="E122" t="str" cm="1">
        <f t="array" ref="E122">_xlfn.TEXTSPLIT(
_xlfn.TEXTSPLIT(Team_Links[[#This Row],[GameLogs]],"https://www.sports-reference.com/cbb/schools/",,TRUE,0,), "/",,TRUE,0)</f>
        <v>illinois-chicago</v>
      </c>
    </row>
    <row r="123" spans="1:5" x14ac:dyDescent="0.25">
      <c r="A123">
        <v>121</v>
      </c>
      <c r="B123" t="s">
        <v>438</v>
      </c>
      <c r="C123" t="s">
        <v>439</v>
      </c>
      <c r="D123" t="s">
        <v>440</v>
      </c>
      <c r="E123" t="str" cm="1">
        <f t="array" ref="E123">_xlfn.TEXTSPLIT(
_xlfn.TEXTSPLIT(Team_Links[[#This Row],[GameLogs]],"https://www.sports-reference.com/cbb/schools/",,TRUE,0,), "/",,TRUE,0)</f>
        <v>incarnate-word</v>
      </c>
    </row>
    <row r="124" spans="1:5" x14ac:dyDescent="0.25">
      <c r="A124">
        <v>122</v>
      </c>
      <c r="B124" t="s">
        <v>441</v>
      </c>
      <c r="C124" t="s">
        <v>442</v>
      </c>
      <c r="D124" t="s">
        <v>443</v>
      </c>
      <c r="E124" t="str" cm="1">
        <f t="array" ref="E124">_xlfn.TEXTSPLIT(
_xlfn.TEXTSPLIT(Team_Links[[#This Row],[GameLogs]],"https://www.sports-reference.com/cbb/schools/",,TRUE,0,), "/",,TRUE,0)</f>
        <v>indiana</v>
      </c>
    </row>
    <row r="125" spans="1:5" x14ac:dyDescent="0.25">
      <c r="A125">
        <v>123</v>
      </c>
      <c r="B125" t="s">
        <v>444</v>
      </c>
      <c r="C125" t="s">
        <v>445</v>
      </c>
      <c r="D125" t="s">
        <v>446</v>
      </c>
      <c r="E125" t="str" cm="1">
        <f t="array" ref="E125">_xlfn.TEXTSPLIT(
_xlfn.TEXTSPLIT(Team_Links[[#This Row],[GameLogs]],"https://www.sports-reference.com/cbb/schools/",,TRUE,0,), "/",,TRUE,0)</f>
        <v>indiana-state</v>
      </c>
    </row>
    <row r="126" spans="1:5" x14ac:dyDescent="0.25">
      <c r="A126">
        <v>124</v>
      </c>
      <c r="B126" t="s">
        <v>447</v>
      </c>
      <c r="C126" t="s">
        <v>448</v>
      </c>
      <c r="D126" t="s">
        <v>449</v>
      </c>
      <c r="E126" t="str" cm="1">
        <f t="array" ref="E126">_xlfn.TEXTSPLIT(
_xlfn.TEXTSPLIT(Team_Links[[#This Row],[GameLogs]],"https://www.sports-reference.com/cbb/schools/",,TRUE,0,), "/",,TRUE,0)</f>
        <v>iona</v>
      </c>
    </row>
    <row r="127" spans="1:5" x14ac:dyDescent="0.25">
      <c r="A127">
        <v>125</v>
      </c>
      <c r="B127" t="s">
        <v>450</v>
      </c>
      <c r="C127" t="s">
        <v>451</v>
      </c>
      <c r="D127" t="s">
        <v>452</v>
      </c>
      <c r="E127" t="str" cm="1">
        <f t="array" ref="E127">_xlfn.TEXTSPLIT(
_xlfn.TEXTSPLIT(Team_Links[[#This Row],[GameLogs]],"https://www.sports-reference.com/cbb/schools/",,TRUE,0,), "/",,TRUE,0)</f>
        <v>iowa</v>
      </c>
    </row>
    <row r="128" spans="1:5" x14ac:dyDescent="0.25">
      <c r="A128">
        <v>126</v>
      </c>
      <c r="B128" t="s">
        <v>118</v>
      </c>
      <c r="C128" t="s">
        <v>453</v>
      </c>
      <c r="D128" t="s">
        <v>454</v>
      </c>
      <c r="E128" t="str" cm="1">
        <f t="array" ref="E128">_xlfn.TEXTSPLIT(
_xlfn.TEXTSPLIT(Team_Links[[#This Row],[GameLogs]],"https://www.sports-reference.com/cbb/schools/",,TRUE,0,), "/",,TRUE,0)</f>
        <v>iowa-state</v>
      </c>
    </row>
    <row r="129" spans="1:5" x14ac:dyDescent="0.25">
      <c r="A129">
        <v>127</v>
      </c>
      <c r="B129" t="s">
        <v>455</v>
      </c>
      <c r="C129" t="s">
        <v>456</v>
      </c>
      <c r="D129" t="s">
        <v>457</v>
      </c>
      <c r="E129" t="str" cm="1">
        <f t="array" ref="E129">_xlfn.TEXTSPLIT(
_xlfn.TEXTSPLIT(Team_Links[[#This Row],[GameLogs]],"https://www.sports-reference.com/cbb/schools/",,TRUE,0,), "/",,TRUE,0)</f>
        <v>iupui</v>
      </c>
    </row>
    <row r="130" spans="1:5" x14ac:dyDescent="0.25">
      <c r="A130">
        <v>128</v>
      </c>
      <c r="B130" t="s">
        <v>458</v>
      </c>
      <c r="C130" t="s">
        <v>459</v>
      </c>
      <c r="D130" t="s">
        <v>460</v>
      </c>
      <c r="E130" t="str" cm="1">
        <f t="array" ref="E130">_xlfn.TEXTSPLIT(
_xlfn.TEXTSPLIT(Team_Links[[#This Row],[GameLogs]],"https://www.sports-reference.com/cbb/schools/",,TRUE,0,), "/",,TRUE,0)</f>
        <v>jackson-state</v>
      </c>
    </row>
    <row r="131" spans="1:5" x14ac:dyDescent="0.25">
      <c r="A131">
        <v>129</v>
      </c>
      <c r="B131" t="s">
        <v>461</v>
      </c>
      <c r="C131" t="s">
        <v>462</v>
      </c>
      <c r="D131" t="s">
        <v>463</v>
      </c>
      <c r="E131" t="str" cm="1">
        <f t="array" ref="E131">_xlfn.TEXTSPLIT(
_xlfn.TEXTSPLIT(Team_Links[[#This Row],[GameLogs]],"https://www.sports-reference.com/cbb/schools/",,TRUE,0,), "/",,TRUE,0)</f>
        <v>jacksonville</v>
      </c>
    </row>
    <row r="132" spans="1:5" x14ac:dyDescent="0.25">
      <c r="A132">
        <v>130</v>
      </c>
      <c r="B132" t="s">
        <v>464</v>
      </c>
      <c r="C132" t="s">
        <v>465</v>
      </c>
      <c r="D132" t="s">
        <v>466</v>
      </c>
      <c r="E132" t="str" cm="1">
        <f t="array" ref="E132">_xlfn.TEXTSPLIT(
_xlfn.TEXTSPLIT(Team_Links[[#This Row],[GameLogs]],"https://www.sports-reference.com/cbb/schools/",,TRUE,0,), "/",,TRUE,0)</f>
        <v>jacksonville-state</v>
      </c>
    </row>
    <row r="133" spans="1:5" x14ac:dyDescent="0.25">
      <c r="A133">
        <v>131</v>
      </c>
      <c r="B133" t="s">
        <v>467</v>
      </c>
      <c r="C133" t="s">
        <v>468</v>
      </c>
      <c r="D133" t="s">
        <v>469</v>
      </c>
      <c r="E133" t="str" cm="1">
        <f t="array" ref="E133">_xlfn.TEXTSPLIT(
_xlfn.TEXTSPLIT(Team_Links[[#This Row],[GameLogs]],"https://www.sports-reference.com/cbb/schools/",,TRUE,0,), "/",,TRUE,0)</f>
        <v>james-madison</v>
      </c>
    </row>
    <row r="134" spans="1:5" x14ac:dyDescent="0.25">
      <c r="A134">
        <v>132</v>
      </c>
      <c r="B134" t="s">
        <v>110</v>
      </c>
      <c r="C134" t="s">
        <v>470</v>
      </c>
      <c r="D134" t="s">
        <v>471</v>
      </c>
      <c r="E134" t="str" cm="1">
        <f t="array" ref="E134">_xlfn.TEXTSPLIT(
_xlfn.TEXTSPLIT(Team_Links[[#This Row],[GameLogs]],"https://www.sports-reference.com/cbb/schools/",,TRUE,0,), "/",,TRUE,0)</f>
        <v>kansas</v>
      </c>
    </row>
    <row r="135" spans="1:5" x14ac:dyDescent="0.25">
      <c r="A135">
        <v>133</v>
      </c>
      <c r="B135" t="s">
        <v>472</v>
      </c>
      <c r="C135" t="s">
        <v>473</v>
      </c>
      <c r="D135" t="s">
        <v>474</v>
      </c>
      <c r="E135" t="str" cm="1">
        <f t="array" ref="E135">_xlfn.TEXTSPLIT(
_xlfn.TEXTSPLIT(Team_Links[[#This Row],[GameLogs]],"https://www.sports-reference.com/cbb/schools/",,TRUE,0,), "/",,TRUE,0)</f>
        <v>missouri-kansas-city</v>
      </c>
    </row>
    <row r="136" spans="1:5" x14ac:dyDescent="0.25">
      <c r="A136">
        <v>134</v>
      </c>
      <c r="B136" t="s">
        <v>475</v>
      </c>
      <c r="C136" t="s">
        <v>476</v>
      </c>
      <c r="D136" t="s">
        <v>477</v>
      </c>
      <c r="E136" t="str" cm="1">
        <f t="array" ref="E136">_xlfn.TEXTSPLIT(
_xlfn.TEXTSPLIT(Team_Links[[#This Row],[GameLogs]],"https://www.sports-reference.com/cbb/schools/",,TRUE,0,), "/",,TRUE,0)</f>
        <v>kansas-state</v>
      </c>
    </row>
    <row r="137" spans="1:5" x14ac:dyDescent="0.25">
      <c r="A137">
        <v>135</v>
      </c>
      <c r="B137" t="s">
        <v>478</v>
      </c>
      <c r="C137" t="s">
        <v>479</v>
      </c>
      <c r="D137" t="s">
        <v>480</v>
      </c>
      <c r="E137" t="str" cm="1">
        <f t="array" ref="E137">_xlfn.TEXTSPLIT(
_xlfn.TEXTSPLIT(Team_Links[[#This Row],[GameLogs]],"https://www.sports-reference.com/cbb/schools/",,TRUE,0,), "/",,TRUE,0)</f>
        <v>kennesaw-state</v>
      </c>
    </row>
    <row r="138" spans="1:5" x14ac:dyDescent="0.25">
      <c r="A138">
        <v>136</v>
      </c>
      <c r="B138" t="s">
        <v>481</v>
      </c>
      <c r="C138" t="s">
        <v>482</v>
      </c>
      <c r="D138" t="s">
        <v>483</v>
      </c>
      <c r="E138" t="str" cm="1">
        <f t="array" ref="E138">_xlfn.TEXTSPLIT(
_xlfn.TEXTSPLIT(Team_Links[[#This Row],[GameLogs]],"https://www.sports-reference.com/cbb/schools/",,TRUE,0,), "/",,TRUE,0)</f>
        <v>kent-state</v>
      </c>
    </row>
    <row r="139" spans="1:5" x14ac:dyDescent="0.25">
      <c r="A139">
        <v>137</v>
      </c>
      <c r="B139" t="s">
        <v>131</v>
      </c>
      <c r="C139" t="s">
        <v>484</v>
      </c>
      <c r="D139" t="s">
        <v>485</v>
      </c>
      <c r="E139" t="str" cm="1">
        <f t="array" ref="E139">_xlfn.TEXTSPLIT(
_xlfn.TEXTSPLIT(Team_Links[[#This Row],[GameLogs]],"https://www.sports-reference.com/cbb/schools/",,TRUE,0,), "/",,TRUE,0)</f>
        <v>kentucky</v>
      </c>
    </row>
    <row r="140" spans="1:5" x14ac:dyDescent="0.25">
      <c r="A140">
        <v>138</v>
      </c>
      <c r="B140" t="s">
        <v>486</v>
      </c>
      <c r="C140" t="s">
        <v>487</v>
      </c>
      <c r="D140" t="s">
        <v>488</v>
      </c>
      <c r="E140" t="str" cm="1">
        <f t="array" ref="E140">_xlfn.TEXTSPLIT(
_xlfn.TEXTSPLIT(Team_Links[[#This Row],[GameLogs]],"https://www.sports-reference.com/cbb/schools/",,TRUE,0,), "/",,TRUE,0)</f>
        <v>la-salle</v>
      </c>
    </row>
    <row r="141" spans="1:5" x14ac:dyDescent="0.25">
      <c r="A141">
        <v>139</v>
      </c>
      <c r="B141" t="s">
        <v>489</v>
      </c>
      <c r="C141" t="s">
        <v>490</v>
      </c>
      <c r="D141" t="s">
        <v>491</v>
      </c>
      <c r="E141" t="str" cm="1">
        <f t="array" ref="E141">_xlfn.TEXTSPLIT(
_xlfn.TEXTSPLIT(Team_Links[[#This Row],[GameLogs]],"https://www.sports-reference.com/cbb/schools/",,TRUE,0,), "/",,TRUE,0)</f>
        <v>lafayette</v>
      </c>
    </row>
    <row r="142" spans="1:5" x14ac:dyDescent="0.25">
      <c r="A142">
        <v>140</v>
      </c>
      <c r="B142" t="s">
        <v>492</v>
      </c>
      <c r="C142" t="s">
        <v>493</v>
      </c>
      <c r="D142" t="s">
        <v>494</v>
      </c>
      <c r="E142" t="str" cm="1">
        <f t="array" ref="E142">_xlfn.TEXTSPLIT(
_xlfn.TEXTSPLIT(Team_Links[[#This Row],[GameLogs]],"https://www.sports-reference.com/cbb/schools/",,TRUE,0,), "/",,TRUE,0)</f>
        <v>lamar</v>
      </c>
    </row>
    <row r="143" spans="1:5" x14ac:dyDescent="0.25">
      <c r="A143">
        <v>141</v>
      </c>
      <c r="B143" t="s">
        <v>495</v>
      </c>
      <c r="C143" t="s">
        <v>496</v>
      </c>
      <c r="D143" t="s">
        <v>497</v>
      </c>
      <c r="E143" t="str" cm="1">
        <f t="array" ref="E143">_xlfn.TEXTSPLIT(
_xlfn.TEXTSPLIT(Team_Links[[#This Row],[GameLogs]],"https://www.sports-reference.com/cbb/schools/",,TRUE,0,), "/",,TRUE,0)</f>
        <v>le-moyne</v>
      </c>
    </row>
    <row r="144" spans="1:5" x14ac:dyDescent="0.25">
      <c r="A144">
        <v>142</v>
      </c>
      <c r="B144" t="s">
        <v>498</v>
      </c>
      <c r="C144" t="s">
        <v>499</v>
      </c>
      <c r="D144" t="s">
        <v>500</v>
      </c>
      <c r="E144" t="str" cm="1">
        <f t="array" ref="E144">_xlfn.TEXTSPLIT(
_xlfn.TEXTSPLIT(Team_Links[[#This Row],[GameLogs]],"https://www.sports-reference.com/cbb/schools/",,TRUE,0,), "/",,TRUE,0)</f>
        <v>lehigh</v>
      </c>
    </row>
    <row r="145" spans="1:5" x14ac:dyDescent="0.25">
      <c r="A145">
        <v>143</v>
      </c>
      <c r="B145" t="s">
        <v>100</v>
      </c>
      <c r="C145" t="s">
        <v>501</v>
      </c>
      <c r="D145" t="s">
        <v>502</v>
      </c>
      <c r="E145" t="str" cm="1">
        <f t="array" ref="E145">_xlfn.TEXTSPLIT(
_xlfn.TEXTSPLIT(Team_Links[[#This Row],[GameLogs]],"https://www.sports-reference.com/cbb/schools/",,TRUE,0,), "/",,TRUE,0)</f>
        <v>liberty</v>
      </c>
    </row>
    <row r="146" spans="1:5" x14ac:dyDescent="0.25">
      <c r="A146">
        <v>144</v>
      </c>
      <c r="B146" t="s">
        <v>503</v>
      </c>
      <c r="C146" t="s">
        <v>504</v>
      </c>
      <c r="D146" t="s">
        <v>505</v>
      </c>
      <c r="E146" t="str" cm="1">
        <f t="array" ref="E146">_xlfn.TEXTSPLIT(
_xlfn.TEXTSPLIT(Team_Links[[#This Row],[GameLogs]],"https://www.sports-reference.com/cbb/schools/",,TRUE,0,), "/",,TRUE,0)</f>
        <v>lindenwood</v>
      </c>
    </row>
    <row r="147" spans="1:5" x14ac:dyDescent="0.25">
      <c r="A147">
        <v>145</v>
      </c>
      <c r="B147" t="s">
        <v>128</v>
      </c>
      <c r="C147" t="s">
        <v>506</v>
      </c>
      <c r="D147" t="s">
        <v>507</v>
      </c>
      <c r="E147" t="str" cm="1">
        <f t="array" ref="E147">_xlfn.TEXTSPLIT(
_xlfn.TEXTSPLIT(Team_Links[[#This Row],[GameLogs]],"https://www.sports-reference.com/cbb/schools/",,TRUE,0,), "/",,TRUE,0)</f>
        <v>lipscomb</v>
      </c>
    </row>
    <row r="148" spans="1:5" x14ac:dyDescent="0.25">
      <c r="A148">
        <v>146</v>
      </c>
      <c r="B148" t="s">
        <v>508</v>
      </c>
      <c r="C148" t="s">
        <v>509</v>
      </c>
      <c r="D148" t="s">
        <v>510</v>
      </c>
      <c r="E148" t="str" cm="1">
        <f t="array" ref="E148">_xlfn.TEXTSPLIT(
_xlfn.TEXTSPLIT(Team_Links[[#This Row],[GameLogs]],"https://www.sports-reference.com/cbb/schools/",,TRUE,0,), "/",,TRUE,0)</f>
        <v>arkansas-little-rock</v>
      </c>
    </row>
    <row r="149" spans="1:5" x14ac:dyDescent="0.25">
      <c r="A149">
        <v>147</v>
      </c>
      <c r="B149" t="s">
        <v>511</v>
      </c>
      <c r="C149" t="s">
        <v>512</v>
      </c>
      <c r="D149" t="s">
        <v>513</v>
      </c>
      <c r="E149" t="str" cm="1">
        <f t="array" ref="E149">_xlfn.TEXTSPLIT(
_xlfn.TEXTSPLIT(Team_Links[[#This Row],[GameLogs]],"https://www.sports-reference.com/cbb/schools/",,TRUE,0,), "/",,TRUE,0)</f>
        <v>long-beach-state</v>
      </c>
    </row>
    <row r="150" spans="1:5" x14ac:dyDescent="0.25">
      <c r="A150">
        <v>148</v>
      </c>
      <c r="B150" t="s">
        <v>514</v>
      </c>
      <c r="C150" t="s">
        <v>515</v>
      </c>
      <c r="D150" t="s">
        <v>516</v>
      </c>
      <c r="E150" t="str" cm="1">
        <f t="array" ref="E150">_xlfn.TEXTSPLIT(
_xlfn.TEXTSPLIT(Team_Links[[#This Row],[GameLogs]],"https://www.sports-reference.com/cbb/schools/",,TRUE,0,), "/",,TRUE,0)</f>
        <v>long-island-university</v>
      </c>
    </row>
    <row r="151" spans="1:5" x14ac:dyDescent="0.25">
      <c r="A151">
        <v>149</v>
      </c>
      <c r="B151" t="s">
        <v>517</v>
      </c>
      <c r="C151" t="s">
        <v>518</v>
      </c>
      <c r="D151" t="s">
        <v>519</v>
      </c>
      <c r="E151" t="str" cm="1">
        <f t="array" ref="E151">_xlfn.TEXTSPLIT(
_xlfn.TEXTSPLIT(Team_Links[[#This Row],[GameLogs]],"https://www.sports-reference.com/cbb/schools/",,TRUE,0,), "/",,TRUE,0)</f>
        <v>longwood</v>
      </c>
    </row>
    <row r="152" spans="1:5" x14ac:dyDescent="0.25">
      <c r="A152">
        <v>150</v>
      </c>
      <c r="B152" t="s">
        <v>520</v>
      </c>
      <c r="C152" t="s">
        <v>521</v>
      </c>
      <c r="D152" t="s">
        <v>522</v>
      </c>
      <c r="E152" t="str" cm="1">
        <f t="array" ref="E152">_xlfn.TEXTSPLIT(
_xlfn.TEXTSPLIT(Team_Links[[#This Row],[GameLogs]],"https://www.sports-reference.com/cbb/schools/",,TRUE,0,), "/",,TRUE,0)</f>
        <v>louisiana-lafayette</v>
      </c>
    </row>
    <row r="153" spans="1:5" x14ac:dyDescent="0.25">
      <c r="A153">
        <v>151</v>
      </c>
      <c r="B153" t="s">
        <v>523</v>
      </c>
      <c r="C153" t="s">
        <v>524</v>
      </c>
      <c r="D153" t="s">
        <v>525</v>
      </c>
      <c r="E153" t="str" cm="1">
        <f t="array" ref="E153">_xlfn.TEXTSPLIT(
_xlfn.TEXTSPLIT(Team_Links[[#This Row],[GameLogs]],"https://www.sports-reference.com/cbb/schools/",,TRUE,0,), "/",,TRUE,0)</f>
        <v>louisiana-state</v>
      </c>
    </row>
    <row r="154" spans="1:5" x14ac:dyDescent="0.25">
      <c r="A154">
        <v>152</v>
      </c>
      <c r="B154" t="s">
        <v>526</v>
      </c>
      <c r="C154" t="s">
        <v>527</v>
      </c>
      <c r="D154" t="s">
        <v>528</v>
      </c>
      <c r="E154" t="str" cm="1">
        <f t="array" ref="E154">_xlfn.TEXTSPLIT(
_xlfn.TEXTSPLIT(Team_Links[[#This Row],[GameLogs]],"https://www.sports-reference.com/cbb/schools/",,TRUE,0,), "/",,TRUE,0)</f>
        <v>louisiana-tech</v>
      </c>
    </row>
    <row r="155" spans="1:5" x14ac:dyDescent="0.25">
      <c r="A155">
        <v>153</v>
      </c>
      <c r="B155" t="s">
        <v>529</v>
      </c>
      <c r="C155" t="s">
        <v>530</v>
      </c>
      <c r="D155" t="s">
        <v>531</v>
      </c>
      <c r="E155" t="str" cm="1">
        <f t="array" ref="E155">_xlfn.TEXTSPLIT(
_xlfn.TEXTSPLIT(Team_Links[[#This Row],[GameLogs]],"https://www.sports-reference.com/cbb/schools/",,TRUE,0,), "/",,TRUE,0)</f>
        <v>louisiana-monroe</v>
      </c>
    </row>
    <row r="156" spans="1:5" x14ac:dyDescent="0.25">
      <c r="A156">
        <v>154</v>
      </c>
      <c r="B156" t="s">
        <v>122</v>
      </c>
      <c r="C156" t="s">
        <v>532</v>
      </c>
      <c r="D156" t="s">
        <v>533</v>
      </c>
      <c r="E156" t="str" cm="1">
        <f t="array" ref="E156">_xlfn.TEXTSPLIT(
_xlfn.TEXTSPLIT(Team_Links[[#This Row],[GameLogs]],"https://www.sports-reference.com/cbb/schools/",,TRUE,0,), "/",,TRUE,0)</f>
        <v>louisville</v>
      </c>
    </row>
    <row r="157" spans="1:5" x14ac:dyDescent="0.25">
      <c r="A157">
        <v>155</v>
      </c>
      <c r="B157" t="s">
        <v>534</v>
      </c>
      <c r="C157" t="s">
        <v>535</v>
      </c>
      <c r="D157" t="s">
        <v>536</v>
      </c>
      <c r="E157" t="str" cm="1">
        <f t="array" ref="E157">_xlfn.TEXTSPLIT(
_xlfn.TEXTSPLIT(Team_Links[[#This Row],[GameLogs]],"https://www.sports-reference.com/cbb/schools/",,TRUE,0,), "/",,TRUE,0)</f>
        <v>loyola-il</v>
      </c>
    </row>
    <row r="158" spans="1:5" x14ac:dyDescent="0.25">
      <c r="A158">
        <v>156</v>
      </c>
      <c r="B158" t="s">
        <v>537</v>
      </c>
      <c r="C158" t="s">
        <v>538</v>
      </c>
      <c r="D158" t="s">
        <v>539</v>
      </c>
      <c r="E158" t="str" cm="1">
        <f t="array" ref="E158">_xlfn.TEXTSPLIT(
_xlfn.TEXTSPLIT(Team_Links[[#This Row],[GameLogs]],"https://www.sports-reference.com/cbb/schools/",,TRUE,0,), "/",,TRUE,0)</f>
        <v>loyola-md</v>
      </c>
    </row>
    <row r="159" spans="1:5" x14ac:dyDescent="0.25">
      <c r="A159">
        <v>157</v>
      </c>
      <c r="B159" t="s">
        <v>540</v>
      </c>
      <c r="C159" t="s">
        <v>541</v>
      </c>
      <c r="D159" t="s">
        <v>542</v>
      </c>
      <c r="E159" t="str" cm="1">
        <f t="array" ref="E159">_xlfn.TEXTSPLIT(
_xlfn.TEXTSPLIT(Team_Links[[#This Row],[GameLogs]],"https://www.sports-reference.com/cbb/schools/",,TRUE,0,), "/",,TRUE,0)</f>
        <v>loyola-marymount</v>
      </c>
    </row>
    <row r="160" spans="1:5" x14ac:dyDescent="0.25">
      <c r="A160">
        <v>158</v>
      </c>
      <c r="B160" t="s">
        <v>543</v>
      </c>
      <c r="C160" t="s">
        <v>544</v>
      </c>
      <c r="D160" t="s">
        <v>545</v>
      </c>
      <c r="E160" t="str" cm="1">
        <f t="array" ref="E160">_xlfn.TEXTSPLIT(
_xlfn.TEXTSPLIT(Team_Links[[#This Row],[GameLogs]],"https://www.sports-reference.com/cbb/schools/",,TRUE,0,), "/",,TRUE,0)</f>
        <v>maine</v>
      </c>
    </row>
    <row r="161" spans="1:5" x14ac:dyDescent="0.25">
      <c r="A161">
        <v>159</v>
      </c>
      <c r="B161" t="s">
        <v>546</v>
      </c>
      <c r="C161" t="s">
        <v>547</v>
      </c>
      <c r="D161" t="s">
        <v>548</v>
      </c>
      <c r="E161" t="str" cm="1">
        <f t="array" ref="E161">_xlfn.TEXTSPLIT(
_xlfn.TEXTSPLIT(Team_Links[[#This Row],[GameLogs]],"https://www.sports-reference.com/cbb/schools/",,TRUE,0,), "/",,TRUE,0)</f>
        <v>manhattan</v>
      </c>
    </row>
    <row r="162" spans="1:5" x14ac:dyDescent="0.25">
      <c r="A162">
        <v>160</v>
      </c>
      <c r="B162" t="s">
        <v>549</v>
      </c>
      <c r="C162" t="s">
        <v>550</v>
      </c>
      <c r="D162" t="s">
        <v>551</v>
      </c>
      <c r="E162" t="str" cm="1">
        <f t="array" ref="E162">_xlfn.TEXTSPLIT(
_xlfn.TEXTSPLIT(Team_Links[[#This Row],[GameLogs]],"https://www.sports-reference.com/cbb/schools/",,TRUE,0,), "/",,TRUE,0)</f>
        <v>marist</v>
      </c>
    </row>
    <row r="163" spans="1:5" x14ac:dyDescent="0.25">
      <c r="A163">
        <v>161</v>
      </c>
      <c r="B163" t="s">
        <v>121</v>
      </c>
      <c r="C163" t="s">
        <v>552</v>
      </c>
      <c r="D163" t="s">
        <v>553</v>
      </c>
      <c r="E163" t="str" cm="1">
        <f t="array" ref="E163">_xlfn.TEXTSPLIT(
_xlfn.TEXTSPLIT(Team_Links[[#This Row],[GameLogs]],"https://www.sports-reference.com/cbb/schools/",,TRUE,0,), "/",,TRUE,0)</f>
        <v>marquette</v>
      </c>
    </row>
    <row r="164" spans="1:5" x14ac:dyDescent="0.25">
      <c r="A164">
        <v>162</v>
      </c>
      <c r="B164" t="s">
        <v>554</v>
      </c>
      <c r="C164" t="s">
        <v>555</v>
      </c>
      <c r="D164" t="s">
        <v>556</v>
      </c>
      <c r="E164" t="str" cm="1">
        <f t="array" ref="E164">_xlfn.TEXTSPLIT(
_xlfn.TEXTSPLIT(Team_Links[[#This Row],[GameLogs]],"https://www.sports-reference.com/cbb/schools/",,TRUE,0,), "/",,TRUE,0)</f>
        <v>marshall</v>
      </c>
    </row>
    <row r="165" spans="1:5" x14ac:dyDescent="0.25">
      <c r="A165">
        <v>163</v>
      </c>
      <c r="B165" t="s">
        <v>107</v>
      </c>
      <c r="C165" t="s">
        <v>557</v>
      </c>
      <c r="D165" t="s">
        <v>558</v>
      </c>
      <c r="E165" t="str" cm="1">
        <f t="array" ref="E165">_xlfn.TEXTSPLIT(
_xlfn.TEXTSPLIT(Team_Links[[#This Row],[GameLogs]],"https://www.sports-reference.com/cbb/schools/",,TRUE,0,), "/",,TRUE,0)</f>
        <v>maryland</v>
      </c>
    </row>
    <row r="166" spans="1:5" x14ac:dyDescent="0.25">
      <c r="A166">
        <v>164</v>
      </c>
      <c r="B166" t="s">
        <v>559</v>
      </c>
      <c r="C166" t="s">
        <v>560</v>
      </c>
      <c r="D166" t="s">
        <v>561</v>
      </c>
      <c r="E166" t="str" cm="1">
        <f t="array" ref="E166">_xlfn.TEXTSPLIT(
_xlfn.TEXTSPLIT(Team_Links[[#This Row],[GameLogs]],"https://www.sports-reference.com/cbb/schools/",,TRUE,0,), "/",,TRUE,0)</f>
        <v>maryland-baltimore-county</v>
      </c>
    </row>
    <row r="167" spans="1:5" x14ac:dyDescent="0.25">
      <c r="A167">
        <v>165</v>
      </c>
      <c r="B167" t="s">
        <v>562</v>
      </c>
      <c r="C167" t="s">
        <v>563</v>
      </c>
      <c r="D167" t="s">
        <v>564</v>
      </c>
      <c r="E167" t="str" cm="1">
        <f t="array" ref="E167">_xlfn.TEXTSPLIT(
_xlfn.TEXTSPLIT(Team_Links[[#This Row],[GameLogs]],"https://www.sports-reference.com/cbb/schools/",,TRUE,0,), "/",,TRUE,0)</f>
        <v>maryland-eastern-shore</v>
      </c>
    </row>
    <row r="168" spans="1:5" x14ac:dyDescent="0.25">
      <c r="A168">
        <v>166</v>
      </c>
      <c r="B168" t="s">
        <v>565</v>
      </c>
      <c r="C168" t="s">
        <v>566</v>
      </c>
      <c r="D168" t="s">
        <v>567</v>
      </c>
      <c r="E168" t="str" cm="1">
        <f t="array" ref="E168">_xlfn.TEXTSPLIT(
_xlfn.TEXTSPLIT(Team_Links[[#This Row],[GameLogs]],"https://www.sports-reference.com/cbb/schools/",,TRUE,0,), "/",,TRUE,0)</f>
        <v>massachusetts</v>
      </c>
    </row>
    <row r="169" spans="1:5" x14ac:dyDescent="0.25">
      <c r="A169">
        <v>167</v>
      </c>
      <c r="B169" t="s">
        <v>568</v>
      </c>
      <c r="C169" t="s">
        <v>569</v>
      </c>
      <c r="D169" t="s">
        <v>570</v>
      </c>
      <c r="E169" t="str" cm="1">
        <f t="array" ref="E169">_xlfn.TEXTSPLIT(
_xlfn.TEXTSPLIT(Team_Links[[#This Row],[GameLogs]],"https://www.sports-reference.com/cbb/schools/",,TRUE,0,), "/",,TRUE,0)</f>
        <v>massachusetts-lowell</v>
      </c>
    </row>
    <row r="170" spans="1:5" x14ac:dyDescent="0.25">
      <c r="A170">
        <v>168</v>
      </c>
      <c r="B170" t="s">
        <v>571</v>
      </c>
      <c r="C170" t="s">
        <v>572</v>
      </c>
      <c r="D170" t="s">
        <v>573</v>
      </c>
      <c r="E170" t="str" cm="1">
        <f t="array" ref="E170">_xlfn.TEXTSPLIT(
_xlfn.TEXTSPLIT(Team_Links[[#This Row],[GameLogs]],"https://www.sports-reference.com/cbb/schools/",,TRUE,0,), "/",,TRUE,0)</f>
        <v>mcneese-state</v>
      </c>
    </row>
    <row r="171" spans="1:5" x14ac:dyDescent="0.25">
      <c r="A171">
        <v>169</v>
      </c>
      <c r="B171" t="s">
        <v>108</v>
      </c>
      <c r="C171" t="s">
        <v>574</v>
      </c>
      <c r="D171" t="s">
        <v>575</v>
      </c>
      <c r="E171" t="str" cm="1">
        <f t="array" ref="E171">_xlfn.TEXTSPLIT(
_xlfn.TEXTSPLIT(Team_Links[[#This Row],[GameLogs]],"https://www.sports-reference.com/cbb/schools/",,TRUE,0,), "/",,TRUE,0)</f>
        <v>memphis</v>
      </c>
    </row>
    <row r="172" spans="1:5" x14ac:dyDescent="0.25">
      <c r="A172">
        <v>170</v>
      </c>
      <c r="B172" t="s">
        <v>576</v>
      </c>
      <c r="C172" t="s">
        <v>577</v>
      </c>
      <c r="D172" t="s">
        <v>578</v>
      </c>
      <c r="E172" t="str" cm="1">
        <f t="array" ref="E172">_xlfn.TEXTSPLIT(
_xlfn.TEXTSPLIT(Team_Links[[#This Row],[GameLogs]],"https://www.sports-reference.com/cbb/schools/",,TRUE,0,), "/",,TRUE,0)</f>
        <v>mercer</v>
      </c>
    </row>
    <row r="173" spans="1:5" x14ac:dyDescent="0.25">
      <c r="A173">
        <v>171</v>
      </c>
      <c r="B173" t="s">
        <v>579</v>
      </c>
      <c r="C173" t="s">
        <v>580</v>
      </c>
      <c r="D173" t="s">
        <v>581</v>
      </c>
      <c r="E173" t="str" cm="1">
        <f t="array" ref="E173">_xlfn.TEXTSPLIT(
_xlfn.TEXTSPLIT(Team_Links[[#This Row],[GameLogs]],"https://www.sports-reference.com/cbb/schools/",,TRUE,0,), "/",,TRUE,0)</f>
        <v>mercyhurst</v>
      </c>
    </row>
    <row r="174" spans="1:5" x14ac:dyDescent="0.25">
      <c r="A174">
        <v>172</v>
      </c>
      <c r="B174" t="s">
        <v>582</v>
      </c>
      <c r="C174" t="s">
        <v>583</v>
      </c>
      <c r="D174" t="s">
        <v>584</v>
      </c>
      <c r="E174" t="str" cm="1">
        <f t="array" ref="E174">_xlfn.TEXTSPLIT(
_xlfn.TEXTSPLIT(Team_Links[[#This Row],[GameLogs]],"https://www.sports-reference.com/cbb/schools/",,TRUE,0,), "/",,TRUE,0)</f>
        <v>merrimack</v>
      </c>
    </row>
    <row r="175" spans="1:5" x14ac:dyDescent="0.25">
      <c r="A175">
        <v>173</v>
      </c>
      <c r="B175" t="s">
        <v>585</v>
      </c>
      <c r="C175" t="s">
        <v>586</v>
      </c>
      <c r="D175" t="s">
        <v>587</v>
      </c>
      <c r="E175" t="str" cm="1">
        <f t="array" ref="E175">_xlfn.TEXTSPLIT(
_xlfn.TEXTSPLIT(Team_Links[[#This Row],[GameLogs]],"https://www.sports-reference.com/cbb/schools/",,TRUE,0,), "/",,TRUE,0)</f>
        <v>miami-fl</v>
      </c>
    </row>
    <row r="176" spans="1:5" x14ac:dyDescent="0.25">
      <c r="A176">
        <v>174</v>
      </c>
      <c r="B176" t="s">
        <v>588</v>
      </c>
      <c r="C176" t="s">
        <v>589</v>
      </c>
      <c r="D176" t="s">
        <v>590</v>
      </c>
      <c r="E176" t="str" cm="1">
        <f t="array" ref="E176">_xlfn.TEXTSPLIT(
_xlfn.TEXTSPLIT(Team_Links[[#This Row],[GameLogs]],"https://www.sports-reference.com/cbb/schools/",,TRUE,0,), "/",,TRUE,0)</f>
        <v>miami-oh</v>
      </c>
    </row>
    <row r="177" spans="1:5" x14ac:dyDescent="0.25">
      <c r="A177">
        <v>175</v>
      </c>
      <c r="B177" t="s">
        <v>120</v>
      </c>
      <c r="C177" t="s">
        <v>591</v>
      </c>
      <c r="D177" t="s">
        <v>592</v>
      </c>
      <c r="E177" t="str" cm="1">
        <f t="array" ref="E177">_xlfn.TEXTSPLIT(
_xlfn.TEXTSPLIT(Team_Links[[#This Row],[GameLogs]],"https://www.sports-reference.com/cbb/schools/",,TRUE,0,), "/",,TRUE,0)</f>
        <v>michigan</v>
      </c>
    </row>
    <row r="178" spans="1:5" x14ac:dyDescent="0.25">
      <c r="A178">
        <v>176</v>
      </c>
      <c r="B178" t="s">
        <v>117</v>
      </c>
      <c r="C178" t="s">
        <v>593</v>
      </c>
      <c r="D178" t="s">
        <v>594</v>
      </c>
      <c r="E178" t="str" cm="1">
        <f t="array" ref="E178">_xlfn.TEXTSPLIT(
_xlfn.TEXTSPLIT(Team_Links[[#This Row],[GameLogs]],"https://www.sports-reference.com/cbb/schools/",,TRUE,0,), "/",,TRUE,0)</f>
        <v>michigan-state</v>
      </c>
    </row>
    <row r="179" spans="1:5" x14ac:dyDescent="0.25">
      <c r="A179">
        <v>177</v>
      </c>
      <c r="B179" t="s">
        <v>595</v>
      </c>
      <c r="C179" t="s">
        <v>596</v>
      </c>
      <c r="D179" t="s">
        <v>597</v>
      </c>
      <c r="E179" t="str" cm="1">
        <f t="array" ref="E179">_xlfn.TEXTSPLIT(
_xlfn.TEXTSPLIT(Team_Links[[#This Row],[GameLogs]],"https://www.sports-reference.com/cbb/schools/",,TRUE,0,), "/",,TRUE,0)</f>
        <v>middle-tennessee</v>
      </c>
    </row>
    <row r="180" spans="1:5" x14ac:dyDescent="0.25">
      <c r="A180">
        <v>178</v>
      </c>
      <c r="B180" t="s">
        <v>598</v>
      </c>
      <c r="C180" t="s">
        <v>599</v>
      </c>
      <c r="D180" t="s">
        <v>600</v>
      </c>
      <c r="E180" t="str" cm="1">
        <f t="array" ref="E180">_xlfn.TEXTSPLIT(
_xlfn.TEXTSPLIT(Team_Links[[#This Row],[GameLogs]],"https://www.sports-reference.com/cbb/schools/",,TRUE,0,), "/",,TRUE,0)</f>
        <v>milwaukee</v>
      </c>
    </row>
    <row r="181" spans="1:5" x14ac:dyDescent="0.25">
      <c r="A181">
        <v>179</v>
      </c>
      <c r="B181" t="s">
        <v>601</v>
      </c>
      <c r="C181" t="s">
        <v>602</v>
      </c>
      <c r="D181" t="s">
        <v>603</v>
      </c>
      <c r="E181" t="str" cm="1">
        <f t="array" ref="E181">_xlfn.TEXTSPLIT(
_xlfn.TEXTSPLIT(Team_Links[[#This Row],[GameLogs]],"https://www.sports-reference.com/cbb/schools/",,TRUE,0,), "/",,TRUE,0)</f>
        <v>minnesota</v>
      </c>
    </row>
    <row r="182" spans="1:5" x14ac:dyDescent="0.25">
      <c r="A182">
        <v>180</v>
      </c>
      <c r="B182" t="s">
        <v>604</v>
      </c>
      <c r="C182" t="s">
        <v>605</v>
      </c>
      <c r="D182" t="s">
        <v>606</v>
      </c>
      <c r="E182" t="str" cm="1">
        <f t="array" ref="E182">_xlfn.TEXTSPLIT(
_xlfn.TEXTSPLIT(Team_Links[[#This Row],[GameLogs]],"https://www.sports-reference.com/cbb/schools/",,TRUE,0,), "/",,TRUE,0)</f>
        <v>mississippi</v>
      </c>
    </row>
    <row r="183" spans="1:5" x14ac:dyDescent="0.25">
      <c r="A183">
        <v>181</v>
      </c>
      <c r="B183" t="s">
        <v>98</v>
      </c>
      <c r="C183" t="s">
        <v>607</v>
      </c>
      <c r="D183" t="s">
        <v>608</v>
      </c>
      <c r="E183" t="str" cm="1">
        <f t="array" ref="E183">_xlfn.TEXTSPLIT(
_xlfn.TEXTSPLIT(Team_Links[[#This Row],[GameLogs]],"https://www.sports-reference.com/cbb/schools/",,TRUE,0,), "/",,TRUE,0)</f>
        <v>mississippi-state</v>
      </c>
    </row>
    <row r="184" spans="1:5" x14ac:dyDescent="0.25">
      <c r="A184">
        <v>182</v>
      </c>
      <c r="B184" t="s">
        <v>609</v>
      </c>
      <c r="C184" t="s">
        <v>610</v>
      </c>
      <c r="D184" t="s">
        <v>611</v>
      </c>
      <c r="E184" t="str" cm="1">
        <f t="array" ref="E184">_xlfn.TEXTSPLIT(
_xlfn.TEXTSPLIT(Team_Links[[#This Row],[GameLogs]],"https://www.sports-reference.com/cbb/schools/",,TRUE,0,), "/",,TRUE,0)</f>
        <v>mississippi-valley-state</v>
      </c>
    </row>
    <row r="185" spans="1:5" x14ac:dyDescent="0.25">
      <c r="A185">
        <v>183</v>
      </c>
      <c r="B185" t="s">
        <v>109</v>
      </c>
      <c r="C185" s="220" t="s">
        <v>612</v>
      </c>
      <c r="D185" t="s">
        <v>613</v>
      </c>
      <c r="E185" t="str" cm="1">
        <f t="array" ref="E185">_xlfn.TEXTSPLIT(
_xlfn.TEXTSPLIT(Team_Links[[#This Row],[GameLogs]],"https://www.sports-reference.com/cbb/schools/",,TRUE,0,), "/",,TRUE,0)</f>
        <v>missouri</v>
      </c>
    </row>
    <row r="186" spans="1:5" x14ac:dyDescent="0.25">
      <c r="A186">
        <v>184</v>
      </c>
      <c r="B186" t="s">
        <v>614</v>
      </c>
      <c r="C186" t="s">
        <v>615</v>
      </c>
      <c r="D186" t="s">
        <v>616</v>
      </c>
      <c r="E186" t="str" cm="1">
        <f t="array" ref="E186">_xlfn.TEXTSPLIT(
_xlfn.TEXTSPLIT(Team_Links[[#This Row],[GameLogs]],"https://www.sports-reference.com/cbb/schools/",,TRUE,0,), "/",,TRUE,0)</f>
        <v>missouri-state</v>
      </c>
    </row>
    <row r="187" spans="1:5" x14ac:dyDescent="0.25">
      <c r="A187">
        <v>185</v>
      </c>
      <c r="B187" t="s">
        <v>617</v>
      </c>
      <c r="C187" t="s">
        <v>618</v>
      </c>
      <c r="D187" t="s">
        <v>619</v>
      </c>
      <c r="E187" t="str" cm="1">
        <f t="array" ref="E187">_xlfn.TEXTSPLIT(
_xlfn.TEXTSPLIT(Team_Links[[#This Row],[GameLogs]],"https://www.sports-reference.com/cbb/schools/",,TRUE,0,), "/",,TRUE,0)</f>
        <v>monmouth</v>
      </c>
    </row>
    <row r="188" spans="1:5" x14ac:dyDescent="0.25">
      <c r="A188">
        <v>186</v>
      </c>
      <c r="B188" t="s">
        <v>101</v>
      </c>
      <c r="C188" t="s">
        <v>620</v>
      </c>
      <c r="D188" t="s">
        <v>621</v>
      </c>
      <c r="E188" t="str" cm="1">
        <f t="array" ref="E188">_xlfn.TEXTSPLIT(
_xlfn.TEXTSPLIT(Team_Links[[#This Row],[GameLogs]],"https://www.sports-reference.com/cbb/schools/",,TRUE,0,), "/",,TRUE,0)</f>
        <v>montana</v>
      </c>
    </row>
    <row r="189" spans="1:5" x14ac:dyDescent="0.25">
      <c r="A189">
        <v>187</v>
      </c>
      <c r="B189" t="s">
        <v>622</v>
      </c>
      <c r="C189" t="s">
        <v>623</v>
      </c>
      <c r="D189" t="s">
        <v>624</v>
      </c>
      <c r="E189" t="str" cm="1">
        <f t="array" ref="E189">_xlfn.TEXTSPLIT(
_xlfn.TEXTSPLIT(Team_Links[[#This Row],[GameLogs]],"https://www.sports-reference.com/cbb/schools/",,TRUE,0,), "/",,TRUE,0)</f>
        <v>montana-state</v>
      </c>
    </row>
    <row r="190" spans="1:5" x14ac:dyDescent="0.25">
      <c r="A190">
        <v>188</v>
      </c>
      <c r="B190" t="s">
        <v>625</v>
      </c>
      <c r="C190" t="s">
        <v>626</v>
      </c>
      <c r="D190" t="s">
        <v>627</v>
      </c>
      <c r="E190" t="str" cm="1">
        <f t="array" ref="E190">_xlfn.TEXTSPLIT(
_xlfn.TEXTSPLIT(Team_Links[[#This Row],[GameLogs]],"https://www.sports-reference.com/cbb/schools/",,TRUE,0,), "/",,TRUE,0)</f>
        <v>morehead-state</v>
      </c>
    </row>
    <row r="191" spans="1:5" x14ac:dyDescent="0.25">
      <c r="A191">
        <v>189</v>
      </c>
      <c r="B191" t="s">
        <v>628</v>
      </c>
      <c r="C191" t="s">
        <v>629</v>
      </c>
      <c r="D191" t="s">
        <v>630</v>
      </c>
      <c r="E191" t="str" cm="1">
        <f t="array" ref="E191">_xlfn.TEXTSPLIT(
_xlfn.TEXTSPLIT(Team_Links[[#This Row],[GameLogs]],"https://www.sports-reference.com/cbb/schools/",,TRUE,0,), "/",,TRUE,0)</f>
        <v>morgan-state</v>
      </c>
    </row>
    <row r="192" spans="1:5" x14ac:dyDescent="0.25">
      <c r="A192">
        <v>190</v>
      </c>
      <c r="B192" t="s">
        <v>104</v>
      </c>
      <c r="C192" t="s">
        <v>631</v>
      </c>
      <c r="D192" t="s">
        <v>632</v>
      </c>
      <c r="E192" t="str" cm="1">
        <f t="array" ref="E192">_xlfn.TEXTSPLIT(
_xlfn.TEXTSPLIT(Team_Links[[#This Row],[GameLogs]],"https://www.sports-reference.com/cbb/schools/",,TRUE,0,), "/",,TRUE,0)</f>
        <v>mount-st-marys</v>
      </c>
    </row>
    <row r="193" spans="1:5" x14ac:dyDescent="0.25">
      <c r="A193">
        <v>191</v>
      </c>
      <c r="B193" t="s">
        <v>633</v>
      </c>
      <c r="C193" t="s">
        <v>634</v>
      </c>
      <c r="D193" t="s">
        <v>635</v>
      </c>
      <c r="E193" t="str" cm="1">
        <f t="array" ref="E193">_xlfn.TEXTSPLIT(
_xlfn.TEXTSPLIT(Team_Links[[#This Row],[GameLogs]],"https://www.sports-reference.com/cbb/schools/",,TRUE,0,), "/",,TRUE,0)</f>
        <v>murray-state</v>
      </c>
    </row>
    <row r="194" spans="1:5" x14ac:dyDescent="0.25">
      <c r="A194">
        <v>192</v>
      </c>
      <c r="B194" t="s">
        <v>636</v>
      </c>
      <c r="C194" t="s">
        <v>637</v>
      </c>
      <c r="D194" t="s">
        <v>638</v>
      </c>
      <c r="E194" t="str" cm="1">
        <f t="array" ref="E194">_xlfn.TEXTSPLIT(
_xlfn.TEXTSPLIT(Team_Links[[#This Row],[GameLogs]],"https://www.sports-reference.com/cbb/schools/",,TRUE,0,), "/",,TRUE,0)</f>
        <v>navy</v>
      </c>
    </row>
    <row r="195" spans="1:5" x14ac:dyDescent="0.25">
      <c r="A195">
        <v>193</v>
      </c>
      <c r="B195" t="s">
        <v>639</v>
      </c>
      <c r="C195" t="s">
        <v>640</v>
      </c>
      <c r="D195" t="s">
        <v>641</v>
      </c>
      <c r="E195" t="str" cm="1">
        <f t="array" ref="E195">_xlfn.TEXTSPLIT(
_xlfn.TEXTSPLIT(Team_Links[[#This Row],[GameLogs]],"https://www.sports-reference.com/cbb/schools/",,TRUE,0,), "/",,TRUE,0)</f>
        <v>north-carolina-state</v>
      </c>
    </row>
    <row r="196" spans="1:5" x14ac:dyDescent="0.25">
      <c r="A196">
        <v>194</v>
      </c>
      <c r="B196" t="s">
        <v>642</v>
      </c>
      <c r="C196" t="s">
        <v>643</v>
      </c>
      <c r="D196" t="s">
        <v>644</v>
      </c>
      <c r="E196" t="str" cm="1">
        <f t="array" ref="E196">_xlfn.TEXTSPLIT(
_xlfn.TEXTSPLIT(Team_Links[[#This Row],[GameLogs]],"https://www.sports-reference.com/cbb/schools/",,TRUE,0,), "/",,TRUE,0)</f>
        <v>nebraska</v>
      </c>
    </row>
    <row r="197" spans="1:5" x14ac:dyDescent="0.25">
      <c r="A197">
        <v>195</v>
      </c>
      <c r="B197" t="s">
        <v>645</v>
      </c>
      <c r="C197" t="s">
        <v>646</v>
      </c>
      <c r="D197" t="s">
        <v>647</v>
      </c>
      <c r="E197" t="str" cm="1">
        <f t="array" ref="E197">_xlfn.TEXTSPLIT(
_xlfn.TEXTSPLIT(Team_Links[[#This Row],[GameLogs]],"https://www.sports-reference.com/cbb/schools/",,TRUE,0,), "/",,TRUE,0)</f>
        <v>nevada</v>
      </c>
    </row>
    <row r="198" spans="1:5" x14ac:dyDescent="0.25">
      <c r="A198">
        <v>196</v>
      </c>
      <c r="B198" t="s">
        <v>648</v>
      </c>
      <c r="C198" t="s">
        <v>649</v>
      </c>
      <c r="D198" t="s">
        <v>650</v>
      </c>
      <c r="E198" t="str" cm="1">
        <f t="array" ref="E198">_xlfn.TEXTSPLIT(
_xlfn.TEXTSPLIT(Team_Links[[#This Row],[GameLogs]],"https://www.sports-reference.com/cbb/schools/",,TRUE,0,), "/",,TRUE,0)</f>
        <v>nevada-las-vegas</v>
      </c>
    </row>
    <row r="199" spans="1:5" x14ac:dyDescent="0.25">
      <c r="A199">
        <v>197</v>
      </c>
      <c r="B199" t="s">
        <v>651</v>
      </c>
      <c r="C199" t="s">
        <v>652</v>
      </c>
      <c r="D199" t="s">
        <v>653</v>
      </c>
      <c r="E199" t="str" cm="1">
        <f t="array" ref="E199">_xlfn.TEXTSPLIT(
_xlfn.TEXTSPLIT(Team_Links[[#This Row],[GameLogs]],"https://www.sports-reference.com/cbb/schools/",,TRUE,0,), "/",,TRUE,0)</f>
        <v>new-hampshire</v>
      </c>
    </row>
    <row r="200" spans="1:5" x14ac:dyDescent="0.25">
      <c r="A200">
        <v>198</v>
      </c>
      <c r="B200" t="s">
        <v>654</v>
      </c>
      <c r="C200" t="s">
        <v>655</v>
      </c>
      <c r="D200" t="s">
        <v>656</v>
      </c>
      <c r="E200" t="str" cm="1">
        <f t="array" ref="E200">_xlfn.TEXTSPLIT(
_xlfn.TEXTSPLIT(Team_Links[[#This Row],[GameLogs]],"https://www.sports-reference.com/cbb/schools/",,TRUE,0,), "/",,TRUE,0)</f>
        <v>new-haven</v>
      </c>
    </row>
    <row r="201" spans="1:5" x14ac:dyDescent="0.25">
      <c r="A201">
        <v>199</v>
      </c>
      <c r="B201" t="s">
        <v>123</v>
      </c>
      <c r="C201" t="s">
        <v>657</v>
      </c>
      <c r="D201" t="s">
        <v>658</v>
      </c>
      <c r="E201" t="str" cm="1">
        <f t="array" ref="E201">_xlfn.TEXTSPLIT(
_xlfn.TEXTSPLIT(Team_Links[[#This Row],[GameLogs]],"https://www.sports-reference.com/cbb/schools/",,TRUE,0,), "/",,TRUE,0)</f>
        <v>new-mexico</v>
      </c>
    </row>
    <row r="202" spans="1:5" x14ac:dyDescent="0.25">
      <c r="A202">
        <v>200</v>
      </c>
      <c r="B202" t="s">
        <v>659</v>
      </c>
      <c r="C202" t="s">
        <v>660</v>
      </c>
      <c r="D202" t="s">
        <v>661</v>
      </c>
      <c r="E202" t="str" cm="1">
        <f t="array" ref="E202">_xlfn.TEXTSPLIT(
_xlfn.TEXTSPLIT(Team_Links[[#This Row],[GameLogs]],"https://www.sports-reference.com/cbb/schools/",,TRUE,0,), "/",,TRUE,0)</f>
        <v>new-mexico-state</v>
      </c>
    </row>
    <row r="203" spans="1:5" x14ac:dyDescent="0.25">
      <c r="A203">
        <v>201</v>
      </c>
      <c r="B203" t="s">
        <v>662</v>
      </c>
      <c r="C203" t="s">
        <v>663</v>
      </c>
      <c r="D203" t="s">
        <v>664</v>
      </c>
      <c r="E203" t="str" cm="1">
        <f t="array" ref="E203">_xlfn.TEXTSPLIT(
_xlfn.TEXTSPLIT(Team_Links[[#This Row],[GameLogs]],"https://www.sports-reference.com/cbb/schools/",,TRUE,0,), "/",,TRUE,0)</f>
        <v>new-orleans</v>
      </c>
    </row>
    <row r="204" spans="1:5" x14ac:dyDescent="0.25">
      <c r="A204">
        <v>202</v>
      </c>
      <c r="B204" t="s">
        <v>665</v>
      </c>
      <c r="C204" t="s">
        <v>666</v>
      </c>
      <c r="D204" t="s">
        <v>667</v>
      </c>
      <c r="E204" t="str" cm="1">
        <f t="array" ref="E204">_xlfn.TEXTSPLIT(
_xlfn.TEXTSPLIT(Team_Links[[#This Row],[GameLogs]],"https://www.sports-reference.com/cbb/schools/",,TRUE,0,), "/",,TRUE,0)</f>
        <v>niagara</v>
      </c>
    </row>
    <row r="205" spans="1:5" x14ac:dyDescent="0.25">
      <c r="A205">
        <v>203</v>
      </c>
      <c r="B205" t="s">
        <v>668</v>
      </c>
      <c r="C205" t="s">
        <v>669</v>
      </c>
      <c r="D205" t="s">
        <v>670</v>
      </c>
      <c r="E205" t="str" cm="1">
        <f t="array" ref="E205">_xlfn.TEXTSPLIT(
_xlfn.TEXTSPLIT(Team_Links[[#This Row],[GameLogs]],"https://www.sports-reference.com/cbb/schools/",,TRUE,0,), "/",,TRUE,0)</f>
        <v>nicholls-state</v>
      </c>
    </row>
    <row r="206" spans="1:5" x14ac:dyDescent="0.25">
      <c r="A206">
        <v>204</v>
      </c>
      <c r="B206" t="s">
        <v>671</v>
      </c>
      <c r="C206" t="s">
        <v>672</v>
      </c>
      <c r="D206" t="s">
        <v>673</v>
      </c>
      <c r="E206" t="str" cm="1">
        <f t="array" ref="E206">_xlfn.TEXTSPLIT(
_xlfn.TEXTSPLIT(Team_Links[[#This Row],[GameLogs]],"https://www.sports-reference.com/cbb/schools/",,TRUE,0,), "/",,TRUE,0)</f>
        <v>njit</v>
      </c>
    </row>
    <row r="207" spans="1:5" x14ac:dyDescent="0.25">
      <c r="A207">
        <v>205</v>
      </c>
      <c r="B207" t="s">
        <v>116</v>
      </c>
      <c r="C207" t="s">
        <v>674</v>
      </c>
      <c r="D207" t="s">
        <v>675</v>
      </c>
      <c r="E207" t="str" cm="1">
        <f t="array" ref="E207">_xlfn.TEXTSPLIT(
_xlfn.TEXTSPLIT(Team_Links[[#This Row],[GameLogs]],"https://www.sports-reference.com/cbb/schools/",,TRUE,0,), "/",,TRUE,0)</f>
        <v>norfolk-state</v>
      </c>
    </row>
    <row r="208" spans="1:5" x14ac:dyDescent="0.25">
      <c r="A208">
        <v>206</v>
      </c>
      <c r="B208" t="s">
        <v>676</v>
      </c>
      <c r="C208" t="s">
        <v>677</v>
      </c>
      <c r="D208" t="s">
        <v>678</v>
      </c>
      <c r="E208" t="str" cm="1">
        <f t="array" ref="E208">_xlfn.TEXTSPLIT(
_xlfn.TEXTSPLIT(Team_Links[[#This Row],[GameLogs]],"https://www.sports-reference.com/cbb/schools/",,TRUE,0,), "/",,TRUE,0)</f>
        <v>north-alabama</v>
      </c>
    </row>
    <row r="209" spans="1:5" x14ac:dyDescent="0.25">
      <c r="A209">
        <v>207</v>
      </c>
      <c r="B209" t="s">
        <v>125</v>
      </c>
      <c r="C209" t="s">
        <v>679</v>
      </c>
      <c r="D209" t="s">
        <v>680</v>
      </c>
      <c r="E209" t="str" cm="1">
        <f t="array" ref="E209">_xlfn.TEXTSPLIT(
_xlfn.TEXTSPLIT(Team_Links[[#This Row],[GameLogs]],"https://www.sports-reference.com/cbb/schools/",,TRUE,0,), "/",,TRUE,0)</f>
        <v>north-carolina</v>
      </c>
    </row>
    <row r="210" spans="1:5" x14ac:dyDescent="0.25">
      <c r="A210">
        <v>208</v>
      </c>
      <c r="B210" t="s">
        <v>681</v>
      </c>
      <c r="C210" t="s">
        <v>682</v>
      </c>
      <c r="D210" t="s">
        <v>683</v>
      </c>
      <c r="E210" t="str" cm="1">
        <f t="array" ref="E210">_xlfn.TEXTSPLIT(
_xlfn.TEXTSPLIT(Team_Links[[#This Row],[GameLogs]],"https://www.sports-reference.com/cbb/schools/",,TRUE,0,), "/",,TRUE,0)</f>
        <v>north-carolina-at</v>
      </c>
    </row>
    <row r="211" spans="1:5" x14ac:dyDescent="0.25">
      <c r="A211">
        <v>209</v>
      </c>
      <c r="B211" t="s">
        <v>684</v>
      </c>
      <c r="C211" t="s">
        <v>685</v>
      </c>
      <c r="D211" t="s">
        <v>686</v>
      </c>
      <c r="E211" t="str" cm="1">
        <f t="array" ref="E211">_xlfn.TEXTSPLIT(
_xlfn.TEXTSPLIT(Team_Links[[#This Row],[GameLogs]],"https://www.sports-reference.com/cbb/schools/",,TRUE,0,), "/",,TRUE,0)</f>
        <v>north-carolina-central</v>
      </c>
    </row>
    <row r="212" spans="1:5" x14ac:dyDescent="0.25">
      <c r="A212">
        <v>210</v>
      </c>
      <c r="B212" t="s">
        <v>687</v>
      </c>
      <c r="C212" t="s">
        <v>688</v>
      </c>
      <c r="D212" t="s">
        <v>689</v>
      </c>
      <c r="E212" t="str" cm="1">
        <f t="array" ref="E212">_xlfn.TEXTSPLIT(
_xlfn.TEXTSPLIT(Team_Links[[#This Row],[GameLogs]],"https://www.sports-reference.com/cbb/schools/",,TRUE,0,), "/",,TRUE,0)</f>
        <v>north-dakota</v>
      </c>
    </row>
    <row r="213" spans="1:5" x14ac:dyDescent="0.25">
      <c r="A213">
        <v>211</v>
      </c>
      <c r="B213" t="s">
        <v>690</v>
      </c>
      <c r="C213" t="s">
        <v>691</v>
      </c>
      <c r="D213" t="s">
        <v>692</v>
      </c>
      <c r="E213" t="str" cm="1">
        <f t="array" ref="E213">_xlfn.TEXTSPLIT(
_xlfn.TEXTSPLIT(Team_Links[[#This Row],[GameLogs]],"https://www.sports-reference.com/cbb/schools/",,TRUE,0,), "/",,TRUE,0)</f>
        <v>north-dakota-state</v>
      </c>
    </row>
    <row r="214" spans="1:5" x14ac:dyDescent="0.25">
      <c r="A214">
        <v>212</v>
      </c>
      <c r="B214" t="s">
        <v>693</v>
      </c>
      <c r="C214" t="s">
        <v>694</v>
      </c>
      <c r="D214" t="s">
        <v>695</v>
      </c>
      <c r="E214" t="str" cm="1">
        <f t="array" ref="E214">_xlfn.TEXTSPLIT(
_xlfn.TEXTSPLIT(Team_Links[[#This Row],[GameLogs]],"https://www.sports-reference.com/cbb/schools/",,TRUE,0,), "/",,TRUE,0)</f>
        <v>north-florida</v>
      </c>
    </row>
    <row r="215" spans="1:5" x14ac:dyDescent="0.25">
      <c r="A215">
        <v>213</v>
      </c>
      <c r="B215" t="s">
        <v>696</v>
      </c>
      <c r="C215" t="s">
        <v>697</v>
      </c>
      <c r="D215" t="s">
        <v>698</v>
      </c>
      <c r="E215" t="str" cm="1">
        <f t="array" ref="E215">_xlfn.TEXTSPLIT(
_xlfn.TEXTSPLIT(Team_Links[[#This Row],[GameLogs]],"https://www.sports-reference.com/cbb/schools/",,TRUE,0,), "/",,TRUE,0)</f>
        <v>north-texas</v>
      </c>
    </row>
    <row r="216" spans="1:5" x14ac:dyDescent="0.25">
      <c r="A216">
        <v>214</v>
      </c>
      <c r="B216" t="s">
        <v>699</v>
      </c>
      <c r="C216" t="s">
        <v>700</v>
      </c>
      <c r="D216" t="s">
        <v>701</v>
      </c>
      <c r="E216" t="str" cm="1">
        <f t="array" ref="E216">_xlfn.TEXTSPLIT(
_xlfn.TEXTSPLIT(Team_Links[[#This Row],[GameLogs]],"https://www.sports-reference.com/cbb/schools/",,TRUE,0,), "/",,TRUE,0)</f>
        <v>northeastern</v>
      </c>
    </row>
    <row r="217" spans="1:5" x14ac:dyDescent="0.25">
      <c r="A217">
        <v>215</v>
      </c>
      <c r="B217" t="s">
        <v>702</v>
      </c>
      <c r="C217" t="s">
        <v>703</v>
      </c>
      <c r="D217" t="s">
        <v>704</v>
      </c>
      <c r="E217" t="str" cm="1">
        <f t="array" ref="E217">_xlfn.TEXTSPLIT(
_xlfn.TEXTSPLIT(Team_Links[[#This Row],[GameLogs]],"https://www.sports-reference.com/cbb/schools/",,TRUE,0,), "/",,TRUE,0)</f>
        <v>northern-arizona</v>
      </c>
    </row>
    <row r="218" spans="1:5" x14ac:dyDescent="0.25">
      <c r="A218">
        <v>216</v>
      </c>
      <c r="B218" t="s">
        <v>705</v>
      </c>
      <c r="C218" t="s">
        <v>706</v>
      </c>
      <c r="D218" t="s">
        <v>707</v>
      </c>
      <c r="E218" t="str" cm="1">
        <f t="array" ref="E218">_xlfn.TEXTSPLIT(
_xlfn.TEXTSPLIT(Team_Links[[#This Row],[GameLogs]],"https://www.sports-reference.com/cbb/schools/",,TRUE,0,), "/",,TRUE,0)</f>
        <v>northern-colorado</v>
      </c>
    </row>
    <row r="219" spans="1:5" x14ac:dyDescent="0.25">
      <c r="A219">
        <v>217</v>
      </c>
      <c r="B219" t="s">
        <v>708</v>
      </c>
      <c r="C219" t="s">
        <v>709</v>
      </c>
      <c r="D219" t="s">
        <v>710</v>
      </c>
      <c r="E219" t="str" cm="1">
        <f t="array" ref="E219">_xlfn.TEXTSPLIT(
_xlfn.TEXTSPLIT(Team_Links[[#This Row],[GameLogs]],"https://www.sports-reference.com/cbb/schools/",,TRUE,0,), "/",,TRUE,0)</f>
        <v>northern-illinois</v>
      </c>
    </row>
    <row r="220" spans="1:5" x14ac:dyDescent="0.25">
      <c r="A220">
        <v>218</v>
      </c>
      <c r="B220" t="s">
        <v>711</v>
      </c>
      <c r="C220" t="s">
        <v>712</v>
      </c>
      <c r="D220" t="s">
        <v>713</v>
      </c>
      <c r="E220" t="str" cm="1">
        <f t="array" ref="E220">_xlfn.TEXTSPLIT(
_xlfn.TEXTSPLIT(Team_Links[[#This Row],[GameLogs]],"https://www.sports-reference.com/cbb/schools/",,TRUE,0,), "/",,TRUE,0)</f>
        <v>northern-iowa</v>
      </c>
    </row>
    <row r="221" spans="1:5" x14ac:dyDescent="0.25">
      <c r="A221">
        <v>219</v>
      </c>
      <c r="B221" t="s">
        <v>714</v>
      </c>
      <c r="C221" t="s">
        <v>715</v>
      </c>
      <c r="D221" t="s">
        <v>716</v>
      </c>
      <c r="E221" t="str" cm="1">
        <f t="array" ref="E221">_xlfn.TEXTSPLIT(
_xlfn.TEXTSPLIT(Team_Links[[#This Row],[GameLogs]],"https://www.sports-reference.com/cbb/schools/",,TRUE,0,), "/",,TRUE,0)</f>
        <v>northern-kentucky</v>
      </c>
    </row>
    <row r="222" spans="1:5" x14ac:dyDescent="0.25">
      <c r="A222">
        <v>220</v>
      </c>
      <c r="B222" t="s">
        <v>717</v>
      </c>
      <c r="C222" t="s">
        <v>718</v>
      </c>
      <c r="D222" t="s">
        <v>719</v>
      </c>
      <c r="E222" t="str" cm="1">
        <f t="array" ref="E222">_xlfn.TEXTSPLIT(
_xlfn.TEXTSPLIT(Team_Links[[#This Row],[GameLogs]],"https://www.sports-reference.com/cbb/schools/",,TRUE,0,), "/",,TRUE,0)</f>
        <v>northwestern</v>
      </c>
    </row>
    <row r="223" spans="1:5" x14ac:dyDescent="0.25">
      <c r="A223">
        <v>221</v>
      </c>
      <c r="B223" t="s">
        <v>720</v>
      </c>
      <c r="C223" t="s">
        <v>721</v>
      </c>
      <c r="D223" t="s">
        <v>722</v>
      </c>
      <c r="E223" t="str" cm="1">
        <f t="array" ref="E223">_xlfn.TEXTSPLIT(
_xlfn.TEXTSPLIT(Team_Links[[#This Row],[GameLogs]],"https://www.sports-reference.com/cbb/schools/",,TRUE,0,), "/",,TRUE,0)</f>
        <v>northwestern-state</v>
      </c>
    </row>
    <row r="224" spans="1:5" x14ac:dyDescent="0.25">
      <c r="A224">
        <v>222</v>
      </c>
      <c r="B224" t="s">
        <v>723</v>
      </c>
      <c r="C224" t="s">
        <v>724</v>
      </c>
      <c r="D224" t="s">
        <v>725</v>
      </c>
      <c r="E224" t="str" cm="1">
        <f t="array" ref="E224">_xlfn.TEXTSPLIT(
_xlfn.TEXTSPLIT(Team_Links[[#This Row],[GameLogs]],"https://www.sports-reference.com/cbb/schools/",,TRUE,0,), "/",,TRUE,0)</f>
        <v>notre-dame</v>
      </c>
    </row>
    <row r="225" spans="1:5" x14ac:dyDescent="0.25">
      <c r="A225">
        <v>223</v>
      </c>
      <c r="B225" t="s">
        <v>726</v>
      </c>
      <c r="C225" t="s">
        <v>727</v>
      </c>
      <c r="D225" t="s">
        <v>728</v>
      </c>
      <c r="E225" t="str" cm="1">
        <f t="array" ref="E225">_xlfn.TEXTSPLIT(
_xlfn.TEXTSPLIT(Team_Links[[#This Row],[GameLogs]],"https://www.sports-reference.com/cbb/schools/",,TRUE,0,), "/",,TRUE,0)</f>
        <v>oakland</v>
      </c>
    </row>
    <row r="226" spans="1:5" x14ac:dyDescent="0.25">
      <c r="A226">
        <v>224</v>
      </c>
      <c r="B226" t="s">
        <v>729</v>
      </c>
      <c r="C226" t="s">
        <v>730</v>
      </c>
      <c r="D226" t="s">
        <v>731</v>
      </c>
      <c r="E226" t="str" cm="1">
        <f t="array" ref="E226">_xlfn.TEXTSPLIT(
_xlfn.TEXTSPLIT(Team_Links[[#This Row],[GameLogs]],"https://www.sports-reference.com/cbb/schools/",,TRUE,0,), "/",,TRUE,0)</f>
        <v>ohio</v>
      </c>
    </row>
    <row r="227" spans="1:5" x14ac:dyDescent="0.25">
      <c r="A227">
        <v>225</v>
      </c>
      <c r="B227" t="s">
        <v>732</v>
      </c>
      <c r="C227" t="s">
        <v>733</v>
      </c>
      <c r="D227" t="s">
        <v>734</v>
      </c>
      <c r="E227" t="str" cm="1">
        <f t="array" ref="E227">_xlfn.TEXTSPLIT(
_xlfn.TEXTSPLIT(Team_Links[[#This Row],[GameLogs]],"https://www.sports-reference.com/cbb/schools/",,TRUE,0,), "/",,TRUE,0)</f>
        <v>ohio-state</v>
      </c>
    </row>
    <row r="228" spans="1:5" x14ac:dyDescent="0.25">
      <c r="A228">
        <v>226</v>
      </c>
      <c r="B228" t="s">
        <v>111</v>
      </c>
      <c r="C228" t="s">
        <v>735</v>
      </c>
      <c r="D228" t="s">
        <v>736</v>
      </c>
      <c r="E228" t="str" cm="1">
        <f t="array" ref="E228">_xlfn.TEXTSPLIT(
_xlfn.TEXTSPLIT(Team_Links[[#This Row],[GameLogs]],"https://www.sports-reference.com/cbb/schools/",,TRUE,0,), "/",,TRUE,0)</f>
        <v>oklahoma</v>
      </c>
    </row>
    <row r="229" spans="1:5" x14ac:dyDescent="0.25">
      <c r="A229">
        <v>227</v>
      </c>
      <c r="B229" t="s">
        <v>737</v>
      </c>
      <c r="C229" t="s">
        <v>738</v>
      </c>
      <c r="D229" t="s">
        <v>739</v>
      </c>
      <c r="E229" t="str" cm="1">
        <f t="array" ref="E229">_xlfn.TEXTSPLIT(
_xlfn.TEXTSPLIT(Team_Links[[#This Row],[GameLogs]],"https://www.sports-reference.com/cbb/schools/",,TRUE,0,), "/",,TRUE,0)</f>
        <v>oklahoma-state</v>
      </c>
    </row>
    <row r="230" spans="1:5" x14ac:dyDescent="0.25">
      <c r="A230">
        <v>228</v>
      </c>
      <c r="B230" t="s">
        <v>740</v>
      </c>
      <c r="C230" t="s">
        <v>741</v>
      </c>
      <c r="D230" t="s">
        <v>742</v>
      </c>
      <c r="E230" t="str" cm="1">
        <f t="array" ref="E230">_xlfn.TEXTSPLIT(
_xlfn.TEXTSPLIT(Team_Links[[#This Row],[GameLogs]],"https://www.sports-reference.com/cbb/schools/",,TRUE,0,), "/",,TRUE,0)</f>
        <v>old-dominion</v>
      </c>
    </row>
    <row r="231" spans="1:5" x14ac:dyDescent="0.25">
      <c r="A231">
        <v>229</v>
      </c>
      <c r="B231" t="s">
        <v>115</v>
      </c>
      <c r="C231" t="s">
        <v>743</v>
      </c>
      <c r="D231" t="s">
        <v>744</v>
      </c>
      <c r="E231" t="str" cm="1">
        <f t="array" ref="E231">_xlfn.TEXTSPLIT(
_xlfn.TEXTSPLIT(Team_Links[[#This Row],[GameLogs]],"https://www.sports-reference.com/cbb/schools/",,TRUE,0,), "/",,TRUE,0)</f>
        <v>nebraska-omaha</v>
      </c>
    </row>
    <row r="232" spans="1:5" x14ac:dyDescent="0.25">
      <c r="A232">
        <v>230</v>
      </c>
      <c r="B232" t="s">
        <v>745</v>
      </c>
      <c r="C232" t="s">
        <v>746</v>
      </c>
      <c r="D232" t="s">
        <v>747</v>
      </c>
      <c r="E232" t="str" cm="1">
        <f t="array" ref="E232">_xlfn.TEXTSPLIT(
_xlfn.TEXTSPLIT(Team_Links[[#This Row],[GameLogs]],"https://www.sports-reference.com/cbb/schools/",,TRUE,0,), "/",,TRUE,0)</f>
        <v>oral-roberts</v>
      </c>
    </row>
    <row r="233" spans="1:5" x14ac:dyDescent="0.25">
      <c r="A233">
        <v>231</v>
      </c>
      <c r="B233" t="s">
        <v>97</v>
      </c>
      <c r="C233" t="s">
        <v>748</v>
      </c>
      <c r="D233" t="s">
        <v>749</v>
      </c>
      <c r="E233" t="str" cm="1">
        <f t="array" ref="E233">_xlfn.TEXTSPLIT(
_xlfn.TEXTSPLIT(Team_Links[[#This Row],[GameLogs]],"https://www.sports-reference.com/cbb/schools/",,TRUE,0,), "/",,TRUE,0)</f>
        <v>oregon</v>
      </c>
    </row>
    <row r="234" spans="1:5" x14ac:dyDescent="0.25">
      <c r="A234">
        <v>232</v>
      </c>
      <c r="B234" t="s">
        <v>750</v>
      </c>
      <c r="C234" t="s">
        <v>751</v>
      </c>
      <c r="D234" t="s">
        <v>752</v>
      </c>
      <c r="E234" t="str" cm="1">
        <f t="array" ref="E234">_xlfn.TEXTSPLIT(
_xlfn.TEXTSPLIT(Team_Links[[#This Row],[GameLogs]],"https://www.sports-reference.com/cbb/schools/",,TRUE,0,), "/",,TRUE,0)</f>
        <v>oregon-state</v>
      </c>
    </row>
    <row r="235" spans="1:5" x14ac:dyDescent="0.25">
      <c r="A235">
        <v>233</v>
      </c>
      <c r="B235" t="s">
        <v>753</v>
      </c>
      <c r="C235" t="s">
        <v>754</v>
      </c>
      <c r="D235" t="s">
        <v>755</v>
      </c>
      <c r="E235" t="str" cm="1">
        <f t="array" ref="E235">_xlfn.TEXTSPLIT(
_xlfn.TEXTSPLIT(Team_Links[[#This Row],[GameLogs]],"https://www.sports-reference.com/cbb/schools/",,TRUE,0,), "/",,TRUE,0)</f>
        <v>pacific</v>
      </c>
    </row>
    <row r="236" spans="1:5" x14ac:dyDescent="0.25">
      <c r="A236">
        <v>234</v>
      </c>
      <c r="B236" t="s">
        <v>756</v>
      </c>
      <c r="C236" t="s">
        <v>757</v>
      </c>
      <c r="D236" t="s">
        <v>758</v>
      </c>
      <c r="E236" t="str" cm="1">
        <f t="array" ref="E236">_xlfn.TEXTSPLIT(
_xlfn.TEXTSPLIT(Team_Links[[#This Row],[GameLogs]],"https://www.sports-reference.com/cbb/schools/",,TRUE,0,), "/",,TRUE,0)</f>
        <v>penn-state</v>
      </c>
    </row>
    <row r="237" spans="1:5" x14ac:dyDescent="0.25">
      <c r="A237">
        <v>235</v>
      </c>
      <c r="B237" t="s">
        <v>759</v>
      </c>
      <c r="C237" t="s">
        <v>760</v>
      </c>
      <c r="D237" t="s">
        <v>761</v>
      </c>
      <c r="E237" t="str" cm="1">
        <f t="array" ref="E237">_xlfn.TEXTSPLIT(
_xlfn.TEXTSPLIT(Team_Links[[#This Row],[GameLogs]],"https://www.sports-reference.com/cbb/schools/",,TRUE,0,), "/",,TRUE,0)</f>
        <v>pennsylvania</v>
      </c>
    </row>
    <row r="238" spans="1:5" x14ac:dyDescent="0.25">
      <c r="A238">
        <v>236</v>
      </c>
      <c r="B238" t="s">
        <v>762</v>
      </c>
      <c r="C238" t="s">
        <v>763</v>
      </c>
      <c r="D238" t="s">
        <v>764</v>
      </c>
      <c r="E238" t="str" cm="1">
        <f t="array" ref="E238">_xlfn.TEXTSPLIT(
_xlfn.TEXTSPLIT(Team_Links[[#This Row],[GameLogs]],"https://www.sports-reference.com/cbb/schools/",,TRUE,0,), "/",,TRUE,0)</f>
        <v>pepperdine</v>
      </c>
    </row>
    <row r="239" spans="1:5" x14ac:dyDescent="0.25">
      <c r="A239">
        <v>237</v>
      </c>
      <c r="B239" t="s">
        <v>765</v>
      </c>
      <c r="C239" t="s">
        <v>766</v>
      </c>
      <c r="D239" t="s">
        <v>767</v>
      </c>
      <c r="E239" t="str" cm="1">
        <f t="array" ref="E239">_xlfn.TEXTSPLIT(
_xlfn.TEXTSPLIT(Team_Links[[#This Row],[GameLogs]],"https://www.sports-reference.com/cbb/schools/",,TRUE,0,), "/",,TRUE,0)</f>
        <v>pittsburgh</v>
      </c>
    </row>
    <row r="240" spans="1:5" x14ac:dyDescent="0.25">
      <c r="A240">
        <v>238</v>
      </c>
      <c r="B240" t="s">
        <v>768</v>
      </c>
      <c r="C240" t="s">
        <v>769</v>
      </c>
      <c r="D240" t="s">
        <v>770</v>
      </c>
      <c r="E240" t="str" cm="1">
        <f t="array" ref="E240">_xlfn.TEXTSPLIT(
_xlfn.TEXTSPLIT(Team_Links[[#This Row],[GameLogs]],"https://www.sports-reference.com/cbb/schools/",,TRUE,0,), "/",,TRUE,0)</f>
        <v>portland</v>
      </c>
    </row>
    <row r="241" spans="1:5" x14ac:dyDescent="0.25">
      <c r="A241">
        <v>239</v>
      </c>
      <c r="B241" t="s">
        <v>771</v>
      </c>
      <c r="C241" t="s">
        <v>772</v>
      </c>
      <c r="D241" t="s">
        <v>773</v>
      </c>
      <c r="E241" t="str" cm="1">
        <f t="array" ref="E241">_xlfn.TEXTSPLIT(
_xlfn.TEXTSPLIT(Team_Links[[#This Row],[GameLogs]],"https://www.sports-reference.com/cbb/schools/",,TRUE,0,), "/",,TRUE,0)</f>
        <v>portland-state</v>
      </c>
    </row>
    <row r="242" spans="1:5" x14ac:dyDescent="0.25">
      <c r="A242">
        <v>240</v>
      </c>
      <c r="B242" t="s">
        <v>774</v>
      </c>
      <c r="C242" t="s">
        <v>775</v>
      </c>
      <c r="D242" t="s">
        <v>776</v>
      </c>
      <c r="E242" t="str" cm="1">
        <f t="array" ref="E242">_xlfn.TEXTSPLIT(
_xlfn.TEXTSPLIT(Team_Links[[#This Row],[GameLogs]],"https://www.sports-reference.com/cbb/schools/",,TRUE,0,), "/",,TRUE,0)</f>
        <v>prairie-view</v>
      </c>
    </row>
    <row r="243" spans="1:5" x14ac:dyDescent="0.25">
      <c r="A243">
        <v>241</v>
      </c>
      <c r="B243" t="s">
        <v>777</v>
      </c>
      <c r="C243" t="s">
        <v>778</v>
      </c>
      <c r="D243" t="s">
        <v>779</v>
      </c>
      <c r="E243" t="str" cm="1">
        <f t="array" ref="E243">_xlfn.TEXTSPLIT(
_xlfn.TEXTSPLIT(Team_Links[[#This Row],[GameLogs]],"https://www.sports-reference.com/cbb/schools/",,TRUE,0,), "/",,TRUE,0)</f>
        <v>presbyterian</v>
      </c>
    </row>
    <row r="244" spans="1:5" x14ac:dyDescent="0.25">
      <c r="A244">
        <v>242</v>
      </c>
      <c r="B244" t="s">
        <v>780</v>
      </c>
      <c r="C244" t="s">
        <v>781</v>
      </c>
      <c r="D244" t="s">
        <v>782</v>
      </c>
      <c r="E244" t="str" cm="1">
        <f t="array" ref="E244">_xlfn.TEXTSPLIT(
_xlfn.TEXTSPLIT(Team_Links[[#This Row],[GameLogs]],"https://www.sports-reference.com/cbb/schools/",,TRUE,0,), "/",,TRUE,0)</f>
        <v>princeton</v>
      </c>
    </row>
    <row r="245" spans="1:5" x14ac:dyDescent="0.25">
      <c r="A245">
        <v>243</v>
      </c>
      <c r="B245" t="s">
        <v>783</v>
      </c>
      <c r="C245" t="s">
        <v>784</v>
      </c>
      <c r="D245" t="s">
        <v>785</v>
      </c>
      <c r="E245" t="str" cm="1">
        <f t="array" ref="E245">_xlfn.TEXTSPLIT(
_xlfn.TEXTSPLIT(Team_Links[[#This Row],[GameLogs]],"https://www.sports-reference.com/cbb/schools/",,TRUE,0,), "/",,TRUE,0)</f>
        <v>providence</v>
      </c>
    </row>
    <row r="246" spans="1:5" x14ac:dyDescent="0.25">
      <c r="A246">
        <v>244</v>
      </c>
      <c r="B246" t="s">
        <v>132</v>
      </c>
      <c r="C246" t="s">
        <v>786</v>
      </c>
      <c r="D246" t="s">
        <v>787</v>
      </c>
      <c r="E246" t="str" cm="1">
        <f t="array" ref="E246">_xlfn.TEXTSPLIT(
_xlfn.TEXTSPLIT(Team_Links[[#This Row],[GameLogs]],"https://www.sports-reference.com/cbb/schools/",,TRUE,0,), "/",,TRUE,0)</f>
        <v>purdue</v>
      </c>
    </row>
    <row r="247" spans="1:5" x14ac:dyDescent="0.25">
      <c r="A247">
        <v>245</v>
      </c>
      <c r="B247" t="s">
        <v>788</v>
      </c>
      <c r="C247" t="s">
        <v>789</v>
      </c>
      <c r="D247" t="s">
        <v>790</v>
      </c>
      <c r="E247" t="str" cm="1">
        <f t="array" ref="E247">_xlfn.TEXTSPLIT(
_xlfn.TEXTSPLIT(Team_Links[[#This Row],[GameLogs]],"https://www.sports-reference.com/cbb/schools/",,TRUE,0,), "/",,TRUE,0)</f>
        <v>ipfw</v>
      </c>
    </row>
    <row r="248" spans="1:5" x14ac:dyDescent="0.25">
      <c r="A248">
        <v>246</v>
      </c>
      <c r="B248" t="s">
        <v>791</v>
      </c>
      <c r="C248" t="s">
        <v>792</v>
      </c>
      <c r="D248" t="s">
        <v>793</v>
      </c>
      <c r="E248" t="str" cm="1">
        <f t="array" ref="E248">_xlfn.TEXTSPLIT(
_xlfn.TEXTSPLIT(Team_Links[[#This Row],[GameLogs]],"https://www.sports-reference.com/cbb/schools/",,TRUE,0,), "/",,TRUE,0)</f>
        <v>queens-nc</v>
      </c>
    </row>
    <row r="249" spans="1:5" x14ac:dyDescent="0.25">
      <c r="A249">
        <v>247</v>
      </c>
      <c r="B249" t="s">
        <v>794</v>
      </c>
      <c r="C249" t="s">
        <v>795</v>
      </c>
      <c r="D249" t="s">
        <v>796</v>
      </c>
      <c r="E249" t="str" cm="1">
        <f t="array" ref="E249">_xlfn.TEXTSPLIT(
_xlfn.TEXTSPLIT(Team_Links[[#This Row],[GameLogs]],"https://www.sports-reference.com/cbb/schools/",,TRUE,0,), "/",,TRUE,0)</f>
        <v>quinnipiac</v>
      </c>
    </row>
    <row r="250" spans="1:5" x14ac:dyDescent="0.25">
      <c r="A250">
        <v>248</v>
      </c>
      <c r="B250" t="s">
        <v>797</v>
      </c>
      <c r="C250" t="s">
        <v>798</v>
      </c>
      <c r="D250" t="s">
        <v>799</v>
      </c>
      <c r="E250" t="str" cm="1">
        <f t="array" ref="E250">_xlfn.TEXTSPLIT(
_xlfn.TEXTSPLIT(Team_Links[[#This Row],[GameLogs]],"https://www.sports-reference.com/cbb/schools/",,TRUE,0,), "/",,TRUE,0)</f>
        <v>radford</v>
      </c>
    </row>
    <row r="251" spans="1:5" x14ac:dyDescent="0.25">
      <c r="A251">
        <v>249</v>
      </c>
      <c r="B251" t="s">
        <v>800</v>
      </c>
      <c r="C251" t="s">
        <v>801</v>
      </c>
      <c r="D251" t="s">
        <v>802</v>
      </c>
      <c r="E251" t="str" cm="1">
        <f t="array" ref="E251">_xlfn.TEXTSPLIT(
_xlfn.TEXTSPLIT(Team_Links[[#This Row],[GameLogs]],"https://www.sports-reference.com/cbb/schools/",,TRUE,0,), "/",,TRUE,0)</f>
        <v>rhode-island</v>
      </c>
    </row>
    <row r="252" spans="1:5" x14ac:dyDescent="0.25">
      <c r="A252">
        <v>250</v>
      </c>
      <c r="B252" t="s">
        <v>803</v>
      </c>
      <c r="C252" t="s">
        <v>804</v>
      </c>
      <c r="D252" t="s">
        <v>805</v>
      </c>
      <c r="E252" t="str" cm="1">
        <f t="array" ref="E252">_xlfn.TEXTSPLIT(
_xlfn.TEXTSPLIT(Team_Links[[#This Row],[GameLogs]],"https://www.sports-reference.com/cbb/schools/",,TRUE,0,), "/",,TRUE,0)</f>
        <v>rice</v>
      </c>
    </row>
    <row r="253" spans="1:5" x14ac:dyDescent="0.25">
      <c r="A253">
        <v>251</v>
      </c>
      <c r="B253" t="s">
        <v>806</v>
      </c>
      <c r="C253" t="s">
        <v>807</v>
      </c>
      <c r="D253" t="s">
        <v>808</v>
      </c>
      <c r="E253" t="str" cm="1">
        <f t="array" ref="E253">_xlfn.TEXTSPLIT(
_xlfn.TEXTSPLIT(Team_Links[[#This Row],[GameLogs]],"https://www.sports-reference.com/cbb/schools/",,TRUE,0,), "/",,TRUE,0)</f>
        <v>richmond</v>
      </c>
    </row>
    <row r="254" spans="1:5" x14ac:dyDescent="0.25">
      <c r="A254">
        <v>252</v>
      </c>
      <c r="B254" t="s">
        <v>809</v>
      </c>
      <c r="C254" t="s">
        <v>810</v>
      </c>
      <c r="D254" t="s">
        <v>811</v>
      </c>
      <c r="E254" t="str" cm="1">
        <f t="array" ref="E254">_xlfn.TEXTSPLIT(
_xlfn.TEXTSPLIT(Team_Links[[#This Row],[GameLogs]],"https://www.sports-reference.com/cbb/schools/",,TRUE,0,), "/",,TRUE,0)</f>
        <v>rider</v>
      </c>
    </row>
    <row r="255" spans="1:5" x14ac:dyDescent="0.25">
      <c r="A255">
        <v>253</v>
      </c>
      <c r="B255" t="s">
        <v>102</v>
      </c>
      <c r="C255" t="s">
        <v>812</v>
      </c>
      <c r="D255" t="s">
        <v>813</v>
      </c>
      <c r="E255" t="str" cm="1">
        <f t="array" ref="E255">_xlfn.TEXTSPLIT(
_xlfn.TEXTSPLIT(Team_Links[[#This Row],[GameLogs]],"https://www.sports-reference.com/cbb/schools/",,TRUE,0,), "/",,TRUE,0)</f>
        <v>robert-morris</v>
      </c>
    </row>
    <row r="256" spans="1:5" x14ac:dyDescent="0.25">
      <c r="A256">
        <v>254</v>
      </c>
      <c r="B256" t="s">
        <v>814</v>
      </c>
      <c r="C256" t="s">
        <v>815</v>
      </c>
      <c r="D256" t="s">
        <v>816</v>
      </c>
      <c r="E256" t="str" cm="1">
        <f t="array" ref="E256">_xlfn.TEXTSPLIT(
_xlfn.TEXTSPLIT(Team_Links[[#This Row],[GameLogs]],"https://www.sports-reference.com/cbb/schools/",,TRUE,0,), "/",,TRUE,0)</f>
        <v>rutgers</v>
      </c>
    </row>
    <row r="257" spans="1:5" x14ac:dyDescent="0.25">
      <c r="A257">
        <v>255</v>
      </c>
      <c r="B257" t="s">
        <v>817</v>
      </c>
      <c r="C257" t="s">
        <v>818</v>
      </c>
      <c r="D257" t="s">
        <v>819</v>
      </c>
      <c r="E257" t="str" cm="1">
        <f t="array" ref="E257">_xlfn.TEXTSPLIT(
_xlfn.TEXTSPLIT(Team_Links[[#This Row],[GameLogs]],"https://www.sports-reference.com/cbb/schools/",,TRUE,0,), "/",,TRUE,0)</f>
        <v>sacramento-state</v>
      </c>
    </row>
    <row r="258" spans="1:5" x14ac:dyDescent="0.25">
      <c r="A258">
        <v>256</v>
      </c>
      <c r="B258" t="s">
        <v>820</v>
      </c>
      <c r="C258" t="s">
        <v>821</v>
      </c>
      <c r="D258" t="s">
        <v>822</v>
      </c>
      <c r="E258" t="str" cm="1">
        <f t="array" ref="E258">_xlfn.TEXTSPLIT(
_xlfn.TEXTSPLIT(Team_Links[[#This Row],[GameLogs]],"https://www.sports-reference.com/cbb/schools/",,TRUE,0,), "/",,TRUE,0)</f>
        <v>sacred-heart</v>
      </c>
    </row>
    <row r="259" spans="1:5" x14ac:dyDescent="0.25">
      <c r="A259">
        <v>257</v>
      </c>
      <c r="B259" t="s">
        <v>823</v>
      </c>
      <c r="C259" t="s">
        <v>824</v>
      </c>
      <c r="D259" t="s">
        <v>825</v>
      </c>
      <c r="E259" t="str" cm="1">
        <f t="array" ref="E259">_xlfn.TEXTSPLIT(
_xlfn.TEXTSPLIT(Team_Links[[#This Row],[GameLogs]],"https://www.sports-reference.com/cbb/schools/",,TRUE,0,), "/",,TRUE,0)</f>
        <v>saint-francis-pa</v>
      </c>
    </row>
    <row r="260" spans="1:5" x14ac:dyDescent="0.25">
      <c r="A260">
        <v>258</v>
      </c>
      <c r="B260" t="s">
        <v>826</v>
      </c>
      <c r="C260" t="s">
        <v>827</v>
      </c>
      <c r="D260" t="s">
        <v>828</v>
      </c>
      <c r="E260" t="str" cm="1">
        <f t="array" ref="E260">_xlfn.TEXTSPLIT(
_xlfn.TEXTSPLIT(Team_Links[[#This Row],[GameLogs]],"https://www.sports-reference.com/cbb/schools/",,TRUE,0,), "/",,TRUE,0)</f>
        <v>saint-josephs</v>
      </c>
    </row>
    <row r="261" spans="1:5" x14ac:dyDescent="0.25">
      <c r="A261">
        <v>259</v>
      </c>
      <c r="B261" t="s">
        <v>829</v>
      </c>
      <c r="C261" t="s">
        <v>830</v>
      </c>
      <c r="D261" t="s">
        <v>831</v>
      </c>
      <c r="E261" t="str" cm="1">
        <f t="array" ref="E261">_xlfn.TEXTSPLIT(
_xlfn.TEXTSPLIT(Team_Links[[#This Row],[GameLogs]],"https://www.sports-reference.com/cbb/schools/",,TRUE,0,), "/",,TRUE,0)</f>
        <v>saint-louis</v>
      </c>
    </row>
    <row r="262" spans="1:5" x14ac:dyDescent="0.25">
      <c r="A262">
        <v>260</v>
      </c>
      <c r="B262" t="s">
        <v>832</v>
      </c>
      <c r="C262" t="s">
        <v>833</v>
      </c>
      <c r="D262" t="s">
        <v>834</v>
      </c>
      <c r="E262" t="str" cm="1">
        <f t="array" ref="E262">_xlfn.TEXTSPLIT(
_xlfn.TEXTSPLIT(Team_Links[[#This Row],[GameLogs]],"https://www.sports-reference.com/cbb/schools/",,TRUE,0,), "/",,TRUE,0)</f>
        <v>saint-marys-ca</v>
      </c>
    </row>
    <row r="263" spans="1:5" x14ac:dyDescent="0.25">
      <c r="A263">
        <v>261</v>
      </c>
      <c r="B263" t="s">
        <v>835</v>
      </c>
      <c r="C263" t="s">
        <v>836</v>
      </c>
      <c r="D263" t="s">
        <v>837</v>
      </c>
      <c r="E263" t="str" cm="1">
        <f t="array" ref="E263">_xlfn.TEXTSPLIT(
_xlfn.TEXTSPLIT(Team_Links[[#This Row],[GameLogs]],"https://www.sports-reference.com/cbb/schools/",,TRUE,0,), "/",,TRUE,0)</f>
        <v>saint-peters</v>
      </c>
    </row>
    <row r="264" spans="1:5" x14ac:dyDescent="0.25">
      <c r="A264">
        <v>262</v>
      </c>
      <c r="B264" t="s">
        <v>838</v>
      </c>
      <c r="C264" t="s">
        <v>839</v>
      </c>
      <c r="D264" t="s">
        <v>840</v>
      </c>
      <c r="E264" t="str" cm="1">
        <f t="array" ref="E264">_xlfn.TEXTSPLIT(
_xlfn.TEXTSPLIT(Team_Links[[#This Row],[GameLogs]],"https://www.sports-reference.com/cbb/schools/",,TRUE,0,), "/",,TRUE,0)</f>
        <v>sam-houston-state</v>
      </c>
    </row>
    <row r="265" spans="1:5" x14ac:dyDescent="0.25">
      <c r="A265">
        <v>263</v>
      </c>
      <c r="B265" t="s">
        <v>841</v>
      </c>
      <c r="C265" t="s">
        <v>842</v>
      </c>
      <c r="D265" t="s">
        <v>843</v>
      </c>
      <c r="E265" t="str" cm="1">
        <f t="array" ref="E265">_xlfn.TEXTSPLIT(
_xlfn.TEXTSPLIT(Team_Links[[#This Row],[GameLogs]],"https://www.sports-reference.com/cbb/schools/",,TRUE,0,), "/",,TRUE,0)</f>
        <v>samford</v>
      </c>
    </row>
    <row r="266" spans="1:5" x14ac:dyDescent="0.25">
      <c r="A266">
        <v>264</v>
      </c>
      <c r="B266" t="s">
        <v>844</v>
      </c>
      <c r="C266" t="s">
        <v>845</v>
      </c>
      <c r="D266" t="s">
        <v>846</v>
      </c>
      <c r="E266" t="str" cm="1">
        <f t="array" ref="E266">_xlfn.TEXTSPLIT(
_xlfn.TEXTSPLIT(Team_Links[[#This Row],[GameLogs]],"https://www.sports-reference.com/cbb/schools/",,TRUE,0,), "/",,TRUE,0)</f>
        <v>san-diego</v>
      </c>
    </row>
    <row r="267" spans="1:5" x14ac:dyDescent="0.25">
      <c r="A267">
        <v>265</v>
      </c>
      <c r="B267" t="s">
        <v>124</v>
      </c>
      <c r="C267" t="s">
        <v>847</v>
      </c>
      <c r="D267" t="s">
        <v>848</v>
      </c>
      <c r="E267" t="str" cm="1">
        <f t="array" ref="E267">_xlfn.TEXTSPLIT(
_xlfn.TEXTSPLIT(Team_Links[[#This Row],[GameLogs]],"https://www.sports-reference.com/cbb/schools/",,TRUE,0,), "/",,TRUE,0)</f>
        <v>san-diego-state</v>
      </c>
    </row>
    <row r="268" spans="1:5" x14ac:dyDescent="0.25">
      <c r="A268">
        <v>266</v>
      </c>
      <c r="B268" t="s">
        <v>849</v>
      </c>
      <c r="C268" t="s">
        <v>850</v>
      </c>
      <c r="D268" t="s">
        <v>851</v>
      </c>
      <c r="E268" t="str" cm="1">
        <f t="array" ref="E268">_xlfn.TEXTSPLIT(
_xlfn.TEXTSPLIT(Team_Links[[#This Row],[GameLogs]],"https://www.sports-reference.com/cbb/schools/",,TRUE,0,), "/",,TRUE,0)</f>
        <v>san-francisco</v>
      </c>
    </row>
    <row r="269" spans="1:5" x14ac:dyDescent="0.25">
      <c r="A269">
        <v>267</v>
      </c>
      <c r="B269" t="s">
        <v>852</v>
      </c>
      <c r="C269" t="s">
        <v>853</v>
      </c>
      <c r="D269" t="s">
        <v>854</v>
      </c>
      <c r="E269" t="str" cm="1">
        <f t="array" ref="E269">_xlfn.TEXTSPLIT(
_xlfn.TEXTSPLIT(Team_Links[[#This Row],[GameLogs]],"https://www.sports-reference.com/cbb/schools/",,TRUE,0,), "/",,TRUE,0)</f>
        <v>san-jose-state</v>
      </c>
    </row>
    <row r="270" spans="1:5" x14ac:dyDescent="0.25">
      <c r="A270">
        <v>268</v>
      </c>
      <c r="B270" t="s">
        <v>855</v>
      </c>
      <c r="C270" t="s">
        <v>856</v>
      </c>
      <c r="D270" t="s">
        <v>857</v>
      </c>
      <c r="E270" t="str" cm="1">
        <f t="array" ref="E270">_xlfn.TEXTSPLIT(
_xlfn.TEXTSPLIT(Team_Links[[#This Row],[GameLogs]],"https://www.sports-reference.com/cbb/schools/",,TRUE,0,), "/",,TRUE,0)</f>
        <v>santa-clara</v>
      </c>
    </row>
    <row r="271" spans="1:5" x14ac:dyDescent="0.25">
      <c r="A271">
        <v>269</v>
      </c>
      <c r="B271" t="s">
        <v>858</v>
      </c>
      <c r="C271" t="s">
        <v>859</v>
      </c>
      <c r="D271" t="s">
        <v>860</v>
      </c>
      <c r="E271" t="str" cm="1">
        <f t="array" ref="E271">_xlfn.TEXTSPLIT(
_xlfn.TEXTSPLIT(Team_Links[[#This Row],[GameLogs]],"https://www.sports-reference.com/cbb/schools/",,TRUE,0,), "/",,TRUE,0)</f>
        <v>seattle</v>
      </c>
    </row>
    <row r="272" spans="1:5" x14ac:dyDescent="0.25">
      <c r="A272">
        <v>270</v>
      </c>
      <c r="B272" t="s">
        <v>861</v>
      </c>
      <c r="C272" t="s">
        <v>862</v>
      </c>
      <c r="D272" t="s">
        <v>863</v>
      </c>
      <c r="E272" t="str" cm="1">
        <f t="array" ref="E272">_xlfn.TEXTSPLIT(
_xlfn.TEXTSPLIT(Team_Links[[#This Row],[GameLogs]],"https://www.sports-reference.com/cbb/schools/",,TRUE,0,), "/",,TRUE,0)</f>
        <v>seton-hall</v>
      </c>
    </row>
    <row r="273" spans="1:5" x14ac:dyDescent="0.25">
      <c r="A273">
        <v>271</v>
      </c>
      <c r="B273" t="s">
        <v>864</v>
      </c>
      <c r="C273" t="s">
        <v>865</v>
      </c>
      <c r="D273" t="s">
        <v>866</v>
      </c>
      <c r="E273" t="str" cm="1">
        <f t="array" ref="E273">_xlfn.TEXTSPLIT(
_xlfn.TEXTSPLIT(Team_Links[[#This Row],[GameLogs]],"https://www.sports-reference.com/cbb/schools/",,TRUE,0,), "/",,TRUE,0)</f>
        <v>siena</v>
      </c>
    </row>
    <row r="274" spans="1:5" x14ac:dyDescent="0.25">
      <c r="A274">
        <v>272</v>
      </c>
      <c r="B274" t="s">
        <v>867</v>
      </c>
      <c r="C274" t="s">
        <v>868</v>
      </c>
      <c r="D274" t="s">
        <v>869</v>
      </c>
      <c r="E274" t="str" cm="1">
        <f t="array" ref="E274">_xlfn.TEXTSPLIT(
_xlfn.TEXTSPLIT(Team_Links[[#This Row],[GameLogs]],"https://www.sports-reference.com/cbb/schools/",,TRUE,0,), "/",,TRUE,0)</f>
        <v>south-alabama</v>
      </c>
    </row>
    <row r="275" spans="1:5" x14ac:dyDescent="0.25">
      <c r="A275">
        <v>273</v>
      </c>
      <c r="B275" t="s">
        <v>870</v>
      </c>
      <c r="C275" t="s">
        <v>871</v>
      </c>
      <c r="D275" t="s">
        <v>872</v>
      </c>
      <c r="E275" t="str" cm="1">
        <f t="array" ref="E275">_xlfn.TEXTSPLIT(
_xlfn.TEXTSPLIT(Team_Links[[#This Row],[GameLogs]],"https://www.sports-reference.com/cbb/schools/",,TRUE,0,), "/",,TRUE,0)</f>
        <v>south-carolina</v>
      </c>
    </row>
    <row r="276" spans="1:5" x14ac:dyDescent="0.25">
      <c r="A276">
        <v>274</v>
      </c>
      <c r="B276" t="s">
        <v>873</v>
      </c>
      <c r="C276" t="s">
        <v>874</v>
      </c>
      <c r="D276" t="s">
        <v>875</v>
      </c>
      <c r="E276" t="str" cm="1">
        <f t="array" ref="E276">_xlfn.TEXTSPLIT(
_xlfn.TEXTSPLIT(Team_Links[[#This Row],[GameLogs]],"https://www.sports-reference.com/cbb/schools/",,TRUE,0,), "/",,TRUE,0)</f>
        <v>south-carolina-state</v>
      </c>
    </row>
    <row r="277" spans="1:5" x14ac:dyDescent="0.25">
      <c r="A277">
        <v>275</v>
      </c>
      <c r="B277" t="s">
        <v>876</v>
      </c>
      <c r="C277" t="s">
        <v>877</v>
      </c>
      <c r="D277" t="s">
        <v>878</v>
      </c>
      <c r="E277" t="str" cm="1">
        <f t="array" ref="E277">_xlfn.TEXTSPLIT(
_xlfn.TEXTSPLIT(Team_Links[[#This Row],[GameLogs]],"https://www.sports-reference.com/cbb/schools/",,TRUE,0,), "/",,TRUE,0)</f>
        <v>south-carolina-upstate</v>
      </c>
    </row>
    <row r="278" spans="1:5" x14ac:dyDescent="0.25">
      <c r="A278">
        <v>276</v>
      </c>
      <c r="B278" t="s">
        <v>879</v>
      </c>
      <c r="C278" t="s">
        <v>880</v>
      </c>
      <c r="D278" t="s">
        <v>881</v>
      </c>
      <c r="E278" t="str" cm="1">
        <f t="array" ref="E278">_xlfn.TEXTSPLIT(
_xlfn.TEXTSPLIT(Team_Links[[#This Row],[GameLogs]],"https://www.sports-reference.com/cbb/schools/",,TRUE,0,), "/",,TRUE,0)</f>
        <v>south-dakota</v>
      </c>
    </row>
    <row r="279" spans="1:5" x14ac:dyDescent="0.25">
      <c r="A279">
        <v>277</v>
      </c>
      <c r="B279" t="s">
        <v>882</v>
      </c>
      <c r="C279" t="s">
        <v>883</v>
      </c>
      <c r="D279" t="s">
        <v>884</v>
      </c>
      <c r="E279" t="str" cm="1">
        <f t="array" ref="E279">_xlfn.TEXTSPLIT(
_xlfn.TEXTSPLIT(Team_Links[[#This Row],[GameLogs]],"https://www.sports-reference.com/cbb/schools/",,TRUE,0,), "/",,TRUE,0)</f>
        <v>south-dakota-state</v>
      </c>
    </row>
    <row r="280" spans="1:5" x14ac:dyDescent="0.25">
      <c r="A280">
        <v>278</v>
      </c>
      <c r="B280" t="s">
        <v>885</v>
      </c>
      <c r="C280" t="s">
        <v>886</v>
      </c>
      <c r="D280" t="s">
        <v>887</v>
      </c>
      <c r="E280" t="str" cm="1">
        <f t="array" ref="E280">_xlfn.TEXTSPLIT(
_xlfn.TEXTSPLIT(Team_Links[[#This Row],[GameLogs]],"https://www.sports-reference.com/cbb/schools/",,TRUE,0,), "/",,TRUE,0)</f>
        <v>south-florida</v>
      </c>
    </row>
    <row r="281" spans="1:5" x14ac:dyDescent="0.25">
      <c r="A281">
        <v>279</v>
      </c>
      <c r="B281" t="s">
        <v>888</v>
      </c>
      <c r="C281" t="s">
        <v>889</v>
      </c>
      <c r="D281" t="s">
        <v>890</v>
      </c>
      <c r="E281" t="str" cm="1">
        <f t="array" ref="E281">_xlfn.TEXTSPLIT(
_xlfn.TEXTSPLIT(Team_Links[[#This Row],[GameLogs]],"https://www.sports-reference.com/cbb/schools/",,TRUE,0,), "/",,TRUE,0)</f>
        <v>southeast-missouri-state</v>
      </c>
    </row>
    <row r="282" spans="1:5" x14ac:dyDescent="0.25">
      <c r="A282">
        <v>280</v>
      </c>
      <c r="B282" t="s">
        <v>891</v>
      </c>
      <c r="C282" t="s">
        <v>892</v>
      </c>
      <c r="D282" t="s">
        <v>893</v>
      </c>
      <c r="E282" t="str" cm="1">
        <f t="array" ref="E282">_xlfn.TEXTSPLIT(
_xlfn.TEXTSPLIT(Team_Links[[#This Row],[GameLogs]],"https://www.sports-reference.com/cbb/schools/",,TRUE,0,), "/",,TRUE,0)</f>
        <v>southeastern-louisiana</v>
      </c>
    </row>
    <row r="283" spans="1:5" x14ac:dyDescent="0.25">
      <c r="A283">
        <v>281</v>
      </c>
      <c r="B283" t="s">
        <v>143</v>
      </c>
      <c r="C283" t="s">
        <v>894</v>
      </c>
      <c r="D283" t="s">
        <v>895</v>
      </c>
      <c r="E283" t="str" cm="1">
        <f t="array" ref="E283">_xlfn.TEXTSPLIT(
_xlfn.TEXTSPLIT(Team_Links[[#This Row],[GameLogs]],"https://www.sports-reference.com/cbb/schools/",,TRUE,0,), "/",,TRUE,0)</f>
        <v>southern</v>
      </c>
    </row>
    <row r="284" spans="1:5" x14ac:dyDescent="0.25">
      <c r="A284">
        <v>282</v>
      </c>
      <c r="B284" t="s">
        <v>896</v>
      </c>
      <c r="C284" t="s">
        <v>897</v>
      </c>
      <c r="D284" t="s">
        <v>898</v>
      </c>
      <c r="E284" t="str" cm="1">
        <f t="array" ref="E284">_xlfn.TEXTSPLIT(
_xlfn.TEXTSPLIT(Team_Links[[#This Row],[GameLogs]],"https://www.sports-reference.com/cbb/schools/",,TRUE,0,), "/",,TRUE,0)</f>
        <v>southern-california</v>
      </c>
    </row>
    <row r="285" spans="1:5" x14ac:dyDescent="0.25">
      <c r="A285">
        <v>283</v>
      </c>
      <c r="B285" t="s">
        <v>899</v>
      </c>
      <c r="C285" t="s">
        <v>900</v>
      </c>
      <c r="D285" t="s">
        <v>901</v>
      </c>
      <c r="E285" t="str" cm="1">
        <f t="array" ref="E285">_xlfn.TEXTSPLIT(
_xlfn.TEXTSPLIT(Team_Links[[#This Row],[GameLogs]],"https://www.sports-reference.com/cbb/schools/",,TRUE,0,), "/",,TRUE,0)</f>
        <v>southern-illinois</v>
      </c>
    </row>
    <row r="286" spans="1:5" x14ac:dyDescent="0.25">
      <c r="A286">
        <v>284</v>
      </c>
      <c r="B286" t="s">
        <v>144</v>
      </c>
      <c r="C286" t="s">
        <v>902</v>
      </c>
      <c r="D286" t="s">
        <v>903</v>
      </c>
      <c r="E286" t="str" cm="1">
        <f t="array" ref="E286">_xlfn.TEXTSPLIT(
_xlfn.TEXTSPLIT(Team_Links[[#This Row],[GameLogs]],"https://www.sports-reference.com/cbb/schools/",,TRUE,0,), "/",,TRUE,0)</f>
        <v>southern-illinois-edwardsville</v>
      </c>
    </row>
    <row r="287" spans="1:5" x14ac:dyDescent="0.25">
      <c r="A287">
        <v>285</v>
      </c>
      <c r="B287" t="s">
        <v>904</v>
      </c>
      <c r="C287" t="s">
        <v>905</v>
      </c>
      <c r="D287" t="s">
        <v>906</v>
      </c>
      <c r="E287" t="str" cm="1">
        <f t="array" ref="E287">_xlfn.TEXTSPLIT(
_xlfn.TEXTSPLIT(Team_Links[[#This Row],[GameLogs]],"https://www.sports-reference.com/cbb/schools/",,TRUE,0,), "/",,TRUE,0)</f>
        <v>southern-indiana</v>
      </c>
    </row>
    <row r="288" spans="1:5" x14ac:dyDescent="0.25">
      <c r="A288">
        <v>286</v>
      </c>
      <c r="B288" t="s">
        <v>907</v>
      </c>
      <c r="C288" t="s">
        <v>908</v>
      </c>
      <c r="D288" t="s">
        <v>909</v>
      </c>
      <c r="E288" t="str" cm="1">
        <f t="array" ref="E288">_xlfn.TEXTSPLIT(
_xlfn.TEXTSPLIT(Team_Links[[#This Row],[GameLogs]],"https://www.sports-reference.com/cbb/schools/",,TRUE,0,), "/",,TRUE,0)</f>
        <v>southern-methodist</v>
      </c>
    </row>
    <row r="289" spans="1:5" x14ac:dyDescent="0.25">
      <c r="A289">
        <v>287</v>
      </c>
      <c r="B289" t="s">
        <v>910</v>
      </c>
      <c r="C289" t="s">
        <v>911</v>
      </c>
      <c r="D289" t="s">
        <v>912</v>
      </c>
      <c r="E289" t="str" cm="1">
        <f t="array" ref="E289">_xlfn.TEXTSPLIT(
_xlfn.TEXTSPLIT(Team_Links[[#This Row],[GameLogs]],"https://www.sports-reference.com/cbb/schools/",,TRUE,0,), "/",,TRUE,0)</f>
        <v>southern-mississippi</v>
      </c>
    </row>
    <row r="290" spans="1:5" x14ac:dyDescent="0.25">
      <c r="A290">
        <v>288</v>
      </c>
      <c r="B290" t="s">
        <v>913</v>
      </c>
      <c r="C290" t="s">
        <v>914</v>
      </c>
      <c r="D290" t="s">
        <v>915</v>
      </c>
      <c r="E290" t="str" cm="1">
        <f t="array" ref="E290">_xlfn.TEXTSPLIT(
_xlfn.TEXTSPLIT(Team_Links[[#This Row],[GameLogs]],"https://www.sports-reference.com/cbb/schools/",,TRUE,0,), "/",,TRUE,0)</f>
        <v>southern-utah</v>
      </c>
    </row>
    <row r="291" spans="1:5" x14ac:dyDescent="0.25">
      <c r="A291">
        <v>289</v>
      </c>
      <c r="B291" t="s">
        <v>916</v>
      </c>
      <c r="C291" t="s">
        <v>917</v>
      </c>
      <c r="D291" t="s">
        <v>918</v>
      </c>
      <c r="E291" t="str" cm="1">
        <f t="array" ref="E291">_xlfn.TEXTSPLIT(
_xlfn.TEXTSPLIT(Team_Links[[#This Row],[GameLogs]],"https://www.sports-reference.com/cbb/schools/",,TRUE,0,), "/",,TRUE,0)</f>
        <v>st-bonaventure</v>
      </c>
    </row>
    <row r="292" spans="1:5" x14ac:dyDescent="0.25">
      <c r="A292">
        <v>290</v>
      </c>
      <c r="B292" t="s">
        <v>919</v>
      </c>
      <c r="C292" t="s">
        <v>920</v>
      </c>
      <c r="D292" t="s">
        <v>921</v>
      </c>
      <c r="E292" t="str" cm="1">
        <f t="array" ref="E292">_xlfn.TEXTSPLIT(
_xlfn.TEXTSPLIT(Team_Links[[#This Row],[GameLogs]],"https://www.sports-reference.com/cbb/schools/",,TRUE,0,), "/",,TRUE,0)</f>
        <v>st-johns-ny</v>
      </c>
    </row>
    <row r="293" spans="1:5" x14ac:dyDescent="0.25">
      <c r="A293">
        <v>291</v>
      </c>
      <c r="B293" t="s">
        <v>922</v>
      </c>
      <c r="C293" t="s">
        <v>923</v>
      </c>
      <c r="D293" t="s">
        <v>924</v>
      </c>
      <c r="E293" t="str" cm="1">
        <f t="array" ref="E293">_xlfn.TEXTSPLIT(
_xlfn.TEXTSPLIT(Team_Links[[#This Row],[GameLogs]],"https://www.sports-reference.com/cbb/schools/",,TRUE,0,), "/",,TRUE,0)</f>
        <v>st-thomas-mn</v>
      </c>
    </row>
    <row r="294" spans="1:5" x14ac:dyDescent="0.25">
      <c r="A294">
        <v>292</v>
      </c>
      <c r="B294" t="s">
        <v>925</v>
      </c>
      <c r="C294" t="s">
        <v>926</v>
      </c>
      <c r="D294" t="s">
        <v>927</v>
      </c>
      <c r="E294" t="str" cm="1">
        <f t="array" ref="E294">_xlfn.TEXTSPLIT(
_xlfn.TEXTSPLIT(Team_Links[[#This Row],[GameLogs]],"https://www.sports-reference.com/cbb/schools/",,TRUE,0,), "/",,TRUE,0)</f>
        <v>stanford</v>
      </c>
    </row>
    <row r="295" spans="1:5" x14ac:dyDescent="0.25">
      <c r="A295">
        <v>293</v>
      </c>
      <c r="B295" t="s">
        <v>928</v>
      </c>
      <c r="C295" t="s">
        <v>929</v>
      </c>
      <c r="D295" t="s">
        <v>930</v>
      </c>
      <c r="E295" t="str" cm="1">
        <f t="array" ref="E295">_xlfn.TEXTSPLIT(
_xlfn.TEXTSPLIT(Team_Links[[#This Row],[GameLogs]],"https://www.sports-reference.com/cbb/schools/",,TRUE,0,), "/",,TRUE,0)</f>
        <v>stephen-f-austin</v>
      </c>
    </row>
    <row r="296" spans="1:5" x14ac:dyDescent="0.25">
      <c r="A296">
        <v>294</v>
      </c>
      <c r="B296" t="s">
        <v>931</v>
      </c>
      <c r="C296" t="s">
        <v>932</v>
      </c>
      <c r="D296" t="s">
        <v>933</v>
      </c>
      <c r="E296" t="str" cm="1">
        <f t="array" ref="E296">_xlfn.TEXTSPLIT(
_xlfn.TEXTSPLIT(Team_Links[[#This Row],[GameLogs]],"https://www.sports-reference.com/cbb/schools/",,TRUE,0,), "/",,TRUE,0)</f>
        <v>stetson</v>
      </c>
    </row>
    <row r="297" spans="1:5" x14ac:dyDescent="0.25">
      <c r="A297">
        <v>295</v>
      </c>
      <c r="B297" t="s">
        <v>934</v>
      </c>
      <c r="C297" t="s">
        <v>935</v>
      </c>
      <c r="D297" t="s">
        <v>936</v>
      </c>
      <c r="E297" t="str" cm="1">
        <f t="array" ref="E297">_xlfn.TEXTSPLIT(
_xlfn.TEXTSPLIT(Team_Links[[#This Row],[GameLogs]],"https://www.sports-reference.com/cbb/schools/",,TRUE,0,), "/",,TRUE,0)</f>
        <v>stonehill</v>
      </c>
    </row>
    <row r="298" spans="1:5" x14ac:dyDescent="0.25">
      <c r="A298">
        <v>296</v>
      </c>
      <c r="B298" t="s">
        <v>937</v>
      </c>
      <c r="C298" t="s">
        <v>938</v>
      </c>
      <c r="D298" t="s">
        <v>939</v>
      </c>
      <c r="E298" t="str" cm="1">
        <f t="array" ref="E298">_xlfn.TEXTSPLIT(
_xlfn.TEXTSPLIT(Team_Links[[#This Row],[GameLogs]],"https://www.sports-reference.com/cbb/schools/",,TRUE,0,), "/",,TRUE,0)</f>
        <v>stony-brook</v>
      </c>
    </row>
    <row r="299" spans="1:5" x14ac:dyDescent="0.25">
      <c r="A299">
        <v>297</v>
      </c>
      <c r="B299" t="s">
        <v>940</v>
      </c>
      <c r="C299" t="s">
        <v>941</v>
      </c>
      <c r="D299" t="s">
        <v>942</v>
      </c>
      <c r="E299" t="str" cm="1">
        <f t="array" ref="E299">_xlfn.TEXTSPLIT(
_xlfn.TEXTSPLIT(Team_Links[[#This Row],[GameLogs]],"https://www.sports-reference.com/cbb/schools/",,TRUE,0,), "/",,TRUE,0)</f>
        <v>syracuse</v>
      </c>
    </row>
    <row r="300" spans="1:5" x14ac:dyDescent="0.25">
      <c r="A300">
        <v>298</v>
      </c>
      <c r="B300" t="s">
        <v>943</v>
      </c>
      <c r="C300" t="s">
        <v>944</v>
      </c>
      <c r="D300" t="s">
        <v>945</v>
      </c>
      <c r="E300" t="str" cm="1">
        <f t="array" ref="E300">_xlfn.TEXTSPLIT(
_xlfn.TEXTSPLIT(Team_Links[[#This Row],[GameLogs]],"https://www.sports-reference.com/cbb/schools/",,TRUE,0,), "/",,TRUE,0)</f>
        <v>tarleton-state</v>
      </c>
    </row>
    <row r="301" spans="1:5" x14ac:dyDescent="0.25">
      <c r="A301">
        <v>299</v>
      </c>
      <c r="B301" t="s">
        <v>946</v>
      </c>
      <c r="C301" t="s">
        <v>947</v>
      </c>
      <c r="D301" t="s">
        <v>948</v>
      </c>
      <c r="E301" t="str" cm="1">
        <f t="array" ref="E301">_xlfn.TEXTSPLIT(
_xlfn.TEXTSPLIT(Team_Links[[#This Row],[GameLogs]],"https://www.sports-reference.com/cbb/schools/",,TRUE,0,), "/",,TRUE,0)</f>
        <v>texas-christian</v>
      </c>
    </row>
    <row r="302" spans="1:5" x14ac:dyDescent="0.25">
      <c r="A302">
        <v>300</v>
      </c>
      <c r="B302" t="s">
        <v>949</v>
      </c>
      <c r="C302" t="s">
        <v>950</v>
      </c>
      <c r="D302" t="s">
        <v>951</v>
      </c>
      <c r="E302" t="str" cm="1">
        <f t="array" ref="E302">_xlfn.TEXTSPLIT(
_xlfn.TEXTSPLIT(Team_Links[[#This Row],[GameLogs]],"https://www.sports-reference.com/cbb/schools/",,TRUE,0,), "/",,TRUE,0)</f>
        <v>temple</v>
      </c>
    </row>
    <row r="303" spans="1:5" x14ac:dyDescent="0.25">
      <c r="A303">
        <v>301</v>
      </c>
      <c r="B303" t="s">
        <v>130</v>
      </c>
      <c r="C303" t="s">
        <v>952</v>
      </c>
      <c r="D303" t="s">
        <v>953</v>
      </c>
      <c r="E303" t="str" cm="1">
        <f t="array" ref="E303">_xlfn.TEXTSPLIT(
_xlfn.TEXTSPLIT(Team_Links[[#This Row],[GameLogs]],"https://www.sports-reference.com/cbb/schools/",,TRUE,0,), "/",,TRUE,0)</f>
        <v>tennessee</v>
      </c>
    </row>
    <row r="304" spans="1:5" x14ac:dyDescent="0.25">
      <c r="A304">
        <v>302</v>
      </c>
      <c r="B304" t="s">
        <v>954</v>
      </c>
      <c r="C304" t="s">
        <v>955</v>
      </c>
      <c r="D304" t="s">
        <v>956</v>
      </c>
      <c r="E304" t="str" cm="1">
        <f t="array" ref="E304">_xlfn.TEXTSPLIT(
_xlfn.TEXTSPLIT(Team_Links[[#This Row],[GameLogs]],"https://www.sports-reference.com/cbb/schools/",,TRUE,0,), "/",,TRUE,0)</f>
        <v>tennessee-state</v>
      </c>
    </row>
    <row r="305" spans="1:5" x14ac:dyDescent="0.25">
      <c r="A305">
        <v>303</v>
      </c>
      <c r="B305" t="s">
        <v>957</v>
      </c>
      <c r="C305" t="s">
        <v>958</v>
      </c>
      <c r="D305" t="s">
        <v>959</v>
      </c>
      <c r="E305" t="str" cm="1">
        <f t="array" ref="E305">_xlfn.TEXTSPLIT(
_xlfn.TEXTSPLIT(Team_Links[[#This Row],[GameLogs]],"https://www.sports-reference.com/cbb/schools/",,TRUE,0,), "/",,TRUE,0)</f>
        <v>tennessee-tech</v>
      </c>
    </row>
    <row r="306" spans="1:5" x14ac:dyDescent="0.25">
      <c r="A306">
        <v>304</v>
      </c>
      <c r="B306" t="s">
        <v>960</v>
      </c>
      <c r="C306" t="s">
        <v>961</v>
      </c>
      <c r="D306" t="s">
        <v>962</v>
      </c>
      <c r="E306" t="str" cm="1">
        <f t="array" ref="E306">_xlfn.TEXTSPLIT(
_xlfn.TEXTSPLIT(Team_Links[[#This Row],[GameLogs]],"https://www.sports-reference.com/cbb/schools/",,TRUE,0,), "/",,TRUE,0)</f>
        <v>tennessee-martin</v>
      </c>
    </row>
    <row r="307" spans="1:5" x14ac:dyDescent="0.25">
      <c r="A307">
        <v>305</v>
      </c>
      <c r="B307" t="s">
        <v>138</v>
      </c>
      <c r="C307" t="s">
        <v>963</v>
      </c>
      <c r="D307" t="s">
        <v>964</v>
      </c>
      <c r="E307" t="str" cm="1">
        <f t="array" ref="E307">_xlfn.TEXTSPLIT(
_xlfn.TEXTSPLIT(Team_Links[[#This Row],[GameLogs]],"https://www.sports-reference.com/cbb/schools/",,TRUE,0,), "/",,TRUE,0)</f>
        <v>texas</v>
      </c>
    </row>
    <row r="308" spans="1:5" x14ac:dyDescent="0.25">
      <c r="A308">
        <v>306</v>
      </c>
      <c r="B308" t="s">
        <v>119</v>
      </c>
      <c r="C308" t="s">
        <v>965</v>
      </c>
      <c r="D308" t="s">
        <v>966</v>
      </c>
      <c r="E308" t="str" cm="1">
        <f t="array" ref="E308">_xlfn.TEXTSPLIT(
_xlfn.TEXTSPLIT(Team_Links[[#This Row],[GameLogs]],"https://www.sports-reference.com/cbb/schools/",,TRUE,0,), "/",,TRUE,0)</f>
        <v>texas-am</v>
      </c>
    </row>
    <row r="309" spans="1:5" x14ac:dyDescent="0.25">
      <c r="A309">
        <v>307</v>
      </c>
      <c r="B309" t="s">
        <v>967</v>
      </c>
      <c r="C309" t="s">
        <v>968</v>
      </c>
      <c r="D309" t="s">
        <v>969</v>
      </c>
      <c r="E309" t="str" cm="1">
        <f t="array" ref="E309">_xlfn.TEXTSPLIT(
_xlfn.TEXTSPLIT(Team_Links[[#This Row],[GameLogs]],"https://www.sports-reference.com/cbb/schools/",,TRUE,0,), "/",,TRUE,0)</f>
        <v>texas-am-corpus-christi</v>
      </c>
    </row>
    <row r="310" spans="1:5" x14ac:dyDescent="0.25">
      <c r="A310">
        <v>308</v>
      </c>
      <c r="B310" t="s">
        <v>970</v>
      </c>
      <c r="C310" t="s">
        <v>971</v>
      </c>
      <c r="D310" t="s">
        <v>972</v>
      </c>
      <c r="E310" t="str" cm="1">
        <f t="array" ref="E310">_xlfn.TEXTSPLIT(
_xlfn.TEXTSPLIT(Team_Links[[#This Row],[GameLogs]],"https://www.sports-reference.com/cbb/schools/",,TRUE,0,), "/",,TRUE,0)</f>
        <v>texas-southern</v>
      </c>
    </row>
    <row r="311" spans="1:5" x14ac:dyDescent="0.25">
      <c r="A311">
        <v>309</v>
      </c>
      <c r="B311" t="s">
        <v>973</v>
      </c>
      <c r="C311" t="s">
        <v>974</v>
      </c>
      <c r="D311" t="s">
        <v>975</v>
      </c>
      <c r="E311" t="str" cm="1">
        <f t="array" ref="E311">_xlfn.TEXTSPLIT(
_xlfn.TEXTSPLIT(Team_Links[[#This Row],[GameLogs]],"https://www.sports-reference.com/cbb/schools/",,TRUE,0,), "/",,TRUE,0)</f>
        <v>texas-state</v>
      </c>
    </row>
    <row r="312" spans="1:5" x14ac:dyDescent="0.25">
      <c r="A312">
        <v>310</v>
      </c>
      <c r="B312" t="s">
        <v>106</v>
      </c>
      <c r="C312" t="s">
        <v>976</v>
      </c>
      <c r="D312" t="s">
        <v>977</v>
      </c>
      <c r="E312" t="str" cm="1">
        <f t="array" ref="E312">_xlfn.TEXTSPLIT(
_xlfn.TEXTSPLIT(Team_Links[[#This Row],[GameLogs]],"https://www.sports-reference.com/cbb/schools/",,TRUE,0,), "/",,TRUE,0)</f>
        <v>texas-tech</v>
      </c>
    </row>
    <row r="313" spans="1:5" x14ac:dyDescent="0.25">
      <c r="A313">
        <v>311</v>
      </c>
      <c r="B313" t="s">
        <v>978</v>
      </c>
      <c r="C313" t="s">
        <v>979</v>
      </c>
      <c r="D313" t="s">
        <v>980</v>
      </c>
      <c r="E313" t="str" cm="1">
        <f t="array" ref="E313">_xlfn.TEXTSPLIT(
_xlfn.TEXTSPLIT(Team_Links[[#This Row],[GameLogs]],"https://www.sports-reference.com/cbb/schools/",,TRUE,0,), "/",,TRUE,0)</f>
        <v>texas-pan-american</v>
      </c>
    </row>
    <row r="314" spans="1:5" x14ac:dyDescent="0.25">
      <c r="A314">
        <v>312</v>
      </c>
      <c r="B314" t="s">
        <v>981</v>
      </c>
      <c r="C314" t="s">
        <v>982</v>
      </c>
      <c r="D314" t="s">
        <v>983</v>
      </c>
      <c r="E314" t="str" cm="1">
        <f t="array" ref="E314">_xlfn.TEXTSPLIT(
_xlfn.TEXTSPLIT(Team_Links[[#This Row],[GameLogs]],"https://www.sports-reference.com/cbb/schools/",,TRUE,0,), "/",,TRUE,0)</f>
        <v>citadel</v>
      </c>
    </row>
    <row r="315" spans="1:5" x14ac:dyDescent="0.25">
      <c r="A315">
        <v>313</v>
      </c>
      <c r="B315" t="s">
        <v>984</v>
      </c>
      <c r="C315" t="s">
        <v>985</v>
      </c>
      <c r="D315" t="s">
        <v>986</v>
      </c>
      <c r="E315" t="str" cm="1">
        <f t="array" ref="E315">_xlfn.TEXTSPLIT(
_xlfn.TEXTSPLIT(Team_Links[[#This Row],[GameLogs]],"https://www.sports-reference.com/cbb/schools/",,TRUE,0,), "/",,TRUE,0)</f>
        <v>toledo</v>
      </c>
    </row>
    <row r="316" spans="1:5" x14ac:dyDescent="0.25">
      <c r="A316">
        <v>314</v>
      </c>
      <c r="B316" t="s">
        <v>987</v>
      </c>
      <c r="C316" t="s">
        <v>988</v>
      </c>
      <c r="D316" t="s">
        <v>989</v>
      </c>
      <c r="E316" t="str" cm="1">
        <f t="array" ref="E316">_xlfn.TEXTSPLIT(
_xlfn.TEXTSPLIT(Team_Links[[#This Row],[GameLogs]],"https://www.sports-reference.com/cbb/schools/",,TRUE,0,), "/",,TRUE,0)</f>
        <v>towson</v>
      </c>
    </row>
    <row r="317" spans="1:5" x14ac:dyDescent="0.25">
      <c r="A317">
        <v>315</v>
      </c>
      <c r="B317" t="s">
        <v>141</v>
      </c>
      <c r="C317" t="s">
        <v>990</v>
      </c>
      <c r="D317" t="s">
        <v>991</v>
      </c>
      <c r="E317" t="str" cm="1">
        <f t="array" ref="E317">_xlfn.TEXTSPLIT(
_xlfn.TEXTSPLIT(Team_Links[[#This Row],[GameLogs]],"https://www.sports-reference.com/cbb/schools/",,TRUE,0,), "/",,TRUE,0)</f>
        <v>troy</v>
      </c>
    </row>
    <row r="318" spans="1:5" x14ac:dyDescent="0.25">
      <c r="A318">
        <v>316</v>
      </c>
      <c r="B318" t="s">
        <v>992</v>
      </c>
      <c r="C318" t="s">
        <v>993</v>
      </c>
      <c r="D318" t="s">
        <v>994</v>
      </c>
      <c r="E318" t="str" cm="1">
        <f t="array" ref="E318">_xlfn.TEXTSPLIT(
_xlfn.TEXTSPLIT(Team_Links[[#This Row],[GameLogs]],"https://www.sports-reference.com/cbb/schools/",,TRUE,0,), "/",,TRUE,0)</f>
        <v>tulane</v>
      </c>
    </row>
    <row r="319" spans="1:5" x14ac:dyDescent="0.25">
      <c r="A319">
        <v>317</v>
      </c>
      <c r="B319" t="s">
        <v>995</v>
      </c>
      <c r="C319" t="s">
        <v>996</v>
      </c>
      <c r="D319" t="s">
        <v>997</v>
      </c>
      <c r="E319" t="str" cm="1">
        <f t="array" ref="E319">_xlfn.TEXTSPLIT(
_xlfn.TEXTSPLIT(Team_Links[[#This Row],[GameLogs]],"https://www.sports-reference.com/cbb/schools/",,TRUE,0,), "/",,TRUE,0)</f>
        <v>tulsa</v>
      </c>
    </row>
    <row r="320" spans="1:5" x14ac:dyDescent="0.25">
      <c r="A320">
        <v>318</v>
      </c>
      <c r="B320" t="s">
        <v>998</v>
      </c>
      <c r="C320" t="s">
        <v>999</v>
      </c>
      <c r="D320" t="s">
        <v>1000</v>
      </c>
      <c r="E320" t="str" cm="1">
        <f t="array" ref="E320">_xlfn.TEXTSPLIT(
_xlfn.TEXTSPLIT(Team_Links[[#This Row],[GameLogs]],"https://www.sports-reference.com/cbb/schools/",,TRUE,0,), "/",,TRUE,0)</f>
        <v>alabama-birmingham</v>
      </c>
    </row>
    <row r="321" spans="1:5" x14ac:dyDescent="0.25">
      <c r="A321">
        <v>319</v>
      </c>
      <c r="B321" t="s">
        <v>1001</v>
      </c>
      <c r="C321" t="s">
        <v>1002</v>
      </c>
      <c r="D321" t="s">
        <v>1003</v>
      </c>
      <c r="E321" t="str" cm="1">
        <f t="array" ref="E321">_xlfn.TEXTSPLIT(
_xlfn.TEXTSPLIT(Team_Links[[#This Row],[GameLogs]],"https://www.sports-reference.com/cbb/schools/",,TRUE,0,), "/",,TRUE,0)</f>
        <v>california-davis</v>
      </c>
    </row>
    <row r="322" spans="1:5" x14ac:dyDescent="0.25">
      <c r="A322">
        <v>320</v>
      </c>
      <c r="B322" t="s">
        <v>1004</v>
      </c>
      <c r="C322" t="s">
        <v>1005</v>
      </c>
      <c r="D322" t="s">
        <v>1006</v>
      </c>
      <c r="E322" t="str" cm="1">
        <f t="array" ref="E322">_xlfn.TEXTSPLIT(
_xlfn.TEXTSPLIT(Team_Links[[#This Row],[GameLogs]],"https://www.sports-reference.com/cbb/schools/",,TRUE,0,), "/",,TRUE,0)</f>
        <v>california-irvine</v>
      </c>
    </row>
    <row r="323" spans="1:5" x14ac:dyDescent="0.25">
      <c r="A323">
        <v>321</v>
      </c>
      <c r="B323" t="s">
        <v>1007</v>
      </c>
      <c r="C323" t="s">
        <v>1008</v>
      </c>
      <c r="D323" t="s">
        <v>1009</v>
      </c>
      <c r="E323" t="str" cm="1">
        <f t="array" ref="E323">_xlfn.TEXTSPLIT(
_xlfn.TEXTSPLIT(Team_Links[[#This Row],[GameLogs]],"https://www.sports-reference.com/cbb/schools/",,TRUE,0,), "/",,TRUE,0)</f>
        <v>california-riverside</v>
      </c>
    </row>
    <row r="324" spans="1:5" x14ac:dyDescent="0.25">
      <c r="A324">
        <v>322</v>
      </c>
      <c r="B324" t="s">
        <v>126</v>
      </c>
      <c r="C324" t="s">
        <v>1010</v>
      </c>
      <c r="D324" t="s">
        <v>1011</v>
      </c>
      <c r="E324" t="str" cm="1">
        <f t="array" ref="E324">_xlfn.TEXTSPLIT(
_xlfn.TEXTSPLIT(Team_Links[[#This Row],[GameLogs]],"https://www.sports-reference.com/cbb/schools/",,TRUE,0,), "/",,TRUE,0)</f>
        <v>california-san-diego</v>
      </c>
    </row>
    <row r="325" spans="1:5" x14ac:dyDescent="0.25">
      <c r="A325">
        <v>323</v>
      </c>
      <c r="B325" t="s">
        <v>1012</v>
      </c>
      <c r="C325" t="s">
        <v>1013</v>
      </c>
      <c r="D325" t="s">
        <v>1014</v>
      </c>
      <c r="E325" t="str" cm="1">
        <f t="array" ref="E325">_xlfn.TEXTSPLIT(
_xlfn.TEXTSPLIT(Team_Links[[#This Row],[GameLogs]],"https://www.sports-reference.com/cbb/schools/",,TRUE,0,), "/",,TRUE,0)</f>
        <v>california-santa-barbara</v>
      </c>
    </row>
    <row r="326" spans="1:5" x14ac:dyDescent="0.25">
      <c r="A326">
        <v>324</v>
      </c>
      <c r="B326" t="s">
        <v>1015</v>
      </c>
      <c r="C326" t="s">
        <v>1016</v>
      </c>
      <c r="D326" t="s">
        <v>1017</v>
      </c>
      <c r="E326" t="str" cm="1">
        <f t="array" ref="E326">_xlfn.TEXTSPLIT(
_xlfn.TEXTSPLIT(Team_Links[[#This Row],[GameLogs]],"https://www.sports-reference.com/cbb/schools/",,TRUE,0,), "/",,TRUE,0)</f>
        <v>central-florida</v>
      </c>
    </row>
    <row r="327" spans="1:5" x14ac:dyDescent="0.25">
      <c r="A327">
        <v>325</v>
      </c>
      <c r="B327" t="s">
        <v>134</v>
      </c>
      <c r="C327" t="s">
        <v>1018</v>
      </c>
      <c r="D327" t="s">
        <v>1019</v>
      </c>
      <c r="E327" t="str" cm="1">
        <f t="array" ref="E327">_xlfn.TEXTSPLIT(
_xlfn.TEXTSPLIT(Team_Links[[#This Row],[GameLogs]],"https://www.sports-reference.com/cbb/schools/",,TRUE,0,), "/",,TRUE,0)</f>
        <v>ucla</v>
      </c>
    </row>
    <row r="328" spans="1:5" x14ac:dyDescent="0.25">
      <c r="A328">
        <v>326</v>
      </c>
      <c r="B328" t="s">
        <v>1020</v>
      </c>
      <c r="C328" t="s">
        <v>1021</v>
      </c>
      <c r="D328" t="s">
        <v>1022</v>
      </c>
      <c r="E328" t="str" cm="1">
        <f t="array" ref="E328">_xlfn.TEXTSPLIT(
_xlfn.TEXTSPLIT(Team_Links[[#This Row],[GameLogs]],"https://www.sports-reference.com/cbb/schools/",,TRUE,0,), "/",,TRUE,0)</f>
        <v>north-carolina-asheville</v>
      </c>
    </row>
    <row r="329" spans="1:5" x14ac:dyDescent="0.25">
      <c r="A329">
        <v>327</v>
      </c>
      <c r="B329" t="s">
        <v>1023</v>
      </c>
      <c r="C329" t="s">
        <v>1024</v>
      </c>
      <c r="D329" t="s">
        <v>1025</v>
      </c>
      <c r="E329" t="str" cm="1">
        <f t="array" ref="E329">_xlfn.TEXTSPLIT(
_xlfn.TEXTSPLIT(Team_Links[[#This Row],[GameLogs]],"https://www.sports-reference.com/cbb/schools/",,TRUE,0,), "/",,TRUE,0)</f>
        <v>north-carolina-greensboro</v>
      </c>
    </row>
    <row r="330" spans="1:5" x14ac:dyDescent="0.25">
      <c r="A330">
        <v>328</v>
      </c>
      <c r="B330" t="s">
        <v>114</v>
      </c>
      <c r="C330" t="s">
        <v>1026</v>
      </c>
      <c r="D330" t="s">
        <v>1027</v>
      </c>
      <c r="E330" t="str" cm="1">
        <f t="array" ref="E330">_xlfn.TEXTSPLIT(
_xlfn.TEXTSPLIT(Team_Links[[#This Row],[GameLogs]],"https://www.sports-reference.com/cbb/schools/",,TRUE,0,), "/",,TRUE,0)</f>
        <v>north-carolina-wilmington</v>
      </c>
    </row>
    <row r="331" spans="1:5" x14ac:dyDescent="0.25">
      <c r="A331">
        <v>329</v>
      </c>
      <c r="B331" t="s">
        <v>1028</v>
      </c>
      <c r="C331" t="s">
        <v>1029</v>
      </c>
      <c r="D331" t="s">
        <v>1030</v>
      </c>
      <c r="E331" t="str" cm="1">
        <f t="array" ref="E331">_xlfn.TEXTSPLIT(
_xlfn.TEXTSPLIT(Team_Links[[#This Row],[GameLogs]],"https://www.sports-reference.com/cbb/schools/",,TRUE,0,), "/",,TRUE,0)</f>
        <v>texas-arlington</v>
      </c>
    </row>
    <row r="332" spans="1:5" x14ac:dyDescent="0.25">
      <c r="A332">
        <v>330</v>
      </c>
      <c r="B332" t="s">
        <v>1031</v>
      </c>
      <c r="C332" t="s">
        <v>1032</v>
      </c>
      <c r="D332" t="s">
        <v>1033</v>
      </c>
      <c r="E332" t="str" cm="1">
        <f t="array" ref="E332">_xlfn.TEXTSPLIT(
_xlfn.TEXTSPLIT(Team_Links[[#This Row],[GameLogs]],"https://www.sports-reference.com/cbb/schools/",,TRUE,0,), "/",,TRUE,0)</f>
        <v>utah</v>
      </c>
    </row>
    <row r="333" spans="1:5" x14ac:dyDescent="0.25">
      <c r="A333">
        <v>331</v>
      </c>
      <c r="B333" t="s">
        <v>137</v>
      </c>
      <c r="C333" t="s">
        <v>1034</v>
      </c>
      <c r="D333" t="s">
        <v>1035</v>
      </c>
      <c r="E333" t="str" cm="1">
        <f t="array" ref="E333">_xlfn.TEXTSPLIT(
_xlfn.TEXTSPLIT(Team_Links[[#This Row],[GameLogs]],"https://www.sports-reference.com/cbb/schools/",,TRUE,0,), "/",,TRUE,0)</f>
        <v>utah-state</v>
      </c>
    </row>
    <row r="334" spans="1:5" x14ac:dyDescent="0.25">
      <c r="A334">
        <v>332</v>
      </c>
      <c r="B334" t="s">
        <v>1036</v>
      </c>
      <c r="C334" t="s">
        <v>1037</v>
      </c>
      <c r="D334" t="s">
        <v>1038</v>
      </c>
      <c r="E334" t="str" cm="1">
        <f t="array" ref="E334">_xlfn.TEXTSPLIT(
_xlfn.TEXTSPLIT(Team_Links[[#This Row],[GameLogs]],"https://www.sports-reference.com/cbb/schools/",,TRUE,0,), "/",,TRUE,0)</f>
        <v>dixie-state</v>
      </c>
    </row>
    <row r="335" spans="1:5" x14ac:dyDescent="0.25">
      <c r="A335">
        <v>333</v>
      </c>
      <c r="B335" t="s">
        <v>1039</v>
      </c>
      <c r="C335" t="s">
        <v>1040</v>
      </c>
      <c r="D335" t="s">
        <v>1041</v>
      </c>
      <c r="E335" t="str" cm="1">
        <f t="array" ref="E335">_xlfn.TEXTSPLIT(
_xlfn.TEXTSPLIT(Team_Links[[#This Row],[GameLogs]],"https://www.sports-reference.com/cbb/schools/",,TRUE,0,), "/",,TRUE,0)</f>
        <v>utah-valley</v>
      </c>
    </row>
    <row r="336" spans="1:5" x14ac:dyDescent="0.25">
      <c r="A336">
        <v>334</v>
      </c>
      <c r="B336" t="s">
        <v>1042</v>
      </c>
      <c r="C336" t="s">
        <v>1043</v>
      </c>
      <c r="D336" t="s">
        <v>1044</v>
      </c>
      <c r="E336" t="str" cm="1">
        <f t="array" ref="E336">_xlfn.TEXTSPLIT(
_xlfn.TEXTSPLIT(Team_Links[[#This Row],[GameLogs]],"https://www.sports-reference.com/cbb/schools/",,TRUE,0,), "/",,TRUE,0)</f>
        <v>texas-el-paso</v>
      </c>
    </row>
    <row r="337" spans="1:5" x14ac:dyDescent="0.25">
      <c r="A337">
        <v>335</v>
      </c>
      <c r="B337" t="s">
        <v>1045</v>
      </c>
      <c r="C337" t="s">
        <v>1046</v>
      </c>
      <c r="D337" t="s">
        <v>1047</v>
      </c>
      <c r="E337" t="str" cm="1">
        <f t="array" ref="E337">_xlfn.TEXTSPLIT(
_xlfn.TEXTSPLIT(Team_Links[[#This Row],[GameLogs]],"https://www.sports-reference.com/cbb/schools/",,TRUE,0,), "/",,TRUE,0)</f>
        <v>texas-san-antonio</v>
      </c>
    </row>
    <row r="338" spans="1:5" x14ac:dyDescent="0.25">
      <c r="A338">
        <v>336</v>
      </c>
      <c r="B338" t="s">
        <v>1048</v>
      </c>
      <c r="C338" t="s">
        <v>1049</v>
      </c>
      <c r="D338" t="s">
        <v>1050</v>
      </c>
      <c r="E338" t="str" cm="1">
        <f t="array" ref="E338">_xlfn.TEXTSPLIT(
_xlfn.TEXTSPLIT(Team_Links[[#This Row],[GameLogs]],"https://www.sports-reference.com/cbb/schools/",,TRUE,0,), "/",,TRUE,0)</f>
        <v>valparaiso</v>
      </c>
    </row>
    <row r="339" spans="1:5" x14ac:dyDescent="0.25">
      <c r="A339">
        <v>337</v>
      </c>
      <c r="B339" t="s">
        <v>99</v>
      </c>
      <c r="C339" t="s">
        <v>1051</v>
      </c>
      <c r="D339" t="s">
        <v>1052</v>
      </c>
      <c r="E339" t="str" cm="1">
        <f t="array" ref="E339">_xlfn.TEXTSPLIT(
_xlfn.TEXTSPLIT(Team_Links[[#This Row],[GameLogs]],"https://www.sports-reference.com/cbb/schools/",,TRUE,0,), "/",,TRUE,0)</f>
        <v>vanderbilt</v>
      </c>
    </row>
    <row r="340" spans="1:5" x14ac:dyDescent="0.25">
      <c r="A340">
        <v>338</v>
      </c>
      <c r="B340" t="s">
        <v>1053</v>
      </c>
      <c r="C340" t="s">
        <v>1054</v>
      </c>
      <c r="D340" t="s">
        <v>1055</v>
      </c>
      <c r="E340" t="str" cm="1">
        <f t="array" ref="E340">_xlfn.TEXTSPLIT(
_xlfn.TEXTSPLIT(Team_Links[[#This Row],[GameLogs]],"https://www.sports-reference.com/cbb/schools/",,TRUE,0,), "/",,TRUE,0)</f>
        <v>vermont</v>
      </c>
    </row>
    <row r="341" spans="1:5" x14ac:dyDescent="0.25">
      <c r="A341">
        <v>339</v>
      </c>
      <c r="B341" t="s">
        <v>1056</v>
      </c>
      <c r="C341" t="s">
        <v>1057</v>
      </c>
      <c r="D341" t="s">
        <v>1058</v>
      </c>
      <c r="E341" t="str" cm="1">
        <f t="array" ref="E341">_xlfn.TEXTSPLIT(
_xlfn.TEXTSPLIT(Team_Links[[#This Row],[GameLogs]],"https://www.sports-reference.com/cbb/schools/",,TRUE,0,), "/",,TRUE,0)</f>
        <v>villanova</v>
      </c>
    </row>
    <row r="342" spans="1:5" x14ac:dyDescent="0.25">
      <c r="A342">
        <v>340</v>
      </c>
      <c r="B342" t="s">
        <v>1059</v>
      </c>
      <c r="C342" t="s">
        <v>1060</v>
      </c>
      <c r="D342" t="s">
        <v>1061</v>
      </c>
      <c r="E342" t="str" cm="1">
        <f t="array" ref="E342">_xlfn.TEXTSPLIT(
_xlfn.TEXTSPLIT(Team_Links[[#This Row],[GameLogs]],"https://www.sports-reference.com/cbb/schools/",,TRUE,0,), "/",,TRUE,0)</f>
        <v>virginia</v>
      </c>
    </row>
    <row r="343" spans="1:5" x14ac:dyDescent="0.25">
      <c r="A343">
        <v>341</v>
      </c>
      <c r="B343" t="s">
        <v>1062</v>
      </c>
      <c r="C343" t="s">
        <v>1063</v>
      </c>
      <c r="D343" t="s">
        <v>1064</v>
      </c>
      <c r="E343" t="str" cm="1">
        <f t="array" ref="E343">_xlfn.TEXTSPLIT(
_xlfn.TEXTSPLIT(Team_Links[[#This Row],[GameLogs]],"https://www.sports-reference.com/cbb/schools/",,TRUE,0,), "/",,TRUE,0)</f>
        <v>virginia-commonwealth</v>
      </c>
    </row>
    <row r="344" spans="1:5" x14ac:dyDescent="0.25">
      <c r="A344">
        <v>342</v>
      </c>
      <c r="B344" t="s">
        <v>1065</v>
      </c>
      <c r="C344" t="s">
        <v>1066</v>
      </c>
      <c r="D344" t="s">
        <v>1067</v>
      </c>
      <c r="E344" t="str" cm="1">
        <f t="array" ref="E344">_xlfn.TEXTSPLIT(
_xlfn.TEXTSPLIT(Team_Links[[#This Row],[GameLogs]],"https://www.sports-reference.com/cbb/schools/",,TRUE,0,), "/",,TRUE,0)</f>
        <v>virginia-military-institute</v>
      </c>
    </row>
    <row r="345" spans="1:5" x14ac:dyDescent="0.25">
      <c r="A345">
        <v>343</v>
      </c>
      <c r="B345" t="s">
        <v>1068</v>
      </c>
      <c r="C345" t="s">
        <v>1069</v>
      </c>
      <c r="D345" t="s">
        <v>1070</v>
      </c>
      <c r="E345" t="str" cm="1">
        <f t="array" ref="E345">_xlfn.TEXTSPLIT(
_xlfn.TEXTSPLIT(Team_Links[[#This Row],[GameLogs]],"https://www.sports-reference.com/cbb/schools/",,TRUE,0,), "/",,TRUE,0)</f>
        <v>virginia-tech</v>
      </c>
    </row>
    <row r="346" spans="1:5" x14ac:dyDescent="0.25">
      <c r="A346">
        <v>344</v>
      </c>
      <c r="B346" t="s">
        <v>1071</v>
      </c>
      <c r="C346" t="s">
        <v>1072</v>
      </c>
      <c r="D346" t="s">
        <v>1073</v>
      </c>
      <c r="E346" t="str" cm="1">
        <f t="array" ref="E346">_xlfn.TEXTSPLIT(
_xlfn.TEXTSPLIT(Team_Links[[#This Row],[GameLogs]],"https://www.sports-reference.com/cbb/schools/",,TRUE,0,), "/",,TRUE,0)</f>
        <v>wagner</v>
      </c>
    </row>
    <row r="347" spans="1:5" x14ac:dyDescent="0.25">
      <c r="A347">
        <v>345</v>
      </c>
      <c r="B347" t="s">
        <v>1074</v>
      </c>
      <c r="C347" t="s">
        <v>1075</v>
      </c>
      <c r="D347" t="s">
        <v>1076</v>
      </c>
      <c r="E347" t="str" cm="1">
        <f t="array" ref="E347">_xlfn.TEXTSPLIT(
_xlfn.TEXTSPLIT(Team_Links[[#This Row],[GameLogs]],"https://www.sports-reference.com/cbb/schools/",,TRUE,0,), "/",,TRUE,0)</f>
        <v>wake-forest</v>
      </c>
    </row>
    <row r="348" spans="1:5" x14ac:dyDescent="0.25">
      <c r="A348">
        <v>346</v>
      </c>
      <c r="B348" t="s">
        <v>1077</v>
      </c>
      <c r="C348" t="s">
        <v>1078</v>
      </c>
      <c r="D348" t="s">
        <v>1079</v>
      </c>
      <c r="E348" t="str" cm="1">
        <f t="array" ref="E348">_xlfn.TEXTSPLIT(
_xlfn.TEXTSPLIT(Team_Links[[#This Row],[GameLogs]],"https://www.sports-reference.com/cbb/schools/",,TRUE,0,), "/",,TRUE,0)</f>
        <v>washington</v>
      </c>
    </row>
    <row r="349" spans="1:5" x14ac:dyDescent="0.25">
      <c r="A349">
        <v>347</v>
      </c>
      <c r="B349" t="s">
        <v>1080</v>
      </c>
      <c r="C349" t="s">
        <v>1081</v>
      </c>
      <c r="D349" t="s">
        <v>1082</v>
      </c>
      <c r="E349" t="str" cm="1">
        <f t="array" ref="E349">_xlfn.TEXTSPLIT(
_xlfn.TEXTSPLIT(Team_Links[[#This Row],[GameLogs]],"https://www.sports-reference.com/cbb/schools/",,TRUE,0,), "/",,TRUE,0)</f>
        <v>washington-state</v>
      </c>
    </row>
    <row r="350" spans="1:5" x14ac:dyDescent="0.25">
      <c r="A350">
        <v>348</v>
      </c>
      <c r="B350" t="s">
        <v>1083</v>
      </c>
      <c r="C350" t="s">
        <v>1084</v>
      </c>
      <c r="D350" t="s">
        <v>1085</v>
      </c>
      <c r="E350" t="str" cm="1">
        <f t="array" ref="E350">_xlfn.TEXTSPLIT(
_xlfn.TEXTSPLIT(Team_Links[[#This Row],[GameLogs]],"https://www.sports-reference.com/cbb/schools/",,TRUE,0,), "/",,TRUE,0)</f>
        <v>weber-state</v>
      </c>
    </row>
    <row r="351" spans="1:5" x14ac:dyDescent="0.25">
      <c r="A351">
        <v>349</v>
      </c>
      <c r="B351" t="s">
        <v>1086</v>
      </c>
      <c r="C351" t="s">
        <v>1087</v>
      </c>
      <c r="D351" t="s">
        <v>1088</v>
      </c>
      <c r="E351" t="str" cm="1">
        <f t="array" ref="E351">_xlfn.TEXTSPLIT(
_xlfn.TEXTSPLIT(Team_Links[[#This Row],[GameLogs]],"https://www.sports-reference.com/cbb/schools/",,TRUE,0,), "/",,TRUE,0)</f>
        <v>west-georgia</v>
      </c>
    </row>
    <row r="352" spans="1:5" x14ac:dyDescent="0.25">
      <c r="A352">
        <v>350</v>
      </c>
      <c r="B352" t="s">
        <v>1089</v>
      </c>
      <c r="C352" t="s">
        <v>1090</v>
      </c>
      <c r="D352" t="s">
        <v>1091</v>
      </c>
      <c r="E352" t="str" cm="1">
        <f t="array" ref="E352">_xlfn.TEXTSPLIT(
_xlfn.TEXTSPLIT(Team_Links[[#This Row],[GameLogs]],"https://www.sports-reference.com/cbb/schools/",,TRUE,0,), "/",,TRUE,0)</f>
        <v>west-virginia</v>
      </c>
    </row>
    <row r="353" spans="1:5" x14ac:dyDescent="0.25">
      <c r="A353">
        <v>351</v>
      </c>
      <c r="B353" t="s">
        <v>1092</v>
      </c>
      <c r="C353" t="s">
        <v>1093</v>
      </c>
      <c r="D353" t="s">
        <v>1094</v>
      </c>
      <c r="E353" t="str" cm="1">
        <f t="array" ref="E353">_xlfn.TEXTSPLIT(
_xlfn.TEXTSPLIT(Team_Links[[#This Row],[GameLogs]],"https://www.sports-reference.com/cbb/schools/",,TRUE,0,), "/",,TRUE,0)</f>
        <v>western-carolina</v>
      </c>
    </row>
    <row r="354" spans="1:5" x14ac:dyDescent="0.25">
      <c r="A354">
        <v>352</v>
      </c>
      <c r="B354" t="s">
        <v>1095</v>
      </c>
      <c r="C354" t="s">
        <v>1096</v>
      </c>
      <c r="D354" t="s">
        <v>1097</v>
      </c>
      <c r="E354" t="str" cm="1">
        <f t="array" ref="E354">_xlfn.TEXTSPLIT(
_xlfn.TEXTSPLIT(Team_Links[[#This Row],[GameLogs]],"https://www.sports-reference.com/cbb/schools/",,TRUE,0,), "/",,TRUE,0)</f>
        <v>western-illinois</v>
      </c>
    </row>
    <row r="355" spans="1:5" x14ac:dyDescent="0.25">
      <c r="A355">
        <v>353</v>
      </c>
      <c r="B355" t="s">
        <v>1098</v>
      </c>
      <c r="C355" t="s">
        <v>1099</v>
      </c>
      <c r="D355" t="s">
        <v>1100</v>
      </c>
      <c r="E355" t="str" cm="1">
        <f t="array" ref="E355">_xlfn.TEXTSPLIT(
_xlfn.TEXTSPLIT(Team_Links[[#This Row],[GameLogs]],"https://www.sports-reference.com/cbb/schools/",,TRUE,0,), "/",,TRUE,0)</f>
        <v>western-kentucky</v>
      </c>
    </row>
    <row r="356" spans="1:5" x14ac:dyDescent="0.25">
      <c r="A356">
        <v>354</v>
      </c>
      <c r="B356" t="s">
        <v>1101</v>
      </c>
      <c r="C356" t="s">
        <v>1102</v>
      </c>
      <c r="D356" t="s">
        <v>1103</v>
      </c>
      <c r="E356" t="str" cm="1">
        <f t="array" ref="E356">_xlfn.TEXTSPLIT(
_xlfn.TEXTSPLIT(Team_Links[[#This Row],[GameLogs]],"https://www.sports-reference.com/cbb/schools/",,TRUE,0,), "/",,TRUE,0)</f>
        <v>western-michigan</v>
      </c>
    </row>
    <row r="357" spans="1:5" x14ac:dyDescent="0.25">
      <c r="A357">
        <v>355</v>
      </c>
      <c r="B357" t="s">
        <v>1104</v>
      </c>
      <c r="C357" t="s">
        <v>1105</v>
      </c>
      <c r="D357" t="s">
        <v>1106</v>
      </c>
      <c r="E357" t="str" cm="1">
        <f t="array" ref="E357">_xlfn.TEXTSPLIT(
_xlfn.TEXTSPLIT(Team_Links[[#This Row],[GameLogs]],"https://www.sports-reference.com/cbb/schools/",,TRUE,0,), "/",,TRUE,0)</f>
        <v>wichita-state</v>
      </c>
    </row>
    <row r="358" spans="1:5" x14ac:dyDescent="0.25">
      <c r="A358">
        <v>356</v>
      </c>
      <c r="B358" t="s">
        <v>1107</v>
      </c>
      <c r="C358" t="s">
        <v>1108</v>
      </c>
      <c r="D358" t="s">
        <v>1109</v>
      </c>
      <c r="E358" t="str" cm="1">
        <f t="array" ref="E358">_xlfn.TEXTSPLIT(
_xlfn.TEXTSPLIT(Team_Links[[#This Row],[GameLogs]],"https://www.sports-reference.com/cbb/schools/",,TRUE,0,), "/",,TRUE,0)</f>
        <v>william-mary</v>
      </c>
    </row>
    <row r="359" spans="1:5" x14ac:dyDescent="0.25">
      <c r="A359">
        <v>357</v>
      </c>
      <c r="B359" t="s">
        <v>1110</v>
      </c>
      <c r="C359" t="s">
        <v>1111</v>
      </c>
      <c r="D359" t="s">
        <v>1112</v>
      </c>
      <c r="E359" t="str" cm="1">
        <f t="array" ref="E359">_xlfn.TEXTSPLIT(
_xlfn.TEXTSPLIT(Team_Links[[#This Row],[GameLogs]],"https://www.sports-reference.com/cbb/schools/",,TRUE,0,), "/",,TRUE,0)</f>
        <v>winthrop</v>
      </c>
    </row>
    <row r="360" spans="1:5" x14ac:dyDescent="0.25">
      <c r="A360">
        <v>358</v>
      </c>
      <c r="B360" t="s">
        <v>96</v>
      </c>
      <c r="C360" t="s">
        <v>1113</v>
      </c>
      <c r="D360" t="s">
        <v>1114</v>
      </c>
      <c r="E360" t="str" cm="1">
        <f t="array" ref="E360">_xlfn.TEXTSPLIT(
_xlfn.TEXTSPLIT(Team_Links[[#This Row],[GameLogs]],"https://www.sports-reference.com/cbb/schools/",,TRUE,0,), "/",,TRUE,0)</f>
        <v>wisconsin</v>
      </c>
    </row>
    <row r="361" spans="1:5" x14ac:dyDescent="0.25">
      <c r="A361">
        <v>359</v>
      </c>
      <c r="B361" t="s">
        <v>142</v>
      </c>
      <c r="C361" t="s">
        <v>1115</v>
      </c>
      <c r="D361" t="s">
        <v>1116</v>
      </c>
      <c r="E361" t="str" cm="1">
        <f t="array" ref="E361">_xlfn.TEXTSPLIT(
_xlfn.TEXTSPLIT(Team_Links[[#This Row],[GameLogs]],"https://www.sports-reference.com/cbb/schools/",,TRUE,0,), "/",,TRUE,0)</f>
        <v>wofford</v>
      </c>
    </row>
    <row r="362" spans="1:5" x14ac:dyDescent="0.25">
      <c r="A362">
        <v>360</v>
      </c>
      <c r="B362" t="s">
        <v>1117</v>
      </c>
      <c r="C362" t="s">
        <v>1118</v>
      </c>
      <c r="D362" t="s">
        <v>1119</v>
      </c>
      <c r="E362" t="str" cm="1">
        <f t="array" ref="E362">_xlfn.TEXTSPLIT(
_xlfn.TEXTSPLIT(Team_Links[[#This Row],[GameLogs]],"https://www.sports-reference.com/cbb/schools/",,TRUE,0,), "/",,TRUE,0)</f>
        <v>wright-state</v>
      </c>
    </row>
    <row r="363" spans="1:5" x14ac:dyDescent="0.25">
      <c r="A363">
        <v>361</v>
      </c>
      <c r="B363" t="s">
        <v>1120</v>
      </c>
      <c r="C363" t="s">
        <v>1121</v>
      </c>
      <c r="D363" t="s">
        <v>1122</v>
      </c>
      <c r="E363" t="str" cm="1">
        <f t="array" ref="E363">_xlfn.TEXTSPLIT(
_xlfn.TEXTSPLIT(Team_Links[[#This Row],[GameLogs]],"https://www.sports-reference.com/cbb/schools/",,TRUE,0,), "/",,TRUE,0)</f>
        <v>wyoming</v>
      </c>
    </row>
    <row r="364" spans="1:5" x14ac:dyDescent="0.25">
      <c r="A364">
        <v>362</v>
      </c>
      <c r="B364" t="s">
        <v>139</v>
      </c>
      <c r="C364" t="s">
        <v>1123</v>
      </c>
      <c r="D364" t="s">
        <v>1124</v>
      </c>
      <c r="E364" t="str" cm="1">
        <f t="array" ref="E364">_xlfn.TEXTSPLIT(
_xlfn.TEXTSPLIT(Team_Links[[#This Row],[GameLogs]],"https://www.sports-reference.com/cbb/schools/",,TRUE,0,), "/",,TRUE,0)</f>
        <v>xavier</v>
      </c>
    </row>
    <row r="365" spans="1:5" x14ac:dyDescent="0.25">
      <c r="A365">
        <v>363</v>
      </c>
      <c r="B365" t="s">
        <v>127</v>
      </c>
      <c r="C365" t="s">
        <v>1125</v>
      </c>
      <c r="D365" t="s">
        <v>1126</v>
      </c>
      <c r="E365" t="str" cm="1">
        <f t="array" ref="E365">_xlfn.TEXTSPLIT(
_xlfn.TEXTSPLIT(Team_Links[[#This Row],[GameLogs]],"https://www.sports-reference.com/cbb/schools/",,TRUE,0,), "/",,TRUE,0)</f>
        <v>yale</v>
      </c>
    </row>
    <row r="366" spans="1:5" x14ac:dyDescent="0.25">
      <c r="A366">
        <v>364</v>
      </c>
      <c r="B366" t="s">
        <v>1127</v>
      </c>
      <c r="C366" t="s">
        <v>1128</v>
      </c>
      <c r="D366" t="s">
        <v>1129</v>
      </c>
      <c r="E366" t="str" cm="1">
        <f t="array" ref="E366">_xlfn.TEXTSPLIT(
_xlfn.TEXTSPLIT(Team_Links[[#This Row],[GameLogs]],"https://www.sports-reference.com/cbb/schools/",,TRUE,0,), "/",,TRUE,0)</f>
        <v>youngstown-state</v>
      </c>
    </row>
  </sheetData>
  <hyperlinks>
    <hyperlink ref="C185" r:id="rId1" xr:uid="{5548989D-C07C-401F-9334-7F2860C56264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932D2-531A-431B-92B5-BD115656F419}">
  <sheetPr>
    <tabColor rgb="FFFEC89C"/>
  </sheetPr>
  <dimension ref="A1:F65"/>
  <sheetViews>
    <sheetView workbookViewId="0">
      <pane ySplit="1" topLeftCell="A2" activePane="bottomLeft" state="frozen"/>
      <selection pane="bottomLeft" activeCell="G20" sqref="G20"/>
    </sheetView>
  </sheetViews>
  <sheetFormatPr defaultRowHeight="16.8" customHeight="1" x14ac:dyDescent="0.25"/>
  <cols>
    <col min="1" max="1" width="5.33203125" style="1" bestFit="1" customWidth="1"/>
    <col min="2" max="2" width="11.77734375" style="1" customWidth="1"/>
    <col min="3" max="3" width="26.88671875" customWidth="1"/>
    <col min="4" max="4" width="21.109375" bestFit="1" customWidth="1"/>
    <col min="5" max="5" width="5.44140625" style="1" bestFit="1" customWidth="1"/>
  </cols>
  <sheetData>
    <row r="1" spans="1:6" ht="16.8" customHeight="1" x14ac:dyDescent="0.25">
      <c r="A1" s="21" t="s">
        <v>21</v>
      </c>
      <c r="B1" s="21" t="s">
        <v>23</v>
      </c>
      <c r="C1" s="21" t="s">
        <v>22</v>
      </c>
      <c r="D1" s="21" t="s">
        <v>28</v>
      </c>
      <c r="E1" s="21" t="s">
        <v>27</v>
      </c>
    </row>
    <row r="2" spans="1:6" ht="16.8" customHeight="1" x14ac:dyDescent="0.25">
      <c r="A2" s="1">
        <v>1</v>
      </c>
      <c r="B2" s="1" t="s">
        <v>15</v>
      </c>
      <c r="C2" t="s">
        <v>29</v>
      </c>
      <c r="D2" t="str">
        <f>_xlfn.XLOOKUP(Teams[[#This Row],[Team]],Team_Links[School],Team_Links[PartialLink],,0,1)</f>
        <v>abilene-christian</v>
      </c>
      <c r="E2" s="1" t="e" vm="1">
        <f>_xlfn.IMAGE(_xlfn.CONCAT("https://cdn.ssref.net/req/202510241/tlogo/ncaa/",TEXT(Teams[[#This Row],[Hyperlink Name]],),"-2025.png"))</f>
        <v>#VALUE!</v>
      </c>
      <c r="F2" s="66"/>
    </row>
    <row r="3" spans="1:6" ht="16.8" customHeight="1" x14ac:dyDescent="0.25">
      <c r="A3" s="1">
        <v>16</v>
      </c>
      <c r="B3" s="1" t="s">
        <v>15</v>
      </c>
      <c r="C3" t="s">
        <v>30</v>
      </c>
      <c r="D3" t="str">
        <f>_xlfn.XLOOKUP(Teams[[#This Row],[Team]],Team_Links[School],Team_Links[PartialLink],,0,1)</f>
        <v>air-force</v>
      </c>
      <c r="E3" s="1" t="e" vm="2">
        <f>_xlfn.IMAGE(_xlfn.CONCAT("https://cdn.ssref.net/req/202510241/tlogo/ncaa/",TEXT(Teams[[#This Row],[Hyperlink Name]],),"-2025.png"))</f>
        <v>#VALUE!</v>
      </c>
    </row>
    <row r="4" spans="1:6" ht="16.8" customHeight="1" x14ac:dyDescent="0.25">
      <c r="A4" s="1">
        <v>8</v>
      </c>
      <c r="B4" s="1" t="s">
        <v>15</v>
      </c>
      <c r="C4" t="s">
        <v>31</v>
      </c>
      <c r="D4" t="str">
        <f>_xlfn.XLOOKUP(Teams[[#This Row],[Team]],Team_Links[School],Team_Links[PartialLink],,0,1)</f>
        <v>akron</v>
      </c>
      <c r="E4" s="1" t="e" vm="3">
        <f>_xlfn.IMAGE(_xlfn.CONCAT("https://cdn.ssref.net/req/202510241/tlogo/ncaa/",TEXT(Teams[[#This Row],[Hyperlink Name]],),"-2025.png"))</f>
        <v>#VALUE!</v>
      </c>
    </row>
    <row r="5" spans="1:6" ht="16.8" customHeight="1" x14ac:dyDescent="0.25">
      <c r="A5" s="1">
        <v>9</v>
      </c>
      <c r="B5" s="1" t="s">
        <v>15</v>
      </c>
      <c r="C5" t="s">
        <v>32</v>
      </c>
      <c r="D5" t="str">
        <f>_xlfn.XLOOKUP(Teams[[#This Row],[Team]],Team_Links[School],Team_Links[PartialLink],,0,1)</f>
        <v>alabama</v>
      </c>
      <c r="E5" s="1" t="e" vm="4">
        <f>_xlfn.IMAGE(_xlfn.CONCAT("https://cdn.ssref.net/req/202510241/tlogo/ncaa/",TEXT(Teams[[#This Row],[Hyperlink Name]],),"-2025.png"))</f>
        <v>#VALUE!</v>
      </c>
    </row>
    <row r="6" spans="1:6" ht="16.8" customHeight="1" x14ac:dyDescent="0.25">
      <c r="A6" s="1">
        <v>5</v>
      </c>
      <c r="B6" s="1" t="s">
        <v>15</v>
      </c>
      <c r="C6" t="s">
        <v>33</v>
      </c>
      <c r="D6" t="str">
        <f>_xlfn.XLOOKUP(Teams[[#This Row],[Team]],Team_Links[School],Team_Links[PartialLink],,0,1)</f>
        <v>alabama-am</v>
      </c>
      <c r="E6" s="1" t="e" vm="5">
        <f>_xlfn.IMAGE(_xlfn.CONCAT("https://cdn.ssref.net/req/202510241/tlogo/ncaa/",TEXT(Teams[[#This Row],[Hyperlink Name]],),"-2025.png"))</f>
        <v>#VALUE!</v>
      </c>
    </row>
    <row r="7" spans="1:6" ht="16.8" customHeight="1" x14ac:dyDescent="0.25">
      <c r="A7" s="1">
        <v>12</v>
      </c>
      <c r="B7" s="1" t="s">
        <v>15</v>
      </c>
      <c r="C7" t="s">
        <v>34</v>
      </c>
      <c r="D7" t="str">
        <f>_xlfn.XLOOKUP(Teams[[#This Row],[Team]],Team_Links[School],Team_Links[PartialLink],,0,1)</f>
        <v>alabama-state</v>
      </c>
      <c r="E7" s="1" t="e" vm="6">
        <f>_xlfn.IMAGE(_xlfn.CONCAT("https://cdn.ssref.net/req/202510241/tlogo/ncaa/",TEXT(Teams[[#This Row],[Hyperlink Name]],),"-2025.png"))</f>
        <v>#VALUE!</v>
      </c>
    </row>
    <row r="8" spans="1:6" ht="16.8" customHeight="1" x14ac:dyDescent="0.25">
      <c r="A8" s="1">
        <v>4</v>
      </c>
      <c r="B8" s="1" t="s">
        <v>15</v>
      </c>
      <c r="C8" t="s">
        <v>35</v>
      </c>
      <c r="D8" t="str">
        <f>_xlfn.XLOOKUP(Teams[[#This Row],[Team]],Team_Links[School],Team_Links[PartialLink],,0,1)</f>
        <v>albany-ny</v>
      </c>
      <c r="E8" s="1" t="e" vm="7">
        <f>_xlfn.IMAGE(_xlfn.CONCAT("https://cdn.ssref.net/req/202510241/tlogo/ncaa/",TEXT(Teams[[#This Row],[Hyperlink Name]],),"-2025.png"))</f>
        <v>#VALUE!</v>
      </c>
    </row>
    <row r="9" spans="1:6" ht="16.8" customHeight="1" x14ac:dyDescent="0.25">
      <c r="A9" s="1">
        <v>13</v>
      </c>
      <c r="B9" s="1" t="s">
        <v>15</v>
      </c>
      <c r="C9" t="s">
        <v>36</v>
      </c>
      <c r="D9" t="str">
        <f>_xlfn.XLOOKUP(Teams[[#This Row],[Team]],Team_Links[School],Team_Links[PartialLink],,0,1)</f>
        <v>alcorn-state</v>
      </c>
      <c r="E9" s="1" t="e" vm="8">
        <f>_xlfn.IMAGE(_xlfn.CONCAT("https://cdn.ssref.net/req/202510241/tlogo/ncaa/",TEXT(Teams[[#This Row],[Hyperlink Name]],),"-2025.png"))</f>
        <v>#VALUE!</v>
      </c>
    </row>
    <row r="10" spans="1:6" ht="16.8" customHeight="1" x14ac:dyDescent="0.25">
      <c r="A10" s="1">
        <v>6</v>
      </c>
      <c r="B10" s="1" t="s">
        <v>15</v>
      </c>
      <c r="C10" t="s">
        <v>37</v>
      </c>
      <c r="D10" t="str">
        <f>_xlfn.XLOOKUP(Teams[[#This Row],[Team]],Team_Links[School],Team_Links[PartialLink],,0,1)</f>
        <v>american</v>
      </c>
      <c r="E10" s="1" t="e" vm="9">
        <f>_xlfn.IMAGE(_xlfn.CONCAT("https://cdn.ssref.net/req/202510241/tlogo/ncaa/",TEXT(Teams[[#This Row],[Hyperlink Name]],),"-2025.png"))</f>
        <v>#VALUE!</v>
      </c>
    </row>
    <row r="11" spans="1:6" ht="16.8" customHeight="1" x14ac:dyDescent="0.25">
      <c r="A11" s="1">
        <v>11</v>
      </c>
      <c r="B11" s="1" t="s">
        <v>15</v>
      </c>
      <c r="C11" t="s">
        <v>38</v>
      </c>
      <c r="D11" t="str">
        <f>_xlfn.XLOOKUP(Teams[[#This Row],[Team]],Team_Links[School],Team_Links[PartialLink],,0,1)</f>
        <v>appalachian-state</v>
      </c>
      <c r="E11" s="1" t="e" vm="10">
        <f>_xlfn.IMAGE(_xlfn.CONCAT("https://cdn.ssref.net/req/202510241/tlogo/ncaa/",TEXT(Teams[[#This Row],[Hyperlink Name]],),"-2025.png"))</f>
        <v>#VALUE!</v>
      </c>
    </row>
    <row r="12" spans="1:6" ht="16.8" customHeight="1" x14ac:dyDescent="0.25">
      <c r="A12" s="1">
        <v>3</v>
      </c>
      <c r="B12" s="1" t="s">
        <v>15</v>
      </c>
      <c r="C12" t="s">
        <v>39</v>
      </c>
      <c r="D12" t="str">
        <f>_xlfn.XLOOKUP(Teams[[#This Row],[Team]],Team_Links[School],Team_Links[PartialLink],,0,1)</f>
        <v>arizona</v>
      </c>
      <c r="E12" s="1" t="e" vm="11">
        <f>_xlfn.IMAGE(_xlfn.CONCAT("https://cdn.ssref.net/req/202510241/tlogo/ncaa/",TEXT(Teams[[#This Row],[Hyperlink Name]],),"-2025.png"))</f>
        <v>#VALUE!</v>
      </c>
    </row>
    <row r="13" spans="1:6" ht="16.8" customHeight="1" x14ac:dyDescent="0.25">
      <c r="A13" s="1">
        <v>14</v>
      </c>
      <c r="B13" s="1" t="s">
        <v>15</v>
      </c>
      <c r="C13" t="s">
        <v>40</v>
      </c>
      <c r="D13" t="str">
        <f>_xlfn.XLOOKUP(Teams[[#This Row],[Team]],Team_Links[School],Team_Links[PartialLink],,0,1)</f>
        <v>arizona-state</v>
      </c>
      <c r="E13" s="1" t="e" vm="12">
        <f>_xlfn.IMAGE(_xlfn.CONCAT("https://cdn.ssref.net/req/202510241/tlogo/ncaa/",TEXT(Teams[[#This Row],[Hyperlink Name]],),"-2025.png"))</f>
        <v>#VALUE!</v>
      </c>
    </row>
    <row r="14" spans="1:6" ht="16.8" customHeight="1" x14ac:dyDescent="0.25">
      <c r="A14" s="1">
        <v>7</v>
      </c>
      <c r="B14" s="1" t="s">
        <v>15</v>
      </c>
      <c r="C14" t="s">
        <v>41</v>
      </c>
      <c r="D14" t="str">
        <f>_xlfn.XLOOKUP(Teams[[#This Row],[Team]],Team_Links[School],Team_Links[PartialLink],,0,1)</f>
        <v>arkansas</v>
      </c>
      <c r="E14" s="1" t="e" vm="13">
        <f>_xlfn.IMAGE(_xlfn.CONCAT("https://cdn.ssref.net/req/202510241/tlogo/ncaa/",TEXT(Teams[[#This Row],[Hyperlink Name]],),"-2025.png"))</f>
        <v>#VALUE!</v>
      </c>
    </row>
    <row r="15" spans="1:6" ht="16.8" customHeight="1" x14ac:dyDescent="0.25">
      <c r="A15" s="1">
        <v>10</v>
      </c>
      <c r="B15" s="1" t="s">
        <v>15</v>
      </c>
      <c r="C15" t="s">
        <v>42</v>
      </c>
      <c r="D15" t="str">
        <f>_xlfn.XLOOKUP(Teams[[#This Row],[Team]],Team_Links[School],Team_Links[PartialLink],,0,1)</f>
        <v>arkansas-state</v>
      </c>
      <c r="E15" s="1" t="e" vm="14">
        <f>_xlfn.IMAGE(_xlfn.CONCAT("https://cdn.ssref.net/req/202510241/tlogo/ncaa/",TEXT(Teams[[#This Row],[Hyperlink Name]],),"-2025.png"))</f>
        <v>#VALUE!</v>
      </c>
    </row>
    <row r="16" spans="1:6" ht="16.8" customHeight="1" x14ac:dyDescent="0.25">
      <c r="A16" s="1">
        <v>2</v>
      </c>
      <c r="B16" s="1" t="s">
        <v>15</v>
      </c>
      <c r="C16" t="s">
        <v>43</v>
      </c>
      <c r="D16" t="str">
        <f>_xlfn.XLOOKUP(Teams[[#This Row],[Team]],Team_Links[School],Team_Links[PartialLink],,0,1)</f>
        <v>arkansas-pine-bluff</v>
      </c>
      <c r="E16" s="1" t="e" vm="15">
        <f>_xlfn.IMAGE(_xlfn.CONCAT("https://cdn.ssref.net/req/202510241/tlogo/ncaa/",TEXT(Teams[[#This Row],[Hyperlink Name]],),"-2025.png"))</f>
        <v>#VALUE!</v>
      </c>
    </row>
    <row r="17" spans="1:5" ht="16.8" customHeight="1" x14ac:dyDescent="0.25">
      <c r="A17" s="1">
        <v>15</v>
      </c>
      <c r="B17" s="1" t="s">
        <v>15</v>
      </c>
      <c r="C17" t="s">
        <v>44</v>
      </c>
      <c r="D17" t="str">
        <f>_xlfn.XLOOKUP(Teams[[#This Row],[Team]],Team_Links[School],Team_Links[PartialLink],,0,1)</f>
        <v>army</v>
      </c>
      <c r="E17" s="1" t="e" vm="16">
        <f>_xlfn.IMAGE(_xlfn.CONCAT("https://cdn.ssref.net/req/202510241/tlogo/ncaa/",TEXT(Teams[[#This Row],[Hyperlink Name]],),"-2025.png"))</f>
        <v>#VALUE!</v>
      </c>
    </row>
    <row r="18" spans="1:5" ht="16.8" customHeight="1" x14ac:dyDescent="0.25">
      <c r="A18" s="1">
        <v>1</v>
      </c>
      <c r="B18" s="1" t="s">
        <v>4</v>
      </c>
      <c r="C18" t="s">
        <v>45</v>
      </c>
      <c r="D18" t="str">
        <f>_xlfn.XLOOKUP(Teams[[#This Row],[Team]],Team_Links[School],Team_Links[PartialLink],,0,1)</f>
        <v>auburn</v>
      </c>
      <c r="E18" s="1" t="e" vm="17">
        <f>_xlfn.IMAGE(_xlfn.CONCAT("https://cdn.ssref.net/req/202510241/tlogo/ncaa/",TEXT(Teams[[#This Row],[Hyperlink Name]],),"-2025.png"))</f>
        <v>#VALUE!</v>
      </c>
    </row>
    <row r="19" spans="1:5" ht="16.8" customHeight="1" x14ac:dyDescent="0.25">
      <c r="A19" s="1">
        <v>16</v>
      </c>
      <c r="B19" s="1" t="s">
        <v>4</v>
      </c>
      <c r="C19" t="s">
        <v>46</v>
      </c>
      <c r="D19" t="str">
        <f>_xlfn.XLOOKUP(Teams[[#This Row],[Team]],Team_Links[School],Team_Links[PartialLink],,0,1)</f>
        <v>austin-peay</v>
      </c>
      <c r="E19" s="1" t="e" vm="18">
        <f>_xlfn.IMAGE(_xlfn.CONCAT("https://cdn.ssref.net/req/202510241/tlogo/ncaa/",TEXT(Teams[[#This Row],[Hyperlink Name]],),"-2025.png"))</f>
        <v>#VALUE!</v>
      </c>
    </row>
    <row r="20" spans="1:5" ht="16.8" customHeight="1" x14ac:dyDescent="0.25">
      <c r="A20" s="1">
        <v>8</v>
      </c>
      <c r="B20" s="1" t="s">
        <v>4</v>
      </c>
      <c r="C20" t="s">
        <v>47</v>
      </c>
      <c r="D20" t="str">
        <f>_xlfn.XLOOKUP(Teams[[#This Row],[Team]],Team_Links[School],Team_Links[PartialLink],,0,1)</f>
        <v>ball-state</v>
      </c>
      <c r="E20" s="1" t="e" vm="19">
        <f>_xlfn.IMAGE(_xlfn.CONCAT("https://cdn.ssref.net/req/202510241/tlogo/ncaa/",TEXT(Teams[[#This Row],[Hyperlink Name]],),"-2025.png"))</f>
        <v>#VALUE!</v>
      </c>
    </row>
    <row r="21" spans="1:5" ht="16.8" customHeight="1" x14ac:dyDescent="0.25">
      <c r="A21" s="1">
        <v>9</v>
      </c>
      <c r="B21" s="1" t="s">
        <v>4</v>
      </c>
      <c r="C21" t="s">
        <v>48</v>
      </c>
      <c r="D21" t="str">
        <f>_xlfn.XLOOKUP(Teams[[#This Row],[Team]],Team_Links[School],Team_Links[PartialLink],,0,1)</f>
        <v>baylor</v>
      </c>
      <c r="E21" s="1" t="e" vm="20">
        <f>_xlfn.IMAGE(_xlfn.CONCAT("https://cdn.ssref.net/req/202510241/tlogo/ncaa/",TEXT(Teams[[#This Row],[Hyperlink Name]],),"-2025.png"))</f>
        <v>#VALUE!</v>
      </c>
    </row>
    <row r="22" spans="1:5" ht="16.8" customHeight="1" x14ac:dyDescent="0.25">
      <c r="A22" s="1">
        <v>5</v>
      </c>
      <c r="B22" s="1" t="s">
        <v>4</v>
      </c>
      <c r="C22" t="s">
        <v>49</v>
      </c>
      <c r="D22" t="str">
        <f>_xlfn.XLOOKUP(Teams[[#This Row],[Team]],Team_Links[School],Team_Links[PartialLink],,0,1)</f>
        <v>bellarmine</v>
      </c>
      <c r="E22" s="1" t="e" vm="21">
        <f>_xlfn.IMAGE(_xlfn.CONCAT("https://cdn.ssref.net/req/202510241/tlogo/ncaa/",TEXT(Teams[[#This Row],[Hyperlink Name]],),"-2025.png"))</f>
        <v>#VALUE!</v>
      </c>
    </row>
    <row r="23" spans="1:5" ht="16.8" customHeight="1" x14ac:dyDescent="0.25">
      <c r="A23" s="1">
        <v>12</v>
      </c>
      <c r="B23" s="1" t="s">
        <v>4</v>
      </c>
      <c r="C23" t="s">
        <v>50</v>
      </c>
      <c r="D23" t="str">
        <f>_xlfn.XLOOKUP(Teams[[#This Row],[Team]],Team_Links[School],Team_Links[PartialLink],,0,1)</f>
        <v>belmont</v>
      </c>
      <c r="E23" s="1" t="e" vm="22">
        <f>_xlfn.IMAGE(_xlfn.CONCAT("https://cdn.ssref.net/req/202510241/tlogo/ncaa/",TEXT(Teams[[#This Row],[Hyperlink Name]],),"-2025.png"))</f>
        <v>#VALUE!</v>
      </c>
    </row>
    <row r="24" spans="1:5" ht="16.8" customHeight="1" x14ac:dyDescent="0.25">
      <c r="A24" s="1">
        <v>4</v>
      </c>
      <c r="B24" s="1" t="s">
        <v>4</v>
      </c>
      <c r="C24" t="s">
        <v>51</v>
      </c>
      <c r="D24" t="str">
        <f>_xlfn.XLOOKUP(Teams[[#This Row],[Team]],Team_Links[School],Team_Links[PartialLink],,0,1)</f>
        <v>bethune-cookman</v>
      </c>
      <c r="E24" s="1" t="e" vm="23">
        <f>_xlfn.IMAGE(_xlfn.CONCAT("https://cdn.ssref.net/req/202510241/tlogo/ncaa/",TEXT(Teams[[#This Row],[Hyperlink Name]],),"-2025.png"))</f>
        <v>#VALUE!</v>
      </c>
    </row>
    <row r="25" spans="1:5" ht="16.8" customHeight="1" x14ac:dyDescent="0.25">
      <c r="A25" s="1">
        <v>13</v>
      </c>
      <c r="B25" s="1" t="s">
        <v>4</v>
      </c>
      <c r="C25" t="s">
        <v>52</v>
      </c>
      <c r="D25" t="str">
        <f>_xlfn.XLOOKUP(Teams[[#This Row],[Team]],Team_Links[School],Team_Links[PartialLink],,0,1)</f>
        <v>binghamton</v>
      </c>
      <c r="E25" s="1" t="e" vm="24">
        <f>_xlfn.IMAGE(_xlfn.CONCAT("https://cdn.ssref.net/req/202510241/tlogo/ncaa/",TEXT(Teams[[#This Row],[Hyperlink Name]],),"-2025.png"))</f>
        <v>#VALUE!</v>
      </c>
    </row>
    <row r="26" spans="1:5" ht="16.8" customHeight="1" x14ac:dyDescent="0.25">
      <c r="A26" s="1">
        <v>6</v>
      </c>
      <c r="B26" s="1" t="s">
        <v>4</v>
      </c>
      <c r="C26" t="s">
        <v>53</v>
      </c>
      <c r="D26" t="str">
        <f>_xlfn.XLOOKUP(Teams[[#This Row],[Team]],Team_Links[School],Team_Links[PartialLink],,0,1)</f>
        <v>boise-state</v>
      </c>
      <c r="E26" s="1" t="e" vm="25">
        <f>_xlfn.IMAGE(_xlfn.CONCAT("https://cdn.ssref.net/req/202510241/tlogo/ncaa/",TEXT(Teams[[#This Row],[Hyperlink Name]],),"-2025.png"))</f>
        <v>#VALUE!</v>
      </c>
    </row>
    <row r="27" spans="1:5" ht="16.8" customHeight="1" x14ac:dyDescent="0.25">
      <c r="A27" s="1">
        <v>11</v>
      </c>
      <c r="B27" s="1" t="s">
        <v>4</v>
      </c>
      <c r="C27" t="s">
        <v>54</v>
      </c>
      <c r="D27" t="str">
        <f>_xlfn.XLOOKUP(Teams[[#This Row],[Team]],Team_Links[School],Team_Links[PartialLink],,0,1)</f>
        <v>boston-college</v>
      </c>
      <c r="E27" s="1" t="e" vm="26">
        <f>_xlfn.IMAGE(_xlfn.CONCAT("https://cdn.ssref.net/req/202510241/tlogo/ncaa/",TEXT(Teams[[#This Row],[Hyperlink Name]],),"-2025.png"))</f>
        <v>#VALUE!</v>
      </c>
    </row>
    <row r="28" spans="1:5" ht="16.8" customHeight="1" x14ac:dyDescent="0.25">
      <c r="A28" s="1">
        <v>3</v>
      </c>
      <c r="B28" s="1" t="s">
        <v>4</v>
      </c>
      <c r="C28" t="s">
        <v>105</v>
      </c>
      <c r="D28" t="str">
        <f>_xlfn.XLOOKUP(Teams[[#This Row],[Team]],Team_Links[School],Team_Links[PartialLink],,0,1)</f>
        <v>florida</v>
      </c>
      <c r="E28" s="1" t="e" vm="27">
        <f>_xlfn.IMAGE(_xlfn.CONCAT("https://cdn.ssref.net/req/202510241/tlogo/ncaa/",TEXT(Teams[[#This Row],[Hyperlink Name]],),"-2025.png"))</f>
        <v>#VALUE!</v>
      </c>
    </row>
    <row r="29" spans="1:5" ht="16.8" customHeight="1" x14ac:dyDescent="0.25">
      <c r="A29" s="1">
        <v>14</v>
      </c>
      <c r="B29" s="1" t="s">
        <v>4</v>
      </c>
      <c r="C29" t="s">
        <v>95</v>
      </c>
      <c r="D29" t="str">
        <f>_xlfn.XLOOKUP(Teams[[#This Row],[Team]],Team_Links[School],Team_Links[PartialLink],,0,1)</f>
        <v>duke</v>
      </c>
      <c r="E29" s="1" t="e" vm="28">
        <f>_xlfn.IMAGE(_xlfn.CONCAT("https://cdn.ssref.net/req/202510241/tlogo/ncaa/",TEXT(Teams[[#This Row],[Hyperlink Name]],),"-2025.png"))</f>
        <v>#VALUE!</v>
      </c>
    </row>
    <row r="30" spans="1:5" ht="16.8" customHeight="1" x14ac:dyDescent="0.25">
      <c r="A30" s="1">
        <v>7</v>
      </c>
      <c r="B30" s="1" t="s">
        <v>4</v>
      </c>
      <c r="C30" t="s">
        <v>57</v>
      </c>
      <c r="D30" t="str">
        <f>_xlfn.XLOOKUP(Teams[[#This Row],[Team]],Team_Links[School],Team_Links[PartialLink],,0,1)</f>
        <v>bradley</v>
      </c>
      <c r="E30" s="1" t="e" vm="29">
        <f>_xlfn.IMAGE(_xlfn.CONCAT("https://cdn.ssref.net/req/202510241/tlogo/ncaa/",TEXT(Teams[[#This Row],[Hyperlink Name]],),"-2025.png"))</f>
        <v>#VALUE!</v>
      </c>
    </row>
    <row r="31" spans="1:5" ht="16.8" customHeight="1" x14ac:dyDescent="0.25">
      <c r="A31" s="1">
        <v>10</v>
      </c>
      <c r="B31" s="1" t="s">
        <v>4</v>
      </c>
      <c r="C31" t="s">
        <v>58</v>
      </c>
      <c r="D31" t="str">
        <f>_xlfn.XLOOKUP(Teams[[#This Row],[Team]],Team_Links[School],Team_Links[PartialLink],,0,1)</f>
        <v>brigham-young</v>
      </c>
      <c r="E31" s="1" t="e" vm="30">
        <f>_xlfn.IMAGE(_xlfn.CONCAT("https://cdn.ssref.net/req/202510241/tlogo/ncaa/",TEXT(Teams[[#This Row],[Hyperlink Name]],),"-2025.png"))</f>
        <v>#VALUE!</v>
      </c>
    </row>
    <row r="32" spans="1:5" ht="16.8" customHeight="1" x14ac:dyDescent="0.25">
      <c r="A32" s="1">
        <v>2</v>
      </c>
      <c r="B32" s="1" t="s">
        <v>4</v>
      </c>
      <c r="C32" t="s">
        <v>59</v>
      </c>
      <c r="D32" t="str">
        <f>_xlfn.XLOOKUP(Teams[[#This Row],[Team]],Team_Links[School],Team_Links[PartialLink],,0,1)</f>
        <v>brown</v>
      </c>
      <c r="E32" s="1" t="e" vm="31">
        <f>_xlfn.IMAGE(_xlfn.CONCAT("https://cdn.ssref.net/req/202510241/tlogo/ncaa/",TEXT(Teams[[#This Row],[Hyperlink Name]],),"-2025.png"))</f>
        <v>#VALUE!</v>
      </c>
    </row>
    <row r="33" spans="1:5" ht="16.8" customHeight="1" x14ac:dyDescent="0.25">
      <c r="A33" s="1">
        <v>15</v>
      </c>
      <c r="B33" s="1" t="s">
        <v>4</v>
      </c>
      <c r="C33" t="s">
        <v>60</v>
      </c>
      <c r="D33" t="str">
        <f>_xlfn.XLOOKUP(Teams[[#This Row],[Team]],Team_Links[School],Team_Links[PartialLink],,0,1)</f>
        <v>bryant</v>
      </c>
      <c r="E33" s="1" t="e" vm="32">
        <f>_xlfn.IMAGE(_xlfn.CONCAT("https://cdn.ssref.net/req/202510241/tlogo/ncaa/",TEXT(Teams[[#This Row],[Hyperlink Name]],),"-2025.png"))</f>
        <v>#VALUE!</v>
      </c>
    </row>
    <row r="34" spans="1:5" ht="16.8" customHeight="1" x14ac:dyDescent="0.25">
      <c r="A34" s="1">
        <v>1</v>
      </c>
      <c r="B34" s="1" t="s">
        <v>3</v>
      </c>
      <c r="C34" t="s">
        <v>61</v>
      </c>
      <c r="D34" t="str">
        <f>_xlfn.XLOOKUP(Teams[[#This Row],[Team]],Team_Links[School],Team_Links[PartialLink],,0,1)</f>
        <v>bucknell</v>
      </c>
      <c r="E34" s="1" t="e" vm="33">
        <f>_xlfn.IMAGE(_xlfn.CONCAT("https://cdn.ssref.net/req/202510241/tlogo/ncaa/",TEXT(Teams[[#This Row],[Hyperlink Name]],),"-2025.png"))</f>
        <v>#VALUE!</v>
      </c>
    </row>
    <row r="35" spans="1:5" ht="16.8" customHeight="1" x14ac:dyDescent="0.25">
      <c r="A35" s="1">
        <v>16</v>
      </c>
      <c r="B35" s="1" t="s">
        <v>3</v>
      </c>
      <c r="C35" t="s">
        <v>62</v>
      </c>
      <c r="D35" t="str">
        <f>_xlfn.XLOOKUP(Teams[[#This Row],[Team]],Team_Links[School],Team_Links[PartialLink],,0,1)</f>
        <v>buffalo</v>
      </c>
      <c r="E35" s="1" t="e" vm="34">
        <f>_xlfn.IMAGE(_xlfn.CONCAT("https://cdn.ssref.net/req/202510241/tlogo/ncaa/",TEXT(Teams[[#This Row],[Hyperlink Name]],),"-2025.png"))</f>
        <v>#VALUE!</v>
      </c>
    </row>
    <row r="36" spans="1:5" ht="16.8" customHeight="1" x14ac:dyDescent="0.25">
      <c r="A36" s="1">
        <v>8</v>
      </c>
      <c r="B36" s="1" t="s">
        <v>3</v>
      </c>
      <c r="C36" t="s">
        <v>63</v>
      </c>
      <c r="D36" t="str">
        <f>_xlfn.XLOOKUP(Teams[[#This Row],[Team]],Team_Links[School],Team_Links[PartialLink],,0,1)</f>
        <v>butler</v>
      </c>
      <c r="E36" s="1" t="e" vm="35">
        <f>_xlfn.IMAGE(_xlfn.CONCAT("https://cdn.ssref.net/req/202510241/tlogo/ncaa/",TEXT(Teams[[#This Row],[Hyperlink Name]],),"-2025.png"))</f>
        <v>#VALUE!</v>
      </c>
    </row>
    <row r="37" spans="1:5" ht="16.8" customHeight="1" x14ac:dyDescent="0.25">
      <c r="A37" s="1">
        <v>9</v>
      </c>
      <c r="B37" s="1" t="s">
        <v>3</v>
      </c>
      <c r="C37" t="s">
        <v>64</v>
      </c>
      <c r="D37" t="str">
        <f>_xlfn.XLOOKUP(Teams[[#This Row],[Team]],Team_Links[School],Team_Links[PartialLink],,0,1)</f>
        <v>cal-poly</v>
      </c>
      <c r="E37" s="1" t="e" vm="36">
        <f>_xlfn.IMAGE(_xlfn.CONCAT("https://cdn.ssref.net/req/202510241/tlogo/ncaa/",TEXT(Teams[[#This Row],[Hyperlink Name]],),"-2025.png"))</f>
        <v>#VALUE!</v>
      </c>
    </row>
    <row r="38" spans="1:5" ht="16.8" customHeight="1" x14ac:dyDescent="0.25">
      <c r="A38" s="1">
        <v>5</v>
      </c>
      <c r="B38" s="1" t="s">
        <v>3</v>
      </c>
      <c r="C38" t="s">
        <v>65</v>
      </c>
      <c r="D38" t="str">
        <f>_xlfn.XLOOKUP(Teams[[#This Row],[Team]],Team_Links[School],Team_Links[PartialLink],,0,1)</f>
        <v>cal-state-bakersfield</v>
      </c>
      <c r="E38" s="1" t="e" vm="37">
        <f>_xlfn.IMAGE(_xlfn.CONCAT("https://cdn.ssref.net/req/202510241/tlogo/ncaa/",TEXT(Teams[[#This Row],[Hyperlink Name]],),"-2025.png"))</f>
        <v>#VALUE!</v>
      </c>
    </row>
    <row r="39" spans="1:5" ht="16.8" customHeight="1" x14ac:dyDescent="0.25">
      <c r="A39" s="1">
        <v>12</v>
      </c>
      <c r="B39" s="1" t="s">
        <v>3</v>
      </c>
      <c r="C39" t="s">
        <v>66</v>
      </c>
      <c r="D39" t="str">
        <f>_xlfn.XLOOKUP(Teams[[#This Row],[Team]],Team_Links[School],Team_Links[PartialLink],,0,1)</f>
        <v>cal-state-fullerton</v>
      </c>
      <c r="E39" s="1" t="e" vm="38">
        <f>_xlfn.IMAGE(_xlfn.CONCAT("https://cdn.ssref.net/req/202510241/tlogo/ncaa/",TEXT(Teams[[#This Row],[Hyperlink Name]],),"-2025.png"))</f>
        <v>#VALUE!</v>
      </c>
    </row>
    <row r="40" spans="1:5" ht="16.8" customHeight="1" x14ac:dyDescent="0.25">
      <c r="A40" s="1">
        <v>4</v>
      </c>
      <c r="B40" s="1" t="s">
        <v>3</v>
      </c>
      <c r="C40" t="s">
        <v>67</v>
      </c>
      <c r="D40" t="str">
        <f>_xlfn.XLOOKUP(Teams[[#This Row],[Team]],Team_Links[School],Team_Links[PartialLink],,0,1)</f>
        <v>cal-state-northridge</v>
      </c>
      <c r="E40" s="1" t="e" vm="39">
        <f>_xlfn.IMAGE(_xlfn.CONCAT("https://cdn.ssref.net/req/202510241/tlogo/ncaa/",TEXT(Teams[[#This Row],[Hyperlink Name]],),"-2025.png"))</f>
        <v>#VALUE!</v>
      </c>
    </row>
    <row r="41" spans="1:5" ht="16.8" customHeight="1" x14ac:dyDescent="0.25">
      <c r="A41" s="1">
        <v>13</v>
      </c>
      <c r="B41" s="1" t="s">
        <v>3</v>
      </c>
      <c r="C41" t="s">
        <v>68</v>
      </c>
      <c r="D41" t="str">
        <f>_xlfn.XLOOKUP(Teams[[#This Row],[Team]],Team_Links[School],Team_Links[PartialLink],,0,1)</f>
        <v>california</v>
      </c>
      <c r="E41" s="1" t="e" vm="40">
        <f>_xlfn.IMAGE(_xlfn.CONCAT("https://cdn.ssref.net/req/202510241/tlogo/ncaa/",TEXT(Teams[[#This Row],[Hyperlink Name]],),"-2025.png"))</f>
        <v>#VALUE!</v>
      </c>
    </row>
    <row r="42" spans="1:5" ht="16.8" customHeight="1" x14ac:dyDescent="0.25">
      <c r="A42" s="1">
        <v>6</v>
      </c>
      <c r="B42" s="1" t="s">
        <v>3</v>
      </c>
      <c r="C42" t="s">
        <v>69</v>
      </c>
      <c r="D42" t="str">
        <f>_xlfn.XLOOKUP(Teams[[#This Row],[Team]],Team_Links[School],Team_Links[PartialLink],,0,1)</f>
        <v>california-baptist</v>
      </c>
      <c r="E42" s="1" t="e" vm="41">
        <f>_xlfn.IMAGE(_xlfn.CONCAT("https://cdn.ssref.net/req/202510241/tlogo/ncaa/",TEXT(Teams[[#This Row],[Hyperlink Name]],),"-2025.png"))</f>
        <v>#VALUE!</v>
      </c>
    </row>
    <row r="43" spans="1:5" ht="16.8" customHeight="1" x14ac:dyDescent="0.25">
      <c r="A43" s="1">
        <v>11</v>
      </c>
      <c r="B43" s="1" t="s">
        <v>3</v>
      </c>
      <c r="C43" t="s">
        <v>70</v>
      </c>
      <c r="D43" t="str">
        <f>_xlfn.XLOOKUP(Teams[[#This Row],[Team]],Team_Links[School],Team_Links[PartialLink],,0,1)</f>
        <v>campbell</v>
      </c>
      <c r="E43" s="1" t="e" vm="42">
        <f>_xlfn.IMAGE(_xlfn.CONCAT("https://cdn.ssref.net/req/202510241/tlogo/ncaa/",TEXT(Teams[[#This Row],[Hyperlink Name]],),"-2025.png"))</f>
        <v>#VALUE!</v>
      </c>
    </row>
    <row r="44" spans="1:5" ht="16.8" customHeight="1" x14ac:dyDescent="0.25">
      <c r="A44" s="1">
        <v>3</v>
      </c>
      <c r="B44" s="1" t="s">
        <v>3</v>
      </c>
      <c r="C44" t="s">
        <v>71</v>
      </c>
      <c r="D44" t="str">
        <f>_xlfn.XLOOKUP(Teams[[#This Row],[Team]],Team_Links[School],Team_Links[PartialLink],,0,1)</f>
        <v>canisius</v>
      </c>
      <c r="E44" s="1" t="e" vm="43">
        <f>_xlfn.IMAGE(_xlfn.CONCAT("https://cdn.ssref.net/req/202510241/tlogo/ncaa/",TEXT(Teams[[#This Row],[Hyperlink Name]],),"-2025.png"))</f>
        <v>#VALUE!</v>
      </c>
    </row>
    <row r="45" spans="1:5" ht="16.8" customHeight="1" x14ac:dyDescent="0.25">
      <c r="A45" s="1">
        <v>14</v>
      </c>
      <c r="B45" s="1" t="s">
        <v>3</v>
      </c>
      <c r="C45" t="s">
        <v>72</v>
      </c>
      <c r="D45" t="str">
        <f>_xlfn.XLOOKUP(Teams[[#This Row],[Team]],Team_Links[School],Team_Links[PartialLink],,0,1)</f>
        <v>central-arkansas</v>
      </c>
      <c r="E45" s="1" t="e" vm="44">
        <f>_xlfn.IMAGE(_xlfn.CONCAT("https://cdn.ssref.net/req/202510241/tlogo/ncaa/",TEXT(Teams[[#This Row],[Hyperlink Name]],),"-2025.png"))</f>
        <v>#VALUE!</v>
      </c>
    </row>
    <row r="46" spans="1:5" ht="16.8" customHeight="1" x14ac:dyDescent="0.25">
      <c r="A46" s="1">
        <v>7</v>
      </c>
      <c r="B46" s="1" t="s">
        <v>3</v>
      </c>
      <c r="C46" t="s">
        <v>73</v>
      </c>
      <c r="D46" t="str">
        <f>_xlfn.XLOOKUP(Teams[[#This Row],[Team]],Team_Links[School],Team_Links[PartialLink],,0,1)</f>
        <v>central-connecticut-state</v>
      </c>
      <c r="E46" s="1" t="e" vm="45">
        <f>_xlfn.IMAGE(_xlfn.CONCAT("https://cdn.ssref.net/req/202510241/tlogo/ncaa/",TEXT(Teams[[#This Row],[Hyperlink Name]],),"-2025.png"))</f>
        <v>#VALUE!</v>
      </c>
    </row>
    <row r="47" spans="1:5" ht="16.8" customHeight="1" x14ac:dyDescent="0.25">
      <c r="A47" s="1">
        <v>10</v>
      </c>
      <c r="B47" s="1" t="s">
        <v>3</v>
      </c>
      <c r="C47" t="s">
        <v>74</v>
      </c>
      <c r="D47" t="str">
        <f>_xlfn.XLOOKUP(Teams[[#This Row],[Team]],Team_Links[School],Team_Links[PartialLink],,0,1)</f>
        <v>central-michigan</v>
      </c>
      <c r="E47" s="1" t="e" vm="46">
        <f>_xlfn.IMAGE(_xlfn.CONCAT("https://cdn.ssref.net/req/202510241/tlogo/ncaa/",TEXT(Teams[[#This Row],[Hyperlink Name]],),"-2025.png"))</f>
        <v>#VALUE!</v>
      </c>
    </row>
    <row r="48" spans="1:5" ht="16.8" customHeight="1" x14ac:dyDescent="0.25">
      <c r="A48" s="1">
        <v>2</v>
      </c>
      <c r="B48" s="1" t="s">
        <v>3</v>
      </c>
      <c r="C48" t="s">
        <v>75</v>
      </c>
      <c r="D48" t="str">
        <f>_xlfn.XLOOKUP(Teams[[#This Row],[Team]],Team_Links[School],Team_Links[PartialLink],,0,1)</f>
        <v>charleston-southern</v>
      </c>
      <c r="E48" s="1" t="e" vm="47">
        <f>_xlfn.IMAGE(_xlfn.CONCAT("https://cdn.ssref.net/req/202510241/tlogo/ncaa/",TEXT(Teams[[#This Row],[Hyperlink Name]],),"-2025.png"))</f>
        <v>#VALUE!</v>
      </c>
    </row>
    <row r="49" spans="1:5" ht="16.8" customHeight="1" x14ac:dyDescent="0.25">
      <c r="A49" s="1">
        <v>15</v>
      </c>
      <c r="B49" s="1" t="s">
        <v>3</v>
      </c>
      <c r="C49" t="s">
        <v>76</v>
      </c>
      <c r="D49" t="str">
        <f>_xlfn.XLOOKUP(Teams[[#This Row],[Team]],Team_Links[School],Team_Links[PartialLink],,0,1)</f>
        <v>charlotte</v>
      </c>
      <c r="E49" s="1" t="e" vm="48">
        <f>_xlfn.IMAGE(_xlfn.CONCAT("https://cdn.ssref.net/req/202510241/tlogo/ncaa/",TEXT(Teams[[#This Row],[Hyperlink Name]],),"-2025.png"))</f>
        <v>#VALUE!</v>
      </c>
    </row>
    <row r="50" spans="1:5" ht="16.8" customHeight="1" x14ac:dyDescent="0.25">
      <c r="A50" s="1">
        <v>1</v>
      </c>
      <c r="B50" s="1" t="s">
        <v>14</v>
      </c>
      <c r="C50" t="s">
        <v>77</v>
      </c>
      <c r="D50" t="str">
        <f>_xlfn.XLOOKUP(Teams[[#This Row],[Team]],Team_Links[School],Team_Links[PartialLink],,0,1)</f>
        <v>chattanooga</v>
      </c>
      <c r="E50" s="1" t="e" vm="49">
        <f>_xlfn.IMAGE(_xlfn.CONCAT("https://cdn.ssref.net/req/202510241/tlogo/ncaa/",TEXT(Teams[[#This Row],[Hyperlink Name]],),"-2025.png"))</f>
        <v>#VALUE!</v>
      </c>
    </row>
    <row r="51" spans="1:5" ht="16.8" customHeight="1" x14ac:dyDescent="0.25">
      <c r="A51" s="1">
        <v>16</v>
      </c>
      <c r="B51" s="1" t="s">
        <v>14</v>
      </c>
      <c r="C51" t="s">
        <v>78</v>
      </c>
      <c r="D51" t="str">
        <f>_xlfn.XLOOKUP(Teams[[#This Row],[Team]],Team_Links[School],Team_Links[PartialLink],,0,1)</f>
        <v>chicago-state</v>
      </c>
      <c r="E51" s="1" t="e" vm="50">
        <f>_xlfn.IMAGE(_xlfn.CONCAT("https://cdn.ssref.net/req/202510241/tlogo/ncaa/",TEXT(Teams[[#This Row],[Hyperlink Name]],),"-2025.png"))</f>
        <v>#VALUE!</v>
      </c>
    </row>
    <row r="52" spans="1:5" ht="16.8" customHeight="1" x14ac:dyDescent="0.25">
      <c r="A52" s="1">
        <v>8</v>
      </c>
      <c r="B52" s="1" t="s">
        <v>14</v>
      </c>
      <c r="C52" t="s">
        <v>79</v>
      </c>
      <c r="D52" t="str">
        <f>_xlfn.XLOOKUP(Teams[[#This Row],[Team]],Team_Links[School],Team_Links[PartialLink],,0,1)</f>
        <v>cincinnati</v>
      </c>
      <c r="E52" s="1" t="e" vm="51">
        <f>_xlfn.IMAGE(_xlfn.CONCAT("https://cdn.ssref.net/req/202510241/tlogo/ncaa/",TEXT(Teams[[#This Row],[Hyperlink Name]],),"-2025.png"))</f>
        <v>#VALUE!</v>
      </c>
    </row>
    <row r="53" spans="1:5" ht="16.8" customHeight="1" x14ac:dyDescent="0.25">
      <c r="A53" s="1">
        <v>9</v>
      </c>
      <c r="B53" s="1" t="s">
        <v>14</v>
      </c>
      <c r="C53" t="s">
        <v>80</v>
      </c>
      <c r="D53" t="str">
        <f>_xlfn.XLOOKUP(Teams[[#This Row],[Team]],Team_Links[School],Team_Links[PartialLink],,0,1)</f>
        <v>clemson</v>
      </c>
      <c r="E53" s="1" t="e" vm="52">
        <f>_xlfn.IMAGE(_xlfn.CONCAT("https://cdn.ssref.net/req/202510241/tlogo/ncaa/",TEXT(Teams[[#This Row],[Hyperlink Name]],),"-2025.png"))</f>
        <v>#VALUE!</v>
      </c>
    </row>
    <row r="54" spans="1:5" ht="16.8" customHeight="1" x14ac:dyDescent="0.25">
      <c r="A54" s="1">
        <v>5</v>
      </c>
      <c r="B54" s="1" t="s">
        <v>14</v>
      </c>
      <c r="C54" t="s">
        <v>81</v>
      </c>
      <c r="D54" t="str">
        <f>_xlfn.XLOOKUP(Teams[[#This Row],[Team]],Team_Links[School],Team_Links[PartialLink],,0,1)</f>
        <v>cleveland-state</v>
      </c>
      <c r="E54" s="1" t="e" vm="53">
        <f>_xlfn.IMAGE(_xlfn.CONCAT("https://cdn.ssref.net/req/202510241/tlogo/ncaa/",TEXT(Teams[[#This Row],[Hyperlink Name]],),"-2025.png"))</f>
        <v>#VALUE!</v>
      </c>
    </row>
    <row r="55" spans="1:5" ht="16.8" customHeight="1" x14ac:dyDescent="0.25">
      <c r="A55" s="1">
        <v>12</v>
      </c>
      <c r="B55" s="1" t="s">
        <v>14</v>
      </c>
      <c r="C55" t="s">
        <v>82</v>
      </c>
      <c r="D55" t="str">
        <f>_xlfn.XLOOKUP(Teams[[#This Row],[Team]],Team_Links[School],Team_Links[PartialLink],,0,1)</f>
        <v>coastal-carolina</v>
      </c>
      <c r="E55" s="1" t="e" vm="54">
        <f>_xlfn.IMAGE(_xlfn.CONCAT("https://cdn.ssref.net/req/202510241/tlogo/ncaa/",TEXT(Teams[[#This Row],[Hyperlink Name]],),"-2025.png"))</f>
        <v>#VALUE!</v>
      </c>
    </row>
    <row r="56" spans="1:5" ht="16.8" customHeight="1" x14ac:dyDescent="0.25">
      <c r="A56" s="1">
        <v>4</v>
      </c>
      <c r="B56" s="1" t="s">
        <v>14</v>
      </c>
      <c r="C56" t="s">
        <v>83</v>
      </c>
      <c r="D56" t="str">
        <f>_xlfn.XLOOKUP(Teams[[#This Row],[Team]],Team_Links[School],Team_Links[PartialLink],,0,1)</f>
        <v>colgate</v>
      </c>
      <c r="E56" s="1" t="e" vm="55">
        <f>_xlfn.IMAGE(_xlfn.CONCAT("https://cdn.ssref.net/req/202510241/tlogo/ncaa/",TEXT(Teams[[#This Row],[Hyperlink Name]],),"-2025.png"))</f>
        <v>#VALUE!</v>
      </c>
    </row>
    <row r="57" spans="1:5" ht="16.8" customHeight="1" x14ac:dyDescent="0.25">
      <c r="A57" s="1">
        <v>13</v>
      </c>
      <c r="B57" s="1" t="s">
        <v>14</v>
      </c>
      <c r="C57" t="s">
        <v>84</v>
      </c>
      <c r="D57" t="str">
        <f>_xlfn.XLOOKUP(Teams[[#This Row],[Team]],Team_Links[School],Team_Links[PartialLink],,0,1)</f>
        <v>college-of-charleston</v>
      </c>
      <c r="E57" s="1" t="e" vm="56">
        <f>_xlfn.IMAGE(_xlfn.CONCAT("https://cdn.ssref.net/req/202510241/tlogo/ncaa/",TEXT(Teams[[#This Row],[Hyperlink Name]],),"-2025.png"))</f>
        <v>#VALUE!</v>
      </c>
    </row>
    <row r="58" spans="1:5" ht="16.8" customHeight="1" x14ac:dyDescent="0.25">
      <c r="A58" s="1">
        <v>6</v>
      </c>
      <c r="B58" s="1" t="s">
        <v>14</v>
      </c>
      <c r="C58" t="s">
        <v>85</v>
      </c>
      <c r="D58" t="str">
        <f>_xlfn.XLOOKUP(Teams[[#This Row],[Team]],Team_Links[School],Team_Links[PartialLink],,0,1)</f>
        <v>colorado</v>
      </c>
      <c r="E58" s="1" t="e" vm="57">
        <f>_xlfn.IMAGE(_xlfn.CONCAT("https://cdn.ssref.net/req/202510241/tlogo/ncaa/",TEXT(Teams[[#This Row],[Hyperlink Name]],),"-2025.png"))</f>
        <v>#VALUE!</v>
      </c>
    </row>
    <row r="59" spans="1:5" ht="16.8" customHeight="1" x14ac:dyDescent="0.25">
      <c r="A59" s="1">
        <v>11</v>
      </c>
      <c r="B59" s="1" t="s">
        <v>14</v>
      </c>
      <c r="C59" t="s">
        <v>86</v>
      </c>
      <c r="D59" t="str">
        <f>_xlfn.XLOOKUP(Teams[[#This Row],[Team]],Team_Links[School],Team_Links[PartialLink],,0,1)</f>
        <v>colorado-state</v>
      </c>
      <c r="E59" s="1" t="e" vm="58">
        <f>_xlfn.IMAGE(_xlfn.CONCAT("https://cdn.ssref.net/req/202510241/tlogo/ncaa/",TEXT(Teams[[#This Row],[Hyperlink Name]],),"-2025.png"))</f>
        <v>#VALUE!</v>
      </c>
    </row>
    <row r="60" spans="1:5" ht="16.8" customHeight="1" x14ac:dyDescent="0.25">
      <c r="A60" s="1">
        <v>3</v>
      </c>
      <c r="B60" s="1" t="s">
        <v>14</v>
      </c>
      <c r="C60" t="s">
        <v>87</v>
      </c>
      <c r="D60" t="str">
        <f>_xlfn.XLOOKUP(Teams[[#This Row],[Team]],Team_Links[School],Team_Links[PartialLink],,0,1)</f>
        <v>columbia</v>
      </c>
      <c r="E60" s="1" t="e" vm="59">
        <f>_xlfn.IMAGE(_xlfn.CONCAT("https://cdn.ssref.net/req/202510241/tlogo/ncaa/",TEXT(Teams[[#This Row],[Hyperlink Name]],),"-2025.png"))</f>
        <v>#VALUE!</v>
      </c>
    </row>
    <row r="61" spans="1:5" ht="16.8" customHeight="1" x14ac:dyDescent="0.25">
      <c r="A61" s="1">
        <v>14</v>
      </c>
      <c r="B61" s="1" t="s">
        <v>14</v>
      </c>
      <c r="C61" t="s">
        <v>88</v>
      </c>
      <c r="D61" t="str">
        <f>_xlfn.XLOOKUP(Teams[[#This Row],[Team]],Team_Links[School],Team_Links[PartialLink],,0,1)</f>
        <v>connecticut</v>
      </c>
      <c r="E61" s="1" t="e" vm="60">
        <f>_xlfn.IMAGE(_xlfn.CONCAT("https://cdn.ssref.net/req/202510241/tlogo/ncaa/",TEXT(Teams[[#This Row],[Hyperlink Name]],),"-2025.png"))</f>
        <v>#VALUE!</v>
      </c>
    </row>
    <row r="62" spans="1:5" ht="16.8" customHeight="1" x14ac:dyDescent="0.25">
      <c r="A62" s="1">
        <v>7</v>
      </c>
      <c r="B62" s="1" t="s">
        <v>14</v>
      </c>
      <c r="C62" t="s">
        <v>89</v>
      </c>
      <c r="D62" t="str">
        <f>_xlfn.XLOOKUP(Teams[[#This Row],[Team]],Team_Links[School],Team_Links[PartialLink],,0,1)</f>
        <v>coppin-state</v>
      </c>
      <c r="E62" s="1" t="e" vm="61">
        <f>_xlfn.IMAGE(_xlfn.CONCAT("https://cdn.ssref.net/req/202510241/tlogo/ncaa/",TEXT(Teams[[#This Row],[Hyperlink Name]],),"-2025.png"))</f>
        <v>#VALUE!</v>
      </c>
    </row>
    <row r="63" spans="1:5" ht="16.8" customHeight="1" x14ac:dyDescent="0.25">
      <c r="A63" s="1">
        <v>10</v>
      </c>
      <c r="B63" s="1" t="s">
        <v>14</v>
      </c>
      <c r="C63" t="s">
        <v>90</v>
      </c>
      <c r="D63" t="str">
        <f>_xlfn.XLOOKUP(Teams[[#This Row],[Team]],Team_Links[School],Team_Links[PartialLink],,0,1)</f>
        <v>cornell</v>
      </c>
      <c r="E63" s="1" t="e" vm="62">
        <f>_xlfn.IMAGE(_xlfn.CONCAT("https://cdn.ssref.net/req/202510241/tlogo/ncaa/",TEXT(Teams[[#This Row],[Hyperlink Name]],),"-2025.png"))</f>
        <v>#VALUE!</v>
      </c>
    </row>
    <row r="64" spans="1:5" ht="16.8" customHeight="1" x14ac:dyDescent="0.25">
      <c r="A64" s="1">
        <v>2</v>
      </c>
      <c r="B64" s="1" t="s">
        <v>14</v>
      </c>
      <c r="C64" t="s">
        <v>91</v>
      </c>
      <c r="D64" t="str">
        <f>_xlfn.XLOOKUP(Teams[[#This Row],[Team]],Team_Links[School],Team_Links[PartialLink],,0,1)</f>
        <v>creighton</v>
      </c>
      <c r="E64" s="1" t="e" vm="63">
        <f>_xlfn.IMAGE(_xlfn.CONCAT("https://cdn.ssref.net/req/202510241/tlogo/ncaa/",TEXT(Teams[[#This Row],[Hyperlink Name]],),"-2025.png"))</f>
        <v>#VALUE!</v>
      </c>
    </row>
    <row r="65" spans="1:5" ht="16.8" customHeight="1" x14ac:dyDescent="0.25">
      <c r="A65" s="1">
        <v>15</v>
      </c>
      <c r="B65" s="1" t="s">
        <v>14</v>
      </c>
      <c r="C65" t="s">
        <v>92</v>
      </c>
      <c r="D65" t="str">
        <f>_xlfn.XLOOKUP(Teams[[#This Row],[Team]],Team_Links[School],Team_Links[PartialLink],,0,1)</f>
        <v>dartmouth</v>
      </c>
      <c r="E65" s="1" t="e" vm="64">
        <f>_xlfn.IMAGE(_xlfn.CONCAT("https://cdn.ssref.net/req/202510241/tlogo/ncaa/",TEXT(Teams[[#This Row],[Hyperlink Name]],),"-2025.png"))</f>
        <v>#VALUE!</v>
      </c>
    </row>
  </sheetData>
  <phoneticPr fontId="11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003E64"/>
    <pageSetUpPr fitToPage="1"/>
  </sheetPr>
  <dimension ref="A1:W75"/>
  <sheetViews>
    <sheetView showGridLines="0" tabSelected="1" topLeftCell="E1" zoomScale="90" zoomScaleNormal="90" workbookViewId="0">
      <pane ySplit="4" topLeftCell="A57" activePane="bottomLeft" state="frozen"/>
      <selection activeCell="E1" sqref="E1"/>
      <selection pane="bottomLeft" activeCell="Q66" sqref="Q66"/>
    </sheetView>
  </sheetViews>
  <sheetFormatPr defaultColWidth="0" defaultRowHeight="13.2" zeroHeight="1" x14ac:dyDescent="0.25"/>
  <cols>
    <col min="1" max="1" width="8.109375" style="91" hidden="1" customWidth="1"/>
    <col min="2" max="4" width="8.88671875" style="91" hidden="1" customWidth="1"/>
    <col min="5" max="5" width="9.33203125" style="81" customWidth="1"/>
    <col min="6" max="6" width="5.88671875" style="81" bestFit="1" customWidth="1"/>
    <col min="7" max="7" width="22.21875" style="172" customWidth="1"/>
    <col min="8" max="8" width="2.6640625" style="173" bestFit="1" customWidth="1"/>
    <col min="9" max="9" width="22.21875" style="174" customWidth="1"/>
    <col min="10" max="10" width="5.88671875" style="81" bestFit="1" customWidth="1"/>
    <col min="11" max="11" width="5.5546875" style="174" customWidth="1"/>
    <col min="12" max="12" width="10.6640625" style="174" customWidth="1"/>
    <col min="13" max="13" width="5.5546875" style="174" customWidth="1"/>
    <col min="14" max="14" width="10.6640625" style="174" customWidth="1"/>
    <col min="15" max="15" width="24.5546875" style="174" customWidth="1"/>
    <col min="16" max="16" width="6" style="81" customWidth="1"/>
    <col min="17" max="17" width="94.5546875" style="81" customWidth="1"/>
    <col min="18" max="18" width="8.88671875" style="6" hidden="1" customWidth="1"/>
    <col min="19" max="19" width="3.5546875" style="6" customWidth="1"/>
    <col min="20" max="20" width="9.109375" style="6" customWidth="1"/>
    <col min="21" max="22" width="3.5546875" style="6" hidden="1" customWidth="1"/>
    <col min="23" max="23" width="0" style="6" hidden="1" customWidth="1"/>
    <col min="24" max="16384" width="9.109375" style="6" hidden="1"/>
  </cols>
  <sheetData>
    <row r="1" spans="1:19" s="89" customFormat="1" ht="6" customHeight="1" x14ac:dyDescent="0.25">
      <c r="A1" s="85"/>
      <c r="B1" s="85"/>
      <c r="C1" s="85"/>
      <c r="D1" s="85"/>
      <c r="E1" s="80"/>
      <c r="F1" s="80"/>
      <c r="G1" s="86" t="s">
        <v>13</v>
      </c>
      <c r="H1" s="87"/>
      <c r="I1" s="88"/>
      <c r="J1" s="80"/>
      <c r="K1" s="88"/>
      <c r="L1" s="88"/>
      <c r="M1" s="88"/>
      <c r="N1" s="88"/>
      <c r="O1" s="88"/>
      <c r="P1" s="80"/>
      <c r="Q1" s="80"/>
      <c r="S1" s="89" t="s">
        <v>26</v>
      </c>
    </row>
    <row r="2" spans="1:19" s="89" customFormat="1" ht="6" customHeight="1" thickBot="1" x14ac:dyDescent="0.3">
      <c r="A2" s="85"/>
      <c r="B2" s="85"/>
      <c r="C2" s="85"/>
      <c r="D2" s="85"/>
      <c r="E2" s="80"/>
      <c r="F2" s="80"/>
      <c r="G2" s="90"/>
      <c r="H2" s="87"/>
      <c r="I2" s="88"/>
      <c r="J2" s="80"/>
      <c r="K2" s="88"/>
      <c r="L2" s="88"/>
      <c r="M2" s="88"/>
      <c r="N2" s="88"/>
      <c r="O2" s="88"/>
      <c r="P2" s="80"/>
      <c r="Q2" s="80"/>
    </row>
    <row r="3" spans="1:19" ht="13.8" x14ac:dyDescent="0.25">
      <c r="A3" s="214"/>
      <c r="B3" s="215"/>
      <c r="C3" s="215" t="s">
        <v>12</v>
      </c>
      <c r="D3" s="216" t="s">
        <v>11</v>
      </c>
      <c r="E3" s="241" t="s">
        <v>10</v>
      </c>
      <c r="F3" s="239" t="s">
        <v>21</v>
      </c>
      <c r="G3" s="243" t="s">
        <v>93</v>
      </c>
      <c r="H3" s="243"/>
      <c r="I3" s="243"/>
      <c r="J3" s="239" t="s">
        <v>21</v>
      </c>
      <c r="K3" s="245" t="s">
        <v>24</v>
      </c>
      <c r="L3" s="245"/>
      <c r="M3" s="245" t="s">
        <v>25</v>
      </c>
      <c r="N3" s="245"/>
      <c r="O3" s="239" t="s">
        <v>8</v>
      </c>
      <c r="P3" s="201"/>
      <c r="Q3" s="236" t="s">
        <v>94</v>
      </c>
    </row>
    <row r="4" spans="1:19" ht="14.4" thickBot="1" x14ac:dyDescent="0.3">
      <c r="A4" s="217"/>
      <c r="B4" s="218"/>
      <c r="C4" s="218"/>
      <c r="D4" s="219"/>
      <c r="E4" s="242"/>
      <c r="F4" s="240"/>
      <c r="G4" s="244"/>
      <c r="H4" s="244"/>
      <c r="I4" s="244"/>
      <c r="J4" s="240"/>
      <c r="K4" s="246"/>
      <c r="L4" s="246"/>
      <c r="M4" s="246"/>
      <c r="N4" s="246"/>
      <c r="O4" s="240"/>
      <c r="P4" s="202"/>
      <c r="Q4" s="237"/>
    </row>
    <row r="5" spans="1:19" ht="24" customHeight="1" x14ac:dyDescent="0.25">
      <c r="A5" s="91" t="str">
        <f>G5</f>
        <v>Bucknell</v>
      </c>
      <c r="B5" s="91" t="str">
        <f t="shared" ref="B5:B36" si="0">I5</f>
        <v>Buffalo</v>
      </c>
      <c r="C5" s="91" t="str">
        <f t="shared" ref="C5:C36" si="1">IF(O5="","",IF(A5=O5,B5,A5))</f>
        <v>Buffalo</v>
      </c>
      <c r="D5" s="91" t="e">
        <f t="shared" ref="D5:D36" si="2">IF(SeedType=1,0,IF(SeedType=2,VLOOKUP(O5,SeedInfo,2,FALSE)*1,MAX(VLOOKUP(O5,SeedInfo,2,FALSE)-VLOOKUP(C5,SeedInfo,2,FALSE),0)))</f>
        <v>#REF!</v>
      </c>
      <c r="E5" s="129">
        <v>1</v>
      </c>
      <c r="F5" s="130" cm="1">
        <f t="array" ref="F5">_xlfn.XLOOKUP(G5,Teams[[#All],[Team]],Teams[[#All],[Seed]],0,0,1)</f>
        <v>1</v>
      </c>
      <c r="G5" s="131" t="s">
        <v>61</v>
      </c>
      <c r="H5" s="181" t="s">
        <v>9</v>
      </c>
      <c r="I5" s="132" t="s">
        <v>62</v>
      </c>
      <c r="J5" s="133" cm="1">
        <f t="array" ref="J5">_xlfn.XLOOKUP(I5,Teams[[#All],[Team]],Teams[[#All],[Seed]],0,0,1)</f>
        <v>16</v>
      </c>
      <c r="K5" s="84" t="e" vm="65">
        <f>_xlfn.XLOOKUP(G5,Teams!$C:$C,Teams!$E:$E,,0,1)</f>
        <v>#VALUE!</v>
      </c>
      <c r="L5" s="84">
        <v>0.98</v>
      </c>
      <c r="M5" s="84" t="e" vm="66">
        <f>_xlfn.XLOOKUP(I5,Teams!$C:$C,Teams!$E:$E,,0,1)</f>
        <v>#VALUE!</v>
      </c>
      <c r="N5" s="84">
        <v>0.02</v>
      </c>
      <c r="O5" s="194" t="str">
        <f t="shared" ref="O5:O36" si="3">IF(L5&gt;N5,G5,I5)</f>
        <v>Bucknell</v>
      </c>
      <c r="P5" s="209" t="e" vm="65">
        <f>_xlfn.XLOOKUP(O5,Teams!$C:$C,Teams!$E:$E,,0,1)</f>
        <v>#VALUE!</v>
      </c>
      <c r="Q5" s="223"/>
      <c r="R5" s="6" t="b">
        <f>IF(
O5=G5,
IF(F5&gt;J5,TRUE,FALSE),
IF(J5&gt;F5,TRUE,FALSE))</f>
        <v>0</v>
      </c>
      <c r="S5" s="98"/>
    </row>
    <row r="6" spans="1:19" ht="24" customHeight="1" x14ac:dyDescent="0.25">
      <c r="A6" s="91" t="str">
        <f t="shared" ref="A6:A20" si="4">G6</f>
        <v>Butler</v>
      </c>
      <c r="B6" s="91" t="str">
        <f t="shared" si="0"/>
        <v>Cal Poly</v>
      </c>
      <c r="C6" s="91" t="str">
        <f t="shared" si="1"/>
        <v>Cal Poly</v>
      </c>
      <c r="D6" s="91" t="e">
        <f t="shared" si="2"/>
        <v>#REF!</v>
      </c>
      <c r="E6" s="99">
        <v>2</v>
      </c>
      <c r="F6" s="100" cm="1">
        <f t="array" ref="F6">_xlfn.XLOOKUP(G6,Teams[[#All],[Team]],Teams[[#All],[Seed]],0,0,1)</f>
        <v>8</v>
      </c>
      <c r="G6" s="101" t="s">
        <v>63</v>
      </c>
      <c r="H6" s="176" t="s">
        <v>9</v>
      </c>
      <c r="I6" s="102" t="s">
        <v>64</v>
      </c>
      <c r="J6" s="103" cm="1">
        <f t="array" ref="J6">_xlfn.XLOOKUP(I6,Teams[[#All],[Team]],Teams[[#All],[Seed]],0,0,1)</f>
        <v>9</v>
      </c>
      <c r="K6" s="82" t="e" vm="67">
        <f>_xlfn.XLOOKUP(G6,Teams!$C:$C,Teams!$E:$E,,0,1)</f>
        <v>#VALUE!</v>
      </c>
      <c r="L6" s="82">
        <v>0.69</v>
      </c>
      <c r="M6" s="82" t="e" vm="68">
        <f>_xlfn.XLOOKUP(I6,Teams!$C:$C,Teams!$E:$E,,0,1)</f>
        <v>#VALUE!</v>
      </c>
      <c r="N6" s="82">
        <v>0.31</v>
      </c>
      <c r="O6" s="189" t="str">
        <f t="shared" si="3"/>
        <v>Butler</v>
      </c>
      <c r="P6" s="204" t="e" vm="67">
        <f>_xlfn.XLOOKUP(O6,Teams!$C:$C,Teams!$E:$E,,0,1)</f>
        <v>#VALUE!</v>
      </c>
      <c r="Q6" s="223"/>
      <c r="R6" s="6" t="b">
        <f t="shared" ref="R6:R69" si="5">IF(
O6=G6,
IF(F6&gt;J6,TRUE,FALSE),
IF(J6&gt;F6,TRUE,FALSE))</f>
        <v>0</v>
      </c>
      <c r="S6" s="98"/>
    </row>
    <row r="7" spans="1:19" ht="24" customHeight="1" x14ac:dyDescent="0.25">
      <c r="A7" s="91" t="str">
        <f t="shared" si="4"/>
        <v>Cal State Bakersfield</v>
      </c>
      <c r="B7" s="91" t="str">
        <f t="shared" si="0"/>
        <v>Cal State Fullerton</v>
      </c>
      <c r="C7" s="91" t="str">
        <f t="shared" si="1"/>
        <v>Cal State Fullerton</v>
      </c>
      <c r="D7" s="91" t="e">
        <f t="shared" si="2"/>
        <v>#REF!</v>
      </c>
      <c r="E7" s="99">
        <v>3</v>
      </c>
      <c r="F7" s="100" cm="1">
        <f t="array" ref="F7">_xlfn.XLOOKUP(G7,Teams[[#All],[Team]],Teams[[#All],[Seed]],0,0,1)</f>
        <v>5</v>
      </c>
      <c r="G7" s="101" t="s">
        <v>65</v>
      </c>
      <c r="H7" s="176" t="s">
        <v>9</v>
      </c>
      <c r="I7" s="102" t="s">
        <v>66</v>
      </c>
      <c r="J7" s="103" cm="1">
        <f t="array" ref="J7">_xlfn.XLOOKUP(I7,Teams[[#All],[Team]],Teams[[#All],[Seed]],0,0,1)</f>
        <v>12</v>
      </c>
      <c r="K7" s="82" t="e" vm="69">
        <f>_xlfn.XLOOKUP(G7,Teams!$C:$C,Teams!$E:$E,,0,1)</f>
        <v>#VALUE!</v>
      </c>
      <c r="L7" s="82">
        <v>0.75</v>
      </c>
      <c r="M7" s="82" t="e" vm="70">
        <f>_xlfn.XLOOKUP(I7,Teams!$C:$C,Teams!$E:$E,,0,1)</f>
        <v>#VALUE!</v>
      </c>
      <c r="N7" s="82">
        <v>0.25</v>
      </c>
      <c r="O7" s="189" t="str">
        <f t="shared" si="3"/>
        <v>Cal State Bakersfield</v>
      </c>
      <c r="P7" s="204" t="e" vm="69">
        <f>_xlfn.XLOOKUP(O7,Teams!$C:$C,Teams!$E:$E,,0,1)</f>
        <v>#VALUE!</v>
      </c>
      <c r="Q7" s="223"/>
      <c r="R7" s="6" t="b">
        <f t="shared" si="5"/>
        <v>0</v>
      </c>
      <c r="S7" s="98"/>
    </row>
    <row r="8" spans="1:19" ht="24" customHeight="1" x14ac:dyDescent="0.25">
      <c r="A8" s="91" t="str">
        <f t="shared" si="4"/>
        <v>Cal State Northridge</v>
      </c>
      <c r="B8" s="91" t="str">
        <f t="shared" si="0"/>
        <v>California</v>
      </c>
      <c r="C8" s="91" t="str">
        <f t="shared" si="1"/>
        <v>California</v>
      </c>
      <c r="D8" s="91" t="e">
        <f t="shared" si="2"/>
        <v>#REF!</v>
      </c>
      <c r="E8" s="99">
        <v>4</v>
      </c>
      <c r="F8" s="100" cm="1">
        <f t="array" ref="F8">_xlfn.XLOOKUP(G8,Teams[[#All],[Team]],Teams[[#All],[Seed]],0,0,1)</f>
        <v>4</v>
      </c>
      <c r="G8" s="101" t="s">
        <v>67</v>
      </c>
      <c r="H8" s="176" t="s">
        <v>9</v>
      </c>
      <c r="I8" s="102" t="s">
        <v>68</v>
      </c>
      <c r="J8" s="103" cm="1">
        <f t="array" ref="J8">_xlfn.XLOOKUP(I8,Teams[[#All],[Team]],Teams[[#All],[Seed]],0,0,1)</f>
        <v>13</v>
      </c>
      <c r="K8" s="82" t="e" vm="71">
        <f>_xlfn.XLOOKUP(G8,Teams!$C:$C,Teams!$E:$E,,0,1)</f>
        <v>#VALUE!</v>
      </c>
      <c r="L8" s="82">
        <v>0.89</v>
      </c>
      <c r="M8" s="82" t="e" vm="72">
        <f>_xlfn.XLOOKUP(I8,Teams!$C:$C,Teams!$E:$E,,0,1)</f>
        <v>#VALUE!</v>
      </c>
      <c r="N8" s="82">
        <v>0.11</v>
      </c>
      <c r="O8" s="189" t="str">
        <f t="shared" si="3"/>
        <v>Cal State Northridge</v>
      </c>
      <c r="P8" s="204" t="e" vm="71">
        <f>_xlfn.XLOOKUP(O8,Teams!$C:$C,Teams!$E:$E,,0,1)</f>
        <v>#VALUE!</v>
      </c>
      <c r="Q8" s="223"/>
      <c r="R8" s="6" t="b">
        <f t="shared" si="5"/>
        <v>0</v>
      </c>
      <c r="S8" s="98"/>
    </row>
    <row r="9" spans="1:19" ht="24" customHeight="1" x14ac:dyDescent="0.25">
      <c r="A9" s="91" t="str">
        <f t="shared" si="4"/>
        <v>California Baptist</v>
      </c>
      <c r="B9" s="91" t="str">
        <f t="shared" si="0"/>
        <v>Campbell</v>
      </c>
      <c r="C9" s="91" t="str">
        <f t="shared" si="1"/>
        <v>Campbell</v>
      </c>
      <c r="D9" s="91" t="e">
        <f t="shared" si="2"/>
        <v>#REF!</v>
      </c>
      <c r="E9" s="99">
        <v>5</v>
      </c>
      <c r="F9" s="100" cm="1">
        <f t="array" ref="F9">_xlfn.XLOOKUP(G9,Teams[[#All],[Team]],Teams[[#All],[Seed]],0,0,1)</f>
        <v>6</v>
      </c>
      <c r="G9" s="101" t="s">
        <v>69</v>
      </c>
      <c r="H9" s="176" t="s">
        <v>9</v>
      </c>
      <c r="I9" s="102" t="s">
        <v>70</v>
      </c>
      <c r="J9" s="103" cm="1">
        <f t="array" ref="J9">_xlfn.XLOOKUP(I9,Teams[[#All],[Team]],Teams[[#All],[Seed]],0,0,1)</f>
        <v>11</v>
      </c>
      <c r="K9" s="82" t="e" vm="73">
        <f>_xlfn.XLOOKUP(G9,Teams!$C:$C,Teams!$E:$E,,0,1)</f>
        <v>#VALUE!</v>
      </c>
      <c r="L9" s="82">
        <v>1</v>
      </c>
      <c r="M9" s="82" t="e" vm="74">
        <f>_xlfn.XLOOKUP(I9,Teams!$C:$C,Teams!$E:$E,,0,1)</f>
        <v>#VALUE!</v>
      </c>
      <c r="N9" s="82">
        <v>0</v>
      </c>
      <c r="O9" s="189" t="str">
        <f t="shared" si="3"/>
        <v>California Baptist</v>
      </c>
      <c r="P9" s="204" t="e" vm="73">
        <f>_xlfn.XLOOKUP(O9,Teams!$C:$C,Teams!$E:$E,,0,1)</f>
        <v>#VALUE!</v>
      </c>
      <c r="Q9" s="223"/>
      <c r="R9" s="6" t="b">
        <f t="shared" si="5"/>
        <v>0</v>
      </c>
      <c r="S9" s="98"/>
    </row>
    <row r="10" spans="1:19" ht="24" customHeight="1" x14ac:dyDescent="0.25">
      <c r="A10" s="91" t="str">
        <f t="shared" si="4"/>
        <v>Canisius</v>
      </c>
      <c r="B10" s="91" t="str">
        <f t="shared" si="0"/>
        <v>Central Arkansas</v>
      </c>
      <c r="C10" s="91" t="str">
        <f t="shared" si="1"/>
        <v>Central Arkansas</v>
      </c>
      <c r="D10" s="91" t="e">
        <f t="shared" si="2"/>
        <v>#REF!</v>
      </c>
      <c r="E10" s="99">
        <v>6</v>
      </c>
      <c r="F10" s="100" cm="1">
        <f t="array" ref="F10">_xlfn.XLOOKUP(G10,Teams[[#All],[Team]],Teams[[#All],[Seed]],0,0,1)</f>
        <v>3</v>
      </c>
      <c r="G10" s="101" t="s">
        <v>71</v>
      </c>
      <c r="H10" s="176" t="s">
        <v>9</v>
      </c>
      <c r="I10" s="102" t="s">
        <v>72</v>
      </c>
      <c r="J10" s="103" cm="1">
        <f t="array" ref="J10">_xlfn.XLOOKUP(I10,Teams[[#All],[Team]],Teams[[#All],[Seed]],0,0,1)</f>
        <v>14</v>
      </c>
      <c r="K10" s="82" t="e" vm="75">
        <f>_xlfn.XLOOKUP(G10,Teams!$C:$C,Teams!$E:$E,,0,1)</f>
        <v>#VALUE!</v>
      </c>
      <c r="L10" s="82">
        <v>0.92</v>
      </c>
      <c r="M10" s="82" t="e" vm="76">
        <f>_xlfn.XLOOKUP(I10,Teams!$C:$C,Teams!$E:$E,,0,1)</f>
        <v>#VALUE!</v>
      </c>
      <c r="N10" s="82">
        <v>0.08</v>
      </c>
      <c r="O10" s="189" t="str">
        <f t="shared" si="3"/>
        <v>Canisius</v>
      </c>
      <c r="P10" s="204" t="e" vm="75">
        <f>_xlfn.XLOOKUP(O10,Teams!$C:$C,Teams!$E:$E,,0,1)</f>
        <v>#VALUE!</v>
      </c>
      <c r="Q10" s="223"/>
      <c r="R10" s="6" t="b">
        <f t="shared" si="5"/>
        <v>0</v>
      </c>
      <c r="S10" s="98"/>
    </row>
    <row r="11" spans="1:19" ht="24" customHeight="1" x14ac:dyDescent="0.25">
      <c r="A11" s="91" t="str">
        <f t="shared" si="4"/>
        <v>Central Connecticut State</v>
      </c>
      <c r="B11" s="91" t="str">
        <f t="shared" si="0"/>
        <v>Central Michigan</v>
      </c>
      <c r="C11" s="91" t="str">
        <f t="shared" si="1"/>
        <v>Central Michigan</v>
      </c>
      <c r="D11" s="91" t="e">
        <f t="shared" si="2"/>
        <v>#REF!</v>
      </c>
      <c r="E11" s="99">
        <v>7</v>
      </c>
      <c r="F11" s="100" cm="1">
        <f t="array" ref="F11">_xlfn.XLOOKUP(G11,Teams[[#All],[Team]],Teams[[#All],[Seed]],0,0,1)</f>
        <v>7</v>
      </c>
      <c r="G11" s="101" t="s">
        <v>73</v>
      </c>
      <c r="H11" s="176" t="s">
        <v>9</v>
      </c>
      <c r="I11" s="102" t="s">
        <v>74</v>
      </c>
      <c r="J11" s="103" cm="1">
        <f t="array" ref="J11">_xlfn.XLOOKUP(I11,Teams[[#All],[Team]],Teams[[#All],[Seed]],0,0,1)</f>
        <v>10</v>
      </c>
      <c r="K11" s="82" t="e" vm="77">
        <f>_xlfn.XLOOKUP(G11,Teams!$C:$C,Teams!$E:$E,,0,1)</f>
        <v>#VALUE!</v>
      </c>
      <c r="L11" s="82">
        <v>0.94</v>
      </c>
      <c r="M11" s="82" t="e" vm="78">
        <f>_xlfn.XLOOKUP(I11,Teams!$C:$C,Teams!$E:$E,,0,1)</f>
        <v>#VALUE!</v>
      </c>
      <c r="N11" s="82">
        <v>0.06</v>
      </c>
      <c r="O11" s="189" t="str">
        <f t="shared" si="3"/>
        <v>Central Connecticut State</v>
      </c>
      <c r="P11" s="204" t="e" vm="77">
        <f>_xlfn.XLOOKUP(O11,Teams!$C:$C,Teams!$E:$E,,0,1)</f>
        <v>#VALUE!</v>
      </c>
      <c r="Q11" s="223"/>
      <c r="R11" s="6" t="b">
        <f t="shared" si="5"/>
        <v>0</v>
      </c>
      <c r="S11" s="98"/>
    </row>
    <row r="12" spans="1:19" ht="24" customHeight="1" thickBot="1" x14ac:dyDescent="0.3">
      <c r="A12" s="91" t="str">
        <f t="shared" si="4"/>
        <v>Charleston Southern</v>
      </c>
      <c r="B12" s="91" t="str">
        <f t="shared" si="0"/>
        <v>Charlotte</v>
      </c>
      <c r="C12" s="91" t="str">
        <f t="shared" si="1"/>
        <v>Charlotte</v>
      </c>
      <c r="D12" s="91" t="e">
        <f t="shared" si="2"/>
        <v>#REF!</v>
      </c>
      <c r="E12" s="104">
        <v>8</v>
      </c>
      <c r="F12" s="105" cm="1">
        <f t="array" ref="F12">_xlfn.XLOOKUP(G12,Teams[[#All],[Team]],Teams[[#All],[Seed]],0,0,1)</f>
        <v>2</v>
      </c>
      <c r="G12" s="106" t="s">
        <v>75</v>
      </c>
      <c r="H12" s="177" t="s">
        <v>9</v>
      </c>
      <c r="I12" s="107" t="s">
        <v>76</v>
      </c>
      <c r="J12" s="108" cm="1">
        <f t="array" ref="J12">_xlfn.XLOOKUP(I12,Teams[[#All],[Team]],Teams[[#All],[Seed]],0,0,1)</f>
        <v>15</v>
      </c>
      <c r="K12" s="109" t="e" vm="79">
        <f>_xlfn.XLOOKUP(G12,Teams!$C:$C,Teams!$E:$E,,0,1)</f>
        <v>#VALUE!</v>
      </c>
      <c r="L12" s="109">
        <v>0.9</v>
      </c>
      <c r="M12" s="109" t="e" vm="80">
        <f>_xlfn.XLOOKUP(I12,Teams!$C:$C,Teams!$E:$E,,0,1)</f>
        <v>#VALUE!</v>
      </c>
      <c r="N12" s="109">
        <v>0.1</v>
      </c>
      <c r="O12" s="190" t="str">
        <f t="shared" si="3"/>
        <v>Charleston Southern</v>
      </c>
      <c r="P12" s="205" t="e" vm="79">
        <f>_xlfn.XLOOKUP(O12,Teams!$C:$C,Teams!$E:$E,,0,1)</f>
        <v>#VALUE!</v>
      </c>
      <c r="Q12" s="224"/>
      <c r="R12" s="6" t="b">
        <f t="shared" si="5"/>
        <v>0</v>
      </c>
      <c r="S12" s="98"/>
    </row>
    <row r="13" spans="1:19" ht="24" customHeight="1" x14ac:dyDescent="0.25">
      <c r="A13" s="91" t="str">
        <f t="shared" si="4"/>
        <v>Auburn</v>
      </c>
      <c r="B13" s="91" t="str">
        <f t="shared" si="0"/>
        <v>Austin Peay</v>
      </c>
      <c r="C13" s="91" t="str">
        <f t="shared" si="1"/>
        <v>Austin Peay</v>
      </c>
      <c r="D13" s="91" t="e">
        <f t="shared" si="2"/>
        <v>#REF!</v>
      </c>
      <c r="E13" s="110">
        <v>9</v>
      </c>
      <c r="F13" s="111" cm="1">
        <f t="array" ref="F13">_xlfn.XLOOKUP(G13,Teams[[#All],[Team]],Teams[[#All],[Seed]],0,0,1)</f>
        <v>1</v>
      </c>
      <c r="G13" s="112" t="s">
        <v>45</v>
      </c>
      <c r="H13" s="221" t="s">
        <v>9</v>
      </c>
      <c r="I13" s="113" t="s">
        <v>46</v>
      </c>
      <c r="J13" s="114" cm="1">
        <f t="array" ref="J13">_xlfn.XLOOKUP(I13,Teams[[#All],[Team]],Teams[[#All],[Seed]],0,0,1)</f>
        <v>16</v>
      </c>
      <c r="K13" s="115" t="e" vm="81">
        <f>_xlfn.XLOOKUP(G13,Teams!$C:$C,Teams!$E:$E,,0,1)</f>
        <v>#VALUE!</v>
      </c>
      <c r="L13" s="115">
        <v>0.71</v>
      </c>
      <c r="M13" s="115" t="e" vm="82">
        <f>_xlfn.XLOOKUP(I13,Teams!$C:$C,Teams!$E:$E,,0,1)</f>
        <v>#VALUE!</v>
      </c>
      <c r="N13" s="115">
        <v>0.28999999999999998</v>
      </c>
      <c r="O13" s="191" t="str">
        <f t="shared" si="3"/>
        <v>Auburn</v>
      </c>
      <c r="P13" s="206" t="e" vm="81">
        <f>_xlfn.XLOOKUP(O13,Teams!$C:$C,Teams!$E:$E,,0,1)</f>
        <v>#VALUE!</v>
      </c>
      <c r="Q13" s="225"/>
      <c r="R13" s="6" t="b">
        <f t="shared" si="5"/>
        <v>0</v>
      </c>
      <c r="S13" s="98"/>
    </row>
    <row r="14" spans="1:19" ht="24" customHeight="1" x14ac:dyDescent="0.25">
      <c r="A14" s="91" t="str">
        <f t="shared" si="4"/>
        <v>Ball State</v>
      </c>
      <c r="B14" s="91" t="str">
        <f t="shared" si="0"/>
        <v>Baylor</v>
      </c>
      <c r="C14" s="91" t="str">
        <f t="shared" si="1"/>
        <v>Baylor</v>
      </c>
      <c r="D14" s="91" t="e">
        <f t="shared" si="2"/>
        <v>#REF!</v>
      </c>
      <c r="E14" s="116">
        <v>10</v>
      </c>
      <c r="F14" s="117" cm="1">
        <f t="array" ref="F14">_xlfn.XLOOKUP(G14,Teams[[#All],[Team]],Teams[[#All],[Seed]],0,0,1)</f>
        <v>8</v>
      </c>
      <c r="G14" s="118" t="s">
        <v>47</v>
      </c>
      <c r="H14" s="178" t="s">
        <v>9</v>
      </c>
      <c r="I14" s="119" t="s">
        <v>48</v>
      </c>
      <c r="J14" s="120" cm="1">
        <f t="array" ref="J14">_xlfn.XLOOKUP(I14,Teams[[#All],[Team]],Teams[[#All],[Seed]],0,0,1)</f>
        <v>9</v>
      </c>
      <c r="K14" s="83" t="e" vm="83">
        <f>_xlfn.XLOOKUP(G14,Teams!$C:$C,Teams!$E:$E,,0,1)</f>
        <v>#VALUE!</v>
      </c>
      <c r="L14" s="83">
        <v>0.66</v>
      </c>
      <c r="M14" s="83" t="e" vm="84">
        <f>_xlfn.XLOOKUP(I14,Teams!$C:$C,Teams!$E:$E,,0,1)</f>
        <v>#VALUE!</v>
      </c>
      <c r="N14" s="83">
        <v>0.34</v>
      </c>
      <c r="O14" s="192" t="str">
        <f t="shared" si="3"/>
        <v>Ball State</v>
      </c>
      <c r="P14" s="207" t="e" vm="83">
        <f>_xlfn.XLOOKUP(O14,Teams!$C:$C,Teams!$E:$E,,0,1)</f>
        <v>#VALUE!</v>
      </c>
      <c r="Q14" s="226"/>
      <c r="R14" s="6" t="b">
        <f t="shared" si="5"/>
        <v>0</v>
      </c>
      <c r="S14" s="98"/>
    </row>
    <row r="15" spans="1:19" ht="24" customHeight="1" x14ac:dyDescent="0.25">
      <c r="A15" s="91" t="str">
        <f t="shared" si="4"/>
        <v>Bellarmine</v>
      </c>
      <c r="B15" s="91" t="str">
        <f t="shared" si="0"/>
        <v>Belmont</v>
      </c>
      <c r="C15" s="91" t="str">
        <f t="shared" si="1"/>
        <v>Belmont</v>
      </c>
      <c r="D15" s="91" t="e">
        <f t="shared" si="2"/>
        <v>#REF!</v>
      </c>
      <c r="E15" s="116">
        <v>11</v>
      </c>
      <c r="F15" s="117" cm="1">
        <f t="array" ref="F15">_xlfn.XLOOKUP(G15,Teams[[#All],[Team]],Teams[[#All],[Seed]],0,0,1)</f>
        <v>5</v>
      </c>
      <c r="G15" s="118" t="s">
        <v>49</v>
      </c>
      <c r="H15" s="178" t="s">
        <v>9</v>
      </c>
      <c r="I15" s="119" t="s">
        <v>50</v>
      </c>
      <c r="J15" s="120" cm="1">
        <f t="array" ref="J15">_xlfn.XLOOKUP(I15,Teams[[#All],[Team]],Teams[[#All],[Seed]],0,0,1)</f>
        <v>12</v>
      </c>
      <c r="K15" s="83" t="e" vm="85">
        <f>_xlfn.XLOOKUP(G15,Teams!$C:$C,Teams!$E:$E,,0,1)</f>
        <v>#VALUE!</v>
      </c>
      <c r="L15" s="83">
        <v>0.57999999999999996</v>
      </c>
      <c r="M15" s="83" t="e" vm="86">
        <f>_xlfn.XLOOKUP(I15,Teams!$C:$C,Teams!$E:$E,,0,1)</f>
        <v>#VALUE!</v>
      </c>
      <c r="N15" s="83">
        <v>0.42</v>
      </c>
      <c r="O15" s="192" t="str">
        <f t="shared" si="3"/>
        <v>Bellarmine</v>
      </c>
      <c r="P15" s="207" t="e" vm="85">
        <f>_xlfn.XLOOKUP(O15,Teams!$C:$C,Teams!$E:$E,,0,1)</f>
        <v>#VALUE!</v>
      </c>
      <c r="Q15" s="226"/>
      <c r="R15" s="6" t="b">
        <f t="shared" si="5"/>
        <v>0</v>
      </c>
      <c r="S15" s="98"/>
    </row>
    <row r="16" spans="1:19" ht="24" customHeight="1" x14ac:dyDescent="0.25">
      <c r="A16" s="91" t="str">
        <f t="shared" si="4"/>
        <v>Bethune-Cookman</v>
      </c>
      <c r="B16" s="91" t="str">
        <f t="shared" si="0"/>
        <v>Binghamton</v>
      </c>
      <c r="C16" s="91" t="str">
        <f t="shared" si="1"/>
        <v>Binghamton</v>
      </c>
      <c r="D16" s="91" t="e">
        <f t="shared" si="2"/>
        <v>#REF!</v>
      </c>
      <c r="E16" s="116">
        <v>12</v>
      </c>
      <c r="F16" s="117" cm="1">
        <f t="array" ref="F16">_xlfn.XLOOKUP(G16,Teams[[#All],[Team]],Teams[[#All],[Seed]],0,0,1)</f>
        <v>4</v>
      </c>
      <c r="G16" s="118" t="s">
        <v>51</v>
      </c>
      <c r="H16" s="178" t="s">
        <v>9</v>
      </c>
      <c r="I16" s="119" t="s">
        <v>52</v>
      </c>
      <c r="J16" s="120" cm="1">
        <f t="array" ref="J16">_xlfn.XLOOKUP(I16,Teams[[#All],[Team]],Teams[[#All],[Seed]],0,0,1)</f>
        <v>13</v>
      </c>
      <c r="K16" s="83" t="e" vm="87">
        <f>_xlfn.XLOOKUP(G16,Teams!$C:$C,Teams!$E:$E,,0,1)</f>
        <v>#VALUE!</v>
      </c>
      <c r="L16" s="83">
        <v>0.51</v>
      </c>
      <c r="M16" s="83" t="e" vm="88">
        <f>_xlfn.XLOOKUP(I16,Teams!$C:$C,Teams!$E:$E,,0,1)</f>
        <v>#VALUE!</v>
      </c>
      <c r="N16" s="83">
        <v>0.49</v>
      </c>
      <c r="O16" s="192" t="str">
        <f t="shared" si="3"/>
        <v>Bethune-Cookman</v>
      </c>
      <c r="P16" s="207" t="e" vm="87">
        <f>_xlfn.XLOOKUP(O16,Teams!$C:$C,Teams!$E:$E,,0,1)</f>
        <v>#VALUE!</v>
      </c>
      <c r="Q16" s="226"/>
      <c r="R16" s="6" t="b">
        <f t="shared" si="5"/>
        <v>0</v>
      </c>
      <c r="S16" s="98"/>
    </row>
    <row r="17" spans="1:19" ht="24" customHeight="1" x14ac:dyDescent="0.25">
      <c r="A17" s="91" t="str">
        <f t="shared" si="4"/>
        <v>Boise State</v>
      </c>
      <c r="B17" s="91" t="str">
        <f t="shared" si="0"/>
        <v>Boston College</v>
      </c>
      <c r="C17" s="91" t="str">
        <f t="shared" si="1"/>
        <v>Boston College</v>
      </c>
      <c r="D17" s="91" t="e">
        <f t="shared" si="2"/>
        <v>#REF!</v>
      </c>
      <c r="E17" s="116">
        <v>13</v>
      </c>
      <c r="F17" s="117" cm="1">
        <f t="array" ref="F17">_xlfn.XLOOKUP(G17,Teams[[#All],[Team]],Teams[[#All],[Seed]],0,0,1)</f>
        <v>6</v>
      </c>
      <c r="G17" s="118" t="s">
        <v>53</v>
      </c>
      <c r="H17" s="178" t="s">
        <v>9</v>
      </c>
      <c r="I17" s="119" t="s">
        <v>54</v>
      </c>
      <c r="J17" s="120" cm="1">
        <f t="array" ref="J17">_xlfn.XLOOKUP(I17,Teams[[#All],[Team]],Teams[[#All],[Seed]],0,0,1)</f>
        <v>11</v>
      </c>
      <c r="K17" s="83" t="e" vm="89">
        <f>_xlfn.XLOOKUP(G17,Teams!$C:$C,Teams!$E:$E,,0,1)</f>
        <v>#VALUE!</v>
      </c>
      <c r="L17" s="83">
        <v>0.65</v>
      </c>
      <c r="M17" s="83" t="e" vm="90">
        <f>_xlfn.XLOOKUP(I17,Teams!$C:$C,Teams!$E:$E,,0,1)</f>
        <v>#VALUE!</v>
      </c>
      <c r="N17" s="83">
        <v>0.35</v>
      </c>
      <c r="O17" s="192" t="str">
        <f t="shared" si="3"/>
        <v>Boise State</v>
      </c>
      <c r="P17" s="207" t="e" vm="89">
        <f>_xlfn.XLOOKUP(O17,Teams!$C:$C,Teams!$E:$E,,0,1)</f>
        <v>#VALUE!</v>
      </c>
      <c r="Q17" s="226"/>
      <c r="R17" s="6" t="b">
        <f t="shared" si="5"/>
        <v>0</v>
      </c>
      <c r="S17" s="98"/>
    </row>
    <row r="18" spans="1:19" ht="24" customHeight="1" x14ac:dyDescent="0.25">
      <c r="A18" s="91" t="str">
        <f t="shared" si="4"/>
        <v>Florida</v>
      </c>
      <c r="B18" s="91" t="str">
        <f t="shared" si="0"/>
        <v>Duke</v>
      </c>
      <c r="C18" s="91" t="str">
        <f t="shared" si="1"/>
        <v>Duke</v>
      </c>
      <c r="D18" s="91" t="e">
        <f t="shared" si="2"/>
        <v>#REF!</v>
      </c>
      <c r="E18" s="116">
        <v>14</v>
      </c>
      <c r="F18" s="117" cm="1">
        <f t="array" ref="F18">_xlfn.XLOOKUP(G18,Teams[[#All],[Team]],Teams[[#All],[Seed]],0,0,1)</f>
        <v>3</v>
      </c>
      <c r="G18" s="118" t="s">
        <v>105</v>
      </c>
      <c r="H18" s="178" t="s">
        <v>9</v>
      </c>
      <c r="I18" s="119" t="s">
        <v>95</v>
      </c>
      <c r="J18" s="120" cm="1">
        <f t="array" ref="J18">_xlfn.XLOOKUP(I18,Teams[[#All],[Team]],Teams[[#All],[Seed]],0,0,1)</f>
        <v>14</v>
      </c>
      <c r="K18" s="83" t="e" vm="91">
        <f>_xlfn.XLOOKUP(G18,Teams!$C:$C,Teams!$E:$E,,0,1)</f>
        <v>#VALUE!</v>
      </c>
      <c r="L18" s="83">
        <v>0.53</v>
      </c>
      <c r="M18" s="83" t="e" vm="92">
        <f>_xlfn.XLOOKUP(I18,Teams!$C:$C,Teams!$E:$E,,0,1)</f>
        <v>#VALUE!</v>
      </c>
      <c r="N18" s="83">
        <v>0.47</v>
      </c>
      <c r="O18" s="192" t="str">
        <f t="shared" si="3"/>
        <v>Florida</v>
      </c>
      <c r="P18" s="207" t="e" vm="91">
        <f>_xlfn.XLOOKUP(O18,Teams!$C:$C,Teams!$E:$E,,0,1)</f>
        <v>#VALUE!</v>
      </c>
      <c r="Q18" s="226"/>
      <c r="R18" s="6" t="b">
        <f t="shared" si="5"/>
        <v>0</v>
      </c>
      <c r="S18" s="98"/>
    </row>
    <row r="19" spans="1:19" ht="24" customHeight="1" x14ac:dyDescent="0.25">
      <c r="A19" s="91" t="str">
        <f t="shared" si="4"/>
        <v>Bradley</v>
      </c>
      <c r="B19" s="91" t="str">
        <f t="shared" si="0"/>
        <v>Brigham Young</v>
      </c>
      <c r="C19" s="91" t="str">
        <f t="shared" si="1"/>
        <v>Brigham Young</v>
      </c>
      <c r="D19" s="91" t="e">
        <f t="shared" si="2"/>
        <v>#REF!</v>
      </c>
      <c r="E19" s="116">
        <v>15</v>
      </c>
      <c r="F19" s="117" cm="1">
        <f t="array" ref="F19">_xlfn.XLOOKUP(G19,Teams[[#All],[Team]],Teams[[#All],[Seed]],0,0,1)</f>
        <v>7</v>
      </c>
      <c r="G19" s="118" t="s">
        <v>57</v>
      </c>
      <c r="H19" s="178" t="s">
        <v>9</v>
      </c>
      <c r="I19" s="119" t="s">
        <v>58</v>
      </c>
      <c r="J19" s="120" cm="1">
        <f t="array" ref="J19">_xlfn.XLOOKUP(I19,Teams[[#All],[Team]],Teams[[#All],[Seed]],0,0,1)</f>
        <v>10</v>
      </c>
      <c r="K19" s="83" t="e" vm="93">
        <f>_xlfn.XLOOKUP(G19,Teams!$C:$C,Teams!$E:$E,,0,1)</f>
        <v>#VALUE!</v>
      </c>
      <c r="L19" s="83">
        <v>0.56999999999999995</v>
      </c>
      <c r="M19" s="83" t="e" vm="94">
        <f>_xlfn.XLOOKUP(I19,Teams!$C:$C,Teams!$E:$E,,0,1)</f>
        <v>#VALUE!</v>
      </c>
      <c r="N19" s="83">
        <v>0.43</v>
      </c>
      <c r="O19" s="192" t="str">
        <f t="shared" si="3"/>
        <v>Bradley</v>
      </c>
      <c r="P19" s="207" t="e" vm="93">
        <f>_xlfn.XLOOKUP(O19,Teams!$C:$C,Teams!$E:$E,,0,1)</f>
        <v>#VALUE!</v>
      </c>
      <c r="Q19" s="226"/>
      <c r="R19" s="6" t="b">
        <f t="shared" si="5"/>
        <v>0</v>
      </c>
      <c r="S19" s="98"/>
    </row>
    <row r="20" spans="1:19" ht="24" customHeight="1" thickBot="1" x14ac:dyDescent="0.3">
      <c r="A20" s="91" t="str">
        <f t="shared" si="4"/>
        <v>Brown</v>
      </c>
      <c r="B20" s="91" t="str">
        <f t="shared" si="0"/>
        <v>Bryant</v>
      </c>
      <c r="C20" s="91" t="str">
        <f t="shared" si="1"/>
        <v>Bryant</v>
      </c>
      <c r="D20" s="91" t="e">
        <f t="shared" si="2"/>
        <v>#REF!</v>
      </c>
      <c r="E20" s="121">
        <v>16</v>
      </c>
      <c r="F20" s="122" cm="1">
        <f t="array" ref="F20">_xlfn.XLOOKUP(G20,Teams[[#All],[Team]],Teams[[#All],[Seed]],0,0,1)</f>
        <v>2</v>
      </c>
      <c r="G20" s="123" t="s">
        <v>59</v>
      </c>
      <c r="H20" s="179" t="s">
        <v>9</v>
      </c>
      <c r="I20" s="124" t="s">
        <v>60</v>
      </c>
      <c r="J20" s="125" cm="1">
        <f t="array" ref="J20">_xlfn.XLOOKUP(I20,Teams[[#All],[Team]],Teams[[#All],[Seed]],0,0,1)</f>
        <v>15</v>
      </c>
      <c r="K20" s="126" t="e" vm="95">
        <f>_xlfn.XLOOKUP(G20,Teams!$C:$C,Teams!$E:$E,,0,1)</f>
        <v>#VALUE!</v>
      </c>
      <c r="L20" s="126">
        <v>0.69</v>
      </c>
      <c r="M20" s="126" t="e" vm="96">
        <f>_xlfn.XLOOKUP(I20,Teams!$C:$C,Teams!$E:$E,,0,1)</f>
        <v>#VALUE!</v>
      </c>
      <c r="N20" s="126">
        <v>0.31</v>
      </c>
      <c r="O20" s="193" t="str">
        <f t="shared" si="3"/>
        <v>Brown</v>
      </c>
      <c r="P20" s="208" t="e" vm="95">
        <f>_xlfn.XLOOKUP(O20,Teams!$C:$C,Teams!$E:$E,,0,1)</f>
        <v>#VALUE!</v>
      </c>
      <c r="Q20" s="227"/>
      <c r="R20" s="6" t="b">
        <f t="shared" si="5"/>
        <v>0</v>
      </c>
      <c r="S20" s="98"/>
    </row>
    <row r="21" spans="1:19" ht="24" customHeight="1" x14ac:dyDescent="0.25">
      <c r="A21" s="91" t="str">
        <f t="shared" ref="A21:A36" si="6">G21</f>
        <v>Abilene Christian</v>
      </c>
      <c r="B21" s="91" t="str">
        <f t="shared" si="0"/>
        <v>Air Force</v>
      </c>
      <c r="C21" s="91" t="str">
        <f t="shared" si="1"/>
        <v>Air Force</v>
      </c>
      <c r="D21" s="91" t="e">
        <f t="shared" si="2"/>
        <v>#REF!</v>
      </c>
      <c r="E21" s="92">
        <v>17</v>
      </c>
      <c r="F21" s="93" cm="1">
        <f t="array" ref="F21">_xlfn.XLOOKUP(G21,Teams[[#All],[Team]],Teams[[#All],[Seed]],0,0,1)</f>
        <v>1</v>
      </c>
      <c r="G21" s="94" t="s">
        <v>29</v>
      </c>
      <c r="H21" s="175" t="s">
        <v>9</v>
      </c>
      <c r="I21" s="95" t="s">
        <v>30</v>
      </c>
      <c r="J21" s="96" cm="1">
        <f t="array" ref="J21">_xlfn.XLOOKUP(I21,Teams[[#All],[Team]],Teams[[#All],[Seed]],0,0,1)</f>
        <v>16</v>
      </c>
      <c r="K21" s="97" t="e" vm="97">
        <f>_xlfn.XLOOKUP(G21,Teams!$C:$C,Teams!$E:$E,,0,1)</f>
        <v>#VALUE!</v>
      </c>
      <c r="L21" s="97">
        <v>0.88</v>
      </c>
      <c r="M21" s="97" t="e" vm="98">
        <f>_xlfn.XLOOKUP(I21,Teams!$C:$C,Teams!$E:$E,,0,1)</f>
        <v>#VALUE!</v>
      </c>
      <c r="N21" s="97">
        <v>0.12</v>
      </c>
      <c r="O21" s="188" t="str">
        <f t="shared" si="3"/>
        <v>Abilene Christian</v>
      </c>
      <c r="P21" s="203" t="e" vm="97">
        <f>_xlfn.XLOOKUP(O21,Teams!$C:$C,Teams!$E:$E,,0,1)</f>
        <v>#VALUE!</v>
      </c>
      <c r="Q21" s="228"/>
      <c r="R21" s="6" t="b">
        <f t="shared" si="5"/>
        <v>0</v>
      </c>
      <c r="S21" s="98"/>
    </row>
    <row r="22" spans="1:19" ht="24" customHeight="1" x14ac:dyDescent="0.25">
      <c r="A22" s="91" t="str">
        <f t="shared" si="6"/>
        <v>Akron</v>
      </c>
      <c r="B22" s="91" t="str">
        <f t="shared" si="0"/>
        <v>Alabama</v>
      </c>
      <c r="C22" s="91" t="str">
        <f t="shared" si="1"/>
        <v>Alabama</v>
      </c>
      <c r="D22" s="91" t="e">
        <f t="shared" si="2"/>
        <v>#REF!</v>
      </c>
      <c r="E22" s="99">
        <v>18</v>
      </c>
      <c r="F22" s="100" cm="1">
        <f t="array" ref="F22">_xlfn.XLOOKUP(G22,Teams[[#All],[Team]],Teams[[#All],[Seed]],0,0,1)</f>
        <v>8</v>
      </c>
      <c r="G22" s="101" t="s">
        <v>31</v>
      </c>
      <c r="H22" s="176" t="s">
        <v>9</v>
      </c>
      <c r="I22" s="102" t="s">
        <v>32</v>
      </c>
      <c r="J22" s="103" cm="1">
        <f t="array" ref="J22">_xlfn.XLOOKUP(I22,Teams[[#All],[Team]],Teams[[#All],[Seed]],0,0,1)</f>
        <v>9</v>
      </c>
      <c r="K22" s="82" t="e" vm="99">
        <f>_xlfn.XLOOKUP(G22,Teams!$C:$C,Teams!$E:$E,,0,1)</f>
        <v>#VALUE!</v>
      </c>
      <c r="L22" s="82">
        <v>0.55000000000000004</v>
      </c>
      <c r="M22" s="82" t="e" vm="100">
        <f>_xlfn.XLOOKUP(I22,Teams!$C:$C,Teams!$E:$E,,0,1)</f>
        <v>#VALUE!</v>
      </c>
      <c r="N22" s="82">
        <v>0.45</v>
      </c>
      <c r="O22" s="189" t="str">
        <f t="shared" si="3"/>
        <v>Akron</v>
      </c>
      <c r="P22" s="204" t="e" vm="99">
        <f>_xlfn.XLOOKUP(O22,Teams!$C:$C,Teams!$E:$E,,0,1)</f>
        <v>#VALUE!</v>
      </c>
      <c r="Q22" s="223"/>
      <c r="R22" s="6" t="b">
        <f t="shared" si="5"/>
        <v>0</v>
      </c>
      <c r="S22" s="98"/>
    </row>
    <row r="23" spans="1:19" ht="24" customHeight="1" x14ac:dyDescent="0.25">
      <c r="A23" s="91" t="str">
        <f t="shared" si="6"/>
        <v>Alabama A&amp;M</v>
      </c>
      <c r="B23" s="91" t="str">
        <f t="shared" si="0"/>
        <v>Alabama State</v>
      </c>
      <c r="C23" s="91" t="str">
        <f t="shared" si="1"/>
        <v>Alabama State</v>
      </c>
      <c r="D23" s="91" t="e">
        <f t="shared" si="2"/>
        <v>#REF!</v>
      </c>
      <c r="E23" s="99">
        <v>19</v>
      </c>
      <c r="F23" s="100" cm="1">
        <f t="array" ref="F23">_xlfn.XLOOKUP(G23,Teams[[#All],[Team]],Teams[[#All],[Seed]],0,0,1)</f>
        <v>5</v>
      </c>
      <c r="G23" s="101" t="s">
        <v>33</v>
      </c>
      <c r="H23" s="176" t="s">
        <v>9</v>
      </c>
      <c r="I23" s="102" t="s">
        <v>34</v>
      </c>
      <c r="J23" s="103" cm="1">
        <f t="array" ref="J23">_xlfn.XLOOKUP(I23,Teams[[#All],[Team]],Teams[[#All],[Seed]],0,0,1)</f>
        <v>12</v>
      </c>
      <c r="K23" s="82" t="e" vm="101">
        <f>_xlfn.XLOOKUP(G23,Teams!$C:$C,Teams!$E:$E,,0,1)</f>
        <v>#VALUE!</v>
      </c>
      <c r="L23" s="82">
        <v>0.86</v>
      </c>
      <c r="M23" s="82" t="e" vm="102">
        <f>_xlfn.XLOOKUP(I23,Teams!$C:$C,Teams!$E:$E,,0,1)</f>
        <v>#VALUE!</v>
      </c>
      <c r="N23" s="82">
        <v>0.14000000000000001</v>
      </c>
      <c r="O23" s="189" t="str">
        <f t="shared" si="3"/>
        <v>Alabama A&amp;M</v>
      </c>
      <c r="P23" s="204" t="e" vm="101">
        <f>_xlfn.XLOOKUP(O23,Teams!$C:$C,Teams!$E:$E,,0,1)</f>
        <v>#VALUE!</v>
      </c>
      <c r="Q23" s="223"/>
      <c r="R23" s="6" t="b">
        <f t="shared" si="5"/>
        <v>0</v>
      </c>
      <c r="S23" s="98"/>
    </row>
    <row r="24" spans="1:19" ht="24" customHeight="1" x14ac:dyDescent="0.25">
      <c r="A24" s="91" t="str">
        <f t="shared" si="6"/>
        <v>Albany (NY)</v>
      </c>
      <c r="B24" s="91" t="str">
        <f t="shared" si="0"/>
        <v>Alcorn State</v>
      </c>
      <c r="C24" s="91" t="str">
        <f t="shared" si="1"/>
        <v>Albany (NY)</v>
      </c>
      <c r="D24" s="91" t="e">
        <f t="shared" si="2"/>
        <v>#REF!</v>
      </c>
      <c r="E24" s="99">
        <v>20</v>
      </c>
      <c r="F24" s="100" cm="1">
        <f t="array" ref="F24">_xlfn.XLOOKUP(G24,Teams[[#All],[Team]],Teams[[#All],[Seed]],0,0,1)</f>
        <v>4</v>
      </c>
      <c r="G24" s="101" t="s">
        <v>35</v>
      </c>
      <c r="H24" s="176" t="s">
        <v>9</v>
      </c>
      <c r="I24" s="102" t="s">
        <v>36</v>
      </c>
      <c r="J24" s="103" cm="1">
        <f t="array" ref="J24">_xlfn.XLOOKUP(I24,Teams[[#All],[Team]],Teams[[#All],[Seed]],0,0,1)</f>
        <v>13</v>
      </c>
      <c r="K24" s="82" t="e" vm="103">
        <f>_xlfn.XLOOKUP(G24,Teams!$C:$C,Teams!$E:$E,,0,1)</f>
        <v>#VALUE!</v>
      </c>
      <c r="L24" s="82">
        <v>0.5</v>
      </c>
      <c r="M24" s="82" t="e" vm="104">
        <f>_xlfn.XLOOKUP(I24,Teams!$C:$C,Teams!$E:$E,,0,1)</f>
        <v>#VALUE!</v>
      </c>
      <c r="N24" s="82">
        <v>0.5</v>
      </c>
      <c r="O24" s="189" t="str">
        <f t="shared" si="3"/>
        <v>Alcorn State</v>
      </c>
      <c r="P24" s="204" t="e" vm="104">
        <f>_xlfn.XLOOKUP(O24,Teams!$C:$C,Teams!$E:$E,,0,1)</f>
        <v>#VALUE!</v>
      </c>
      <c r="Q24" s="223"/>
      <c r="R24" s="6" t="b">
        <f t="shared" si="5"/>
        <v>1</v>
      </c>
      <c r="S24" s="98"/>
    </row>
    <row r="25" spans="1:19" ht="24" customHeight="1" x14ac:dyDescent="0.25">
      <c r="A25" s="91" t="str">
        <f t="shared" si="6"/>
        <v>American</v>
      </c>
      <c r="B25" s="91" t="str">
        <f t="shared" si="0"/>
        <v>Appalachian State</v>
      </c>
      <c r="C25" s="91" t="str">
        <f t="shared" si="1"/>
        <v>Appalachian State</v>
      </c>
      <c r="D25" s="91" t="e">
        <f t="shared" si="2"/>
        <v>#REF!</v>
      </c>
      <c r="E25" s="99">
        <v>21</v>
      </c>
      <c r="F25" s="100" cm="1">
        <f t="array" ref="F25">_xlfn.XLOOKUP(G25,Teams[[#All],[Team]],Teams[[#All],[Seed]],0,0,1)</f>
        <v>6</v>
      </c>
      <c r="G25" s="101" t="s">
        <v>37</v>
      </c>
      <c r="H25" s="176" t="s">
        <v>9</v>
      </c>
      <c r="I25" s="102" t="s">
        <v>38</v>
      </c>
      <c r="J25" s="103" cm="1">
        <f t="array" ref="J25">_xlfn.XLOOKUP(I25,Teams[[#All],[Team]],Teams[[#All],[Seed]],0,0,1)</f>
        <v>11</v>
      </c>
      <c r="K25" s="82" t="e" vm="105">
        <f>_xlfn.XLOOKUP(G25,Teams!$C:$C,Teams!$E:$E,,0,1)</f>
        <v>#VALUE!</v>
      </c>
      <c r="L25" s="82">
        <v>0.56999999999999995</v>
      </c>
      <c r="M25" s="82" t="e" vm="106">
        <f>_xlfn.XLOOKUP(I25,Teams!$C:$C,Teams!$E:$E,,0,1)</f>
        <v>#VALUE!</v>
      </c>
      <c r="N25" s="82">
        <v>0.43</v>
      </c>
      <c r="O25" s="189" t="str">
        <f t="shared" si="3"/>
        <v>American</v>
      </c>
      <c r="P25" s="204" t="e" vm="105">
        <f>_xlfn.XLOOKUP(O25,Teams!$C:$C,Teams!$E:$E,,0,1)</f>
        <v>#VALUE!</v>
      </c>
      <c r="Q25" s="223"/>
      <c r="R25" s="6" t="b">
        <f t="shared" si="5"/>
        <v>0</v>
      </c>
      <c r="S25" s="98"/>
    </row>
    <row r="26" spans="1:19" ht="24" customHeight="1" x14ac:dyDescent="0.25">
      <c r="A26" s="91" t="str">
        <f t="shared" si="6"/>
        <v>Arizona</v>
      </c>
      <c r="B26" s="91" t="str">
        <f t="shared" si="0"/>
        <v>Arizona State</v>
      </c>
      <c r="C26" s="91" t="str">
        <f t="shared" si="1"/>
        <v>Arizona State</v>
      </c>
      <c r="D26" s="91" t="e">
        <f t="shared" si="2"/>
        <v>#REF!</v>
      </c>
      <c r="E26" s="99">
        <v>22</v>
      </c>
      <c r="F26" s="100" cm="1">
        <f t="array" ref="F26">_xlfn.XLOOKUP(G26,Teams[[#All],[Team]],Teams[[#All],[Seed]],0,0,1)</f>
        <v>3</v>
      </c>
      <c r="G26" s="101" t="s">
        <v>39</v>
      </c>
      <c r="H26" s="176" t="s">
        <v>9</v>
      </c>
      <c r="I26" s="102" t="s">
        <v>40</v>
      </c>
      <c r="J26" s="103" cm="1">
        <f t="array" ref="J26">_xlfn.XLOOKUP(I26,Teams[[#All],[Team]],Teams[[#All],[Seed]],0,0,1)</f>
        <v>14</v>
      </c>
      <c r="K26" s="82" t="e" vm="107">
        <f>_xlfn.XLOOKUP(G26,Teams!$C:$C,Teams!$E:$E,,0,1)</f>
        <v>#VALUE!</v>
      </c>
      <c r="L26" s="82">
        <v>0.97</v>
      </c>
      <c r="M26" s="82" t="e" vm="108">
        <f>_xlfn.XLOOKUP(I26,Teams!$C:$C,Teams!$E:$E,,0,1)</f>
        <v>#VALUE!</v>
      </c>
      <c r="N26" s="82">
        <v>0.03</v>
      </c>
      <c r="O26" s="189" t="str">
        <f t="shared" si="3"/>
        <v>Arizona</v>
      </c>
      <c r="P26" s="204" t="e" vm="107">
        <f>_xlfn.XLOOKUP(O26,Teams!$C:$C,Teams!$E:$E,,0,1)</f>
        <v>#VALUE!</v>
      </c>
      <c r="Q26" s="223"/>
      <c r="R26" s="6" t="b">
        <f t="shared" si="5"/>
        <v>0</v>
      </c>
      <c r="S26" s="98"/>
    </row>
    <row r="27" spans="1:19" ht="24" customHeight="1" x14ac:dyDescent="0.25">
      <c r="A27" s="91" t="str">
        <f t="shared" si="6"/>
        <v>Arkansas</v>
      </c>
      <c r="B27" s="91" t="str">
        <f t="shared" si="0"/>
        <v>Arkansas State</v>
      </c>
      <c r="C27" s="91" t="str">
        <f t="shared" si="1"/>
        <v>Arkansas State</v>
      </c>
      <c r="D27" s="91" t="e">
        <f t="shared" si="2"/>
        <v>#REF!</v>
      </c>
      <c r="E27" s="99">
        <v>23</v>
      </c>
      <c r="F27" s="100" cm="1">
        <f t="array" ref="F27">_xlfn.XLOOKUP(G27,Teams[[#All],[Team]],Teams[[#All],[Seed]],0,0,1)</f>
        <v>7</v>
      </c>
      <c r="G27" s="101" t="s">
        <v>41</v>
      </c>
      <c r="H27" s="176" t="s">
        <v>9</v>
      </c>
      <c r="I27" s="102" t="s">
        <v>42</v>
      </c>
      <c r="J27" s="103" cm="1">
        <f t="array" ref="J27">_xlfn.XLOOKUP(I27,Teams[[#All],[Team]],Teams[[#All],[Seed]],0,0,1)</f>
        <v>10</v>
      </c>
      <c r="K27" s="82" t="e" vm="109">
        <f>_xlfn.XLOOKUP(G27,Teams!$C:$C,Teams!$E:$E,,0,1)</f>
        <v>#VALUE!</v>
      </c>
      <c r="L27" s="82">
        <v>0.91</v>
      </c>
      <c r="M27" s="82" t="e" vm="110">
        <f>_xlfn.XLOOKUP(I27,Teams!$C:$C,Teams!$E:$E,,0,1)</f>
        <v>#VALUE!</v>
      </c>
      <c r="N27" s="82">
        <v>0.09</v>
      </c>
      <c r="O27" s="189" t="str">
        <f t="shared" si="3"/>
        <v>Arkansas</v>
      </c>
      <c r="P27" s="204" t="e" vm="109">
        <f>_xlfn.XLOOKUP(O27,Teams!$C:$C,Teams!$E:$E,,0,1)</f>
        <v>#VALUE!</v>
      </c>
      <c r="Q27" s="223"/>
      <c r="R27" s="6" t="b">
        <f t="shared" si="5"/>
        <v>0</v>
      </c>
      <c r="S27" s="98"/>
    </row>
    <row r="28" spans="1:19" ht="24" customHeight="1" thickBot="1" x14ac:dyDescent="0.3">
      <c r="A28" s="91" t="str">
        <f t="shared" si="6"/>
        <v>Arkansas-Pine Bluff</v>
      </c>
      <c r="B28" s="91" t="str">
        <f t="shared" si="0"/>
        <v>Army</v>
      </c>
      <c r="C28" s="91" t="str">
        <f t="shared" si="1"/>
        <v>Army</v>
      </c>
      <c r="D28" s="91" t="e">
        <f t="shared" si="2"/>
        <v>#REF!</v>
      </c>
      <c r="E28" s="104">
        <v>24</v>
      </c>
      <c r="F28" s="105" cm="1">
        <f t="array" ref="F28">_xlfn.XLOOKUP(G28,Teams[[#All],[Team]],Teams[[#All],[Seed]],0,0,1)</f>
        <v>2</v>
      </c>
      <c r="G28" s="106" t="s">
        <v>43</v>
      </c>
      <c r="H28" s="177" t="s">
        <v>9</v>
      </c>
      <c r="I28" s="107" t="s">
        <v>44</v>
      </c>
      <c r="J28" s="108" cm="1">
        <f t="array" ref="J28">_xlfn.XLOOKUP(I28,Teams[[#All],[Team]],Teams[[#All],[Seed]],0,0,1)</f>
        <v>15</v>
      </c>
      <c r="K28" s="109" t="e" vm="111">
        <f>_xlfn.XLOOKUP(G28,Teams!$C:$C,Teams!$E:$E,,0,1)</f>
        <v>#VALUE!</v>
      </c>
      <c r="L28" s="109">
        <v>0.7</v>
      </c>
      <c r="M28" s="109" t="e" vm="112">
        <f>_xlfn.XLOOKUP(I28,Teams!$C:$C,Teams!$E:$E,,0,1)</f>
        <v>#VALUE!</v>
      </c>
      <c r="N28" s="109">
        <v>0.3</v>
      </c>
      <c r="O28" s="190" t="str">
        <f t="shared" si="3"/>
        <v>Arkansas-Pine Bluff</v>
      </c>
      <c r="P28" s="205" t="e" vm="111">
        <f>_xlfn.XLOOKUP(O28,Teams!$C:$C,Teams!$E:$E,,0,1)</f>
        <v>#VALUE!</v>
      </c>
      <c r="Q28" s="224"/>
      <c r="R28" s="6" t="b">
        <f t="shared" si="5"/>
        <v>0</v>
      </c>
      <c r="S28" s="98"/>
    </row>
    <row r="29" spans="1:19" ht="24" customHeight="1" x14ac:dyDescent="0.25">
      <c r="A29" s="91" t="str">
        <f t="shared" si="6"/>
        <v>Chattanooga</v>
      </c>
      <c r="B29" s="91" t="str">
        <f t="shared" si="0"/>
        <v>Chicago State</v>
      </c>
      <c r="C29" s="91" t="str">
        <f t="shared" si="1"/>
        <v>Chicago State</v>
      </c>
      <c r="D29" s="91" t="e">
        <f t="shared" si="2"/>
        <v>#REF!</v>
      </c>
      <c r="E29" s="110">
        <v>25</v>
      </c>
      <c r="F29" s="111" cm="1">
        <f t="array" ref="F29">_xlfn.XLOOKUP(G29,Teams[[#All],[Team]],Teams[[#All],[Seed]],0,0,1)</f>
        <v>1</v>
      </c>
      <c r="G29" s="127" t="s">
        <v>77</v>
      </c>
      <c r="H29" s="180" t="s">
        <v>9</v>
      </c>
      <c r="I29" s="128" t="s">
        <v>78</v>
      </c>
      <c r="J29" s="114" cm="1">
        <f t="array" ref="J29">_xlfn.XLOOKUP(I29,Teams[[#All],[Team]],Teams[[#All],[Seed]],0,0,1)</f>
        <v>16</v>
      </c>
      <c r="K29" s="115" t="e" vm="113">
        <f>_xlfn.XLOOKUP(G29,Teams!$C:$C,Teams!$E:$E,,0,1)</f>
        <v>#VALUE!</v>
      </c>
      <c r="L29" s="115">
        <v>0.55000000000000004</v>
      </c>
      <c r="M29" s="115" t="e" vm="114">
        <f>_xlfn.XLOOKUP(I29,Teams!$C:$C,Teams!$E:$E,,0,1)</f>
        <v>#VALUE!</v>
      </c>
      <c r="N29" s="115">
        <v>0.45</v>
      </c>
      <c r="O29" s="191" t="str">
        <f t="shared" si="3"/>
        <v>Chattanooga</v>
      </c>
      <c r="P29" s="206" t="e" vm="113">
        <f>_xlfn.XLOOKUP(O29,Teams!$C:$C,Teams!$E:$E,,0,1)</f>
        <v>#VALUE!</v>
      </c>
      <c r="Q29" s="225"/>
      <c r="R29" s="6" t="b">
        <f t="shared" si="5"/>
        <v>0</v>
      </c>
      <c r="S29" s="98"/>
    </row>
    <row r="30" spans="1:19" ht="24" customHeight="1" x14ac:dyDescent="0.25">
      <c r="A30" s="91" t="str">
        <f t="shared" si="6"/>
        <v>Cincinnati</v>
      </c>
      <c r="B30" s="91" t="str">
        <f t="shared" si="0"/>
        <v>Clemson</v>
      </c>
      <c r="C30" s="91" t="str">
        <f t="shared" si="1"/>
        <v>Clemson</v>
      </c>
      <c r="D30" s="91" t="e">
        <f t="shared" si="2"/>
        <v>#REF!</v>
      </c>
      <c r="E30" s="116">
        <v>26</v>
      </c>
      <c r="F30" s="117" cm="1">
        <f t="array" ref="F30">_xlfn.XLOOKUP(G30,Teams[[#All],[Team]],Teams[[#All],[Seed]],0,0,1)</f>
        <v>8</v>
      </c>
      <c r="G30" s="118" t="s">
        <v>79</v>
      </c>
      <c r="H30" s="178" t="s">
        <v>9</v>
      </c>
      <c r="I30" s="119" t="s">
        <v>80</v>
      </c>
      <c r="J30" s="120" cm="1">
        <f t="array" ref="J30">_xlfn.XLOOKUP(I30,Teams[[#All],[Team]],Teams[[#All],[Seed]],0,0,1)</f>
        <v>9</v>
      </c>
      <c r="K30" s="83" t="e" vm="115">
        <f>_xlfn.XLOOKUP(G30,Teams!$C:$C,Teams!$E:$E,,0,1)</f>
        <v>#VALUE!</v>
      </c>
      <c r="L30" s="83">
        <v>0.67</v>
      </c>
      <c r="M30" s="83" t="e" vm="116">
        <f>_xlfn.XLOOKUP(I30,Teams!$C:$C,Teams!$E:$E,,0,1)</f>
        <v>#VALUE!</v>
      </c>
      <c r="N30" s="83">
        <v>0.33</v>
      </c>
      <c r="O30" s="192" t="str">
        <f t="shared" si="3"/>
        <v>Cincinnati</v>
      </c>
      <c r="P30" s="207" t="e" vm="115">
        <f>_xlfn.XLOOKUP(O30,Teams!$C:$C,Teams!$E:$E,,0,1)</f>
        <v>#VALUE!</v>
      </c>
      <c r="Q30" s="226"/>
      <c r="R30" s="6" t="b">
        <f t="shared" si="5"/>
        <v>0</v>
      </c>
      <c r="S30" s="98"/>
    </row>
    <row r="31" spans="1:19" ht="24" customHeight="1" x14ac:dyDescent="0.25">
      <c r="A31" s="91" t="str">
        <f t="shared" si="6"/>
        <v>Cleveland State</v>
      </c>
      <c r="B31" s="91" t="str">
        <f t="shared" si="0"/>
        <v>Coastal Carolina</v>
      </c>
      <c r="C31" s="91" t="str">
        <f t="shared" si="1"/>
        <v>Coastal Carolina</v>
      </c>
      <c r="D31" s="91" t="e">
        <f t="shared" si="2"/>
        <v>#REF!</v>
      </c>
      <c r="E31" s="116">
        <v>27</v>
      </c>
      <c r="F31" s="117" cm="1">
        <f t="array" ref="F31">_xlfn.XLOOKUP(G31,Teams[[#All],[Team]],Teams[[#All],[Seed]],0,0,1)</f>
        <v>5</v>
      </c>
      <c r="G31" s="118" t="s">
        <v>81</v>
      </c>
      <c r="H31" s="178" t="s">
        <v>9</v>
      </c>
      <c r="I31" s="119" t="s">
        <v>82</v>
      </c>
      <c r="J31" s="120" cm="1">
        <f t="array" ref="J31">_xlfn.XLOOKUP(I31,Teams[[#All],[Team]],Teams[[#All],[Seed]],0,0,1)</f>
        <v>12</v>
      </c>
      <c r="K31" s="83" t="e" vm="117">
        <f>_xlfn.XLOOKUP(G31,Teams!$C:$C,Teams!$E:$E,,0,1)</f>
        <v>#VALUE!</v>
      </c>
      <c r="L31" s="83">
        <v>0.88</v>
      </c>
      <c r="M31" s="83" t="e" vm="118">
        <f>_xlfn.XLOOKUP(I31,Teams!$C:$C,Teams!$E:$E,,0,1)</f>
        <v>#VALUE!</v>
      </c>
      <c r="N31" s="83">
        <v>0.12</v>
      </c>
      <c r="O31" s="192" t="str">
        <f t="shared" si="3"/>
        <v>Cleveland State</v>
      </c>
      <c r="P31" s="207" t="e" vm="117">
        <f>_xlfn.XLOOKUP(O31,Teams!$C:$C,Teams!$E:$E,,0,1)</f>
        <v>#VALUE!</v>
      </c>
      <c r="Q31" s="226"/>
      <c r="R31" s="6" t="b">
        <f t="shared" si="5"/>
        <v>0</v>
      </c>
      <c r="S31" s="98"/>
    </row>
    <row r="32" spans="1:19" ht="24" customHeight="1" x14ac:dyDescent="0.25">
      <c r="A32" s="91" t="str">
        <f t="shared" si="6"/>
        <v>Colgate</v>
      </c>
      <c r="B32" s="91" t="str">
        <f t="shared" si="0"/>
        <v>College of Charleston</v>
      </c>
      <c r="C32" s="91" t="str">
        <f t="shared" si="1"/>
        <v>College of Charleston</v>
      </c>
      <c r="D32" s="91" t="e">
        <f t="shared" si="2"/>
        <v>#REF!</v>
      </c>
      <c r="E32" s="116">
        <v>28</v>
      </c>
      <c r="F32" s="117" cm="1">
        <f t="array" ref="F32">_xlfn.XLOOKUP(G32,Teams[[#All],[Team]],Teams[[#All],[Seed]],0,0,1)</f>
        <v>4</v>
      </c>
      <c r="G32" s="118" t="s">
        <v>83</v>
      </c>
      <c r="H32" s="178" t="s">
        <v>9</v>
      </c>
      <c r="I32" s="119" t="s">
        <v>84</v>
      </c>
      <c r="J32" s="120" cm="1">
        <f t="array" ref="J32">_xlfn.XLOOKUP(I32,Teams[[#All],[Team]],Teams[[#All],[Seed]],0,0,1)</f>
        <v>13</v>
      </c>
      <c r="K32" s="83" t="e" vm="119">
        <f>_xlfn.XLOOKUP(G32,Teams!$C:$C,Teams!$E:$E,,0,1)</f>
        <v>#VALUE!</v>
      </c>
      <c r="L32" s="83">
        <v>0.84</v>
      </c>
      <c r="M32" s="83" t="e" vm="120">
        <f>_xlfn.XLOOKUP(I32,Teams!$C:$C,Teams!$E:$E,,0,1)</f>
        <v>#VALUE!</v>
      </c>
      <c r="N32" s="83">
        <v>0.16</v>
      </c>
      <c r="O32" s="192" t="str">
        <f t="shared" si="3"/>
        <v>Colgate</v>
      </c>
      <c r="P32" s="207" t="e" vm="119">
        <f>_xlfn.XLOOKUP(O32,Teams!$C:$C,Teams!$E:$E,,0,1)</f>
        <v>#VALUE!</v>
      </c>
      <c r="Q32" s="226"/>
      <c r="R32" s="6" t="b">
        <f t="shared" si="5"/>
        <v>0</v>
      </c>
      <c r="S32" s="98"/>
    </row>
    <row r="33" spans="1:19" ht="24" customHeight="1" x14ac:dyDescent="0.25">
      <c r="A33" s="91" t="str">
        <f t="shared" si="6"/>
        <v>Colorado</v>
      </c>
      <c r="B33" s="91" t="str">
        <f t="shared" si="0"/>
        <v>Colorado State</v>
      </c>
      <c r="C33" s="91" t="str">
        <f t="shared" si="1"/>
        <v>Colorado State</v>
      </c>
      <c r="D33" s="91" t="e">
        <f t="shared" si="2"/>
        <v>#REF!</v>
      </c>
      <c r="E33" s="116">
        <v>29</v>
      </c>
      <c r="F33" s="117" cm="1">
        <f t="array" ref="F33">_xlfn.XLOOKUP(G33,Teams[[#All],[Team]],Teams[[#All],[Seed]],0,0,1)</f>
        <v>6</v>
      </c>
      <c r="G33" s="118" t="s">
        <v>85</v>
      </c>
      <c r="H33" s="178" t="s">
        <v>9</v>
      </c>
      <c r="I33" s="119" t="s">
        <v>86</v>
      </c>
      <c r="J33" s="120" cm="1">
        <f t="array" ref="J33">_xlfn.XLOOKUP(I33,Teams[[#All],[Team]],Teams[[#All],[Seed]],0,0,1)</f>
        <v>11</v>
      </c>
      <c r="K33" s="83" t="e" vm="121">
        <f>_xlfn.XLOOKUP(G33,Teams!$C:$C,Teams!$E:$E,,0,1)</f>
        <v>#VALUE!</v>
      </c>
      <c r="L33" s="83">
        <v>0.81</v>
      </c>
      <c r="M33" s="83" t="e" vm="122">
        <f>_xlfn.XLOOKUP(I33,Teams!$C:$C,Teams!$E:$E,,0,1)</f>
        <v>#VALUE!</v>
      </c>
      <c r="N33" s="83">
        <v>0.19</v>
      </c>
      <c r="O33" s="192" t="str">
        <f t="shared" si="3"/>
        <v>Colorado</v>
      </c>
      <c r="P33" s="207" t="e" vm="121">
        <f>_xlfn.XLOOKUP(O33,Teams!$C:$C,Teams!$E:$E,,0,1)</f>
        <v>#VALUE!</v>
      </c>
      <c r="Q33" s="226"/>
      <c r="R33" s="6" t="b">
        <f t="shared" si="5"/>
        <v>0</v>
      </c>
      <c r="S33" s="98"/>
    </row>
    <row r="34" spans="1:19" ht="24" customHeight="1" x14ac:dyDescent="0.25">
      <c r="A34" s="91" t="str">
        <f t="shared" si="6"/>
        <v>Columbia</v>
      </c>
      <c r="B34" s="91" t="str">
        <f t="shared" si="0"/>
        <v>Connecticut</v>
      </c>
      <c r="C34" s="91" t="str">
        <f t="shared" si="1"/>
        <v>Connecticut</v>
      </c>
      <c r="D34" s="91" t="e">
        <f t="shared" si="2"/>
        <v>#REF!</v>
      </c>
      <c r="E34" s="116">
        <v>30</v>
      </c>
      <c r="F34" s="117" cm="1">
        <f t="array" ref="F34">_xlfn.XLOOKUP(G34,Teams[[#All],[Team]],Teams[[#All],[Seed]],0,0,1)</f>
        <v>3</v>
      </c>
      <c r="G34" s="118" t="s">
        <v>87</v>
      </c>
      <c r="H34" s="178" t="s">
        <v>9</v>
      </c>
      <c r="I34" s="119" t="s">
        <v>88</v>
      </c>
      <c r="J34" s="120" cm="1">
        <f t="array" ref="J34">_xlfn.XLOOKUP(I34,Teams[[#All],[Team]],Teams[[#All],[Seed]],0,0,1)</f>
        <v>14</v>
      </c>
      <c r="K34" s="83" t="e" vm="123">
        <f>_xlfn.XLOOKUP(G34,Teams!$C:$C,Teams!$E:$E,,0,1)</f>
        <v>#VALUE!</v>
      </c>
      <c r="L34" s="83">
        <v>0.51</v>
      </c>
      <c r="M34" s="83" t="e" vm="124">
        <f>_xlfn.XLOOKUP(I34,Teams!$C:$C,Teams!$E:$E,,0,1)</f>
        <v>#VALUE!</v>
      </c>
      <c r="N34" s="83">
        <v>0.49</v>
      </c>
      <c r="O34" s="192" t="str">
        <f t="shared" si="3"/>
        <v>Columbia</v>
      </c>
      <c r="P34" s="207" t="e" vm="123">
        <f>_xlfn.XLOOKUP(O34,Teams!$C:$C,Teams!$E:$E,,0,1)</f>
        <v>#VALUE!</v>
      </c>
      <c r="Q34" s="226"/>
      <c r="R34" s="6" t="b">
        <f t="shared" si="5"/>
        <v>0</v>
      </c>
      <c r="S34" s="98"/>
    </row>
    <row r="35" spans="1:19" ht="24" customHeight="1" x14ac:dyDescent="0.25">
      <c r="A35" s="91" t="str">
        <f t="shared" si="6"/>
        <v>Coppin State</v>
      </c>
      <c r="B35" s="91" t="str">
        <f t="shared" si="0"/>
        <v>Cornell</v>
      </c>
      <c r="C35" s="91" t="str">
        <f t="shared" si="1"/>
        <v>Cornell</v>
      </c>
      <c r="D35" s="91" t="e">
        <f t="shared" si="2"/>
        <v>#REF!</v>
      </c>
      <c r="E35" s="116">
        <v>31</v>
      </c>
      <c r="F35" s="117" cm="1">
        <f t="array" ref="F35">_xlfn.XLOOKUP(G35,Teams[[#All],[Team]],Teams[[#All],[Seed]],0,0,1)</f>
        <v>7</v>
      </c>
      <c r="G35" s="118" t="s">
        <v>89</v>
      </c>
      <c r="H35" s="178" t="s">
        <v>9</v>
      </c>
      <c r="I35" s="119" t="s">
        <v>90</v>
      </c>
      <c r="J35" s="120" cm="1">
        <f t="array" ref="J35">_xlfn.XLOOKUP(I35,Teams[[#All],[Team]],Teams[[#All],[Seed]],0,0,1)</f>
        <v>10</v>
      </c>
      <c r="K35" s="83" t="e" vm="125">
        <f>_xlfn.XLOOKUP(G35,Teams!$C:$C,Teams!$E:$E,,0,1)</f>
        <v>#VALUE!</v>
      </c>
      <c r="L35" s="83">
        <v>0.84</v>
      </c>
      <c r="M35" s="83" t="e" vm="126">
        <f>_xlfn.XLOOKUP(I35,Teams!$C:$C,Teams!$E:$E,,0,1)</f>
        <v>#VALUE!</v>
      </c>
      <c r="N35" s="83">
        <v>0.16</v>
      </c>
      <c r="O35" s="192" t="str">
        <f t="shared" si="3"/>
        <v>Coppin State</v>
      </c>
      <c r="P35" s="207" t="e" vm="125">
        <f>_xlfn.XLOOKUP(O35,Teams!$C:$C,Teams!$E:$E,,0,1)</f>
        <v>#VALUE!</v>
      </c>
      <c r="Q35" s="226"/>
      <c r="R35" s="6" t="b">
        <f t="shared" si="5"/>
        <v>0</v>
      </c>
      <c r="S35" s="98"/>
    </row>
    <row r="36" spans="1:19" ht="24" customHeight="1" thickBot="1" x14ac:dyDescent="0.3">
      <c r="A36" s="91" t="str">
        <f t="shared" si="6"/>
        <v>Creighton</v>
      </c>
      <c r="B36" s="91" t="str">
        <f t="shared" si="0"/>
        <v>Dartmouth</v>
      </c>
      <c r="C36" s="91" t="str">
        <f t="shared" si="1"/>
        <v>Dartmouth</v>
      </c>
      <c r="D36" s="91" t="e">
        <f t="shared" si="2"/>
        <v>#REF!</v>
      </c>
      <c r="E36" s="121">
        <v>32</v>
      </c>
      <c r="F36" s="122" cm="1">
        <f t="array" ref="F36">_xlfn.XLOOKUP(G36,Teams[[#All],[Team]],Teams[[#All],[Seed]],0,0,1)</f>
        <v>2</v>
      </c>
      <c r="G36" s="123" t="s">
        <v>91</v>
      </c>
      <c r="H36" s="179" t="s">
        <v>9</v>
      </c>
      <c r="I36" s="124" t="s">
        <v>92</v>
      </c>
      <c r="J36" s="125" cm="1">
        <f t="array" ref="J36">_xlfn.XLOOKUP(I36,Teams[[#All],[Team]],Teams[[#All],[Seed]],0,0,1)</f>
        <v>15</v>
      </c>
      <c r="K36" s="126" t="e" vm="127">
        <f>_xlfn.XLOOKUP(G36,Teams!$C:$C,Teams!$E:$E,,0,1)</f>
        <v>#VALUE!</v>
      </c>
      <c r="L36" s="126">
        <v>0.57999999999999996</v>
      </c>
      <c r="M36" s="126" t="e" vm="128">
        <f>_xlfn.XLOOKUP(I36,Teams!$C:$C,Teams!$E:$E,,0,1)</f>
        <v>#VALUE!</v>
      </c>
      <c r="N36" s="126">
        <v>0.42</v>
      </c>
      <c r="O36" s="193" t="str">
        <f t="shared" si="3"/>
        <v>Creighton</v>
      </c>
      <c r="P36" s="208" t="e" vm="127">
        <f>_xlfn.XLOOKUP(O36,Teams!$C:$C,Teams!$E:$E,,0,1)</f>
        <v>#VALUE!</v>
      </c>
      <c r="Q36" s="227"/>
      <c r="R36" s="6" t="b">
        <f t="shared" si="5"/>
        <v>0</v>
      </c>
      <c r="S36" s="98"/>
    </row>
    <row r="37" spans="1:19" ht="24" customHeight="1" thickBot="1" x14ac:dyDescent="0.3">
      <c r="E37" s="67" t="s">
        <v>10</v>
      </c>
      <c r="F37" s="238" t="str">
        <f>Bracket!F2</f>
        <v>Second Round</v>
      </c>
      <c r="G37" s="238"/>
      <c r="H37" s="238"/>
      <c r="I37" s="238"/>
      <c r="J37" s="238"/>
      <c r="K37" s="68"/>
      <c r="L37" s="68"/>
      <c r="M37" s="68"/>
      <c r="N37" s="68"/>
      <c r="O37" s="68" t="s">
        <v>8</v>
      </c>
      <c r="P37" s="68"/>
      <c r="Q37" s="229"/>
      <c r="S37" s="98"/>
    </row>
    <row r="38" spans="1:19" ht="24" customHeight="1" x14ac:dyDescent="0.25">
      <c r="A38" s="91" t="str">
        <f>G38</f>
        <v>Bucknell</v>
      </c>
      <c r="B38" s="91" t="str">
        <f>I38</f>
        <v>Butler</v>
      </c>
      <c r="C38" s="91" t="str">
        <f t="shared" ref="C38:C53" si="7">IF(O38="","",IF(A38=O38,B38,A38))</f>
        <v>Butler</v>
      </c>
      <c r="D38" s="91" t="e">
        <f t="shared" ref="D38:D53" si="8">IF(SeedType=1,0,IF(SeedType=2,VLOOKUP(O38,SeedInfo,2,FALSE)*2,MAX(VLOOKUP(O38,SeedInfo,2,FALSE)-VLOOKUP(C38,SeedInfo,2,FALSE),0)))</f>
        <v>#REF!</v>
      </c>
      <c r="E38" s="129">
        <f>Bracket!F7</f>
        <v>33</v>
      </c>
      <c r="F38" s="130" cm="1">
        <f t="array" ref="F38">_xlfn.XLOOKUP(G38,Teams[[#All],[Team]],Teams[[#All],[Seed]],0,0,1)</f>
        <v>1</v>
      </c>
      <c r="G38" s="131" t="s">
        <v>61</v>
      </c>
      <c r="H38" s="181" t="s">
        <v>9</v>
      </c>
      <c r="I38" s="132" t="s">
        <v>63</v>
      </c>
      <c r="J38" s="133" cm="1">
        <f t="array" ref="J38">_xlfn.XLOOKUP(I38,Teams[[#All],[Team]],Teams[[#All],[Seed]],0,0,1)</f>
        <v>8</v>
      </c>
      <c r="K38" s="84" t="e" vm="65">
        <f>_xlfn.XLOOKUP(G38,Teams!$C:$C,Teams!$E:$E,,0,1)</f>
        <v>#VALUE!</v>
      </c>
      <c r="L38" s="84">
        <v>0.52</v>
      </c>
      <c r="M38" s="84" t="e" vm="67">
        <f>_xlfn.XLOOKUP(I38,Teams!$C:$C,Teams!$E:$E,,0,1)</f>
        <v>#VALUE!</v>
      </c>
      <c r="N38" s="84">
        <v>0.48</v>
      </c>
      <c r="O38" s="194" t="str">
        <f t="shared" ref="O38:O53" si="9">IF(L38&gt;N38,G38,I38)</f>
        <v>Bucknell</v>
      </c>
      <c r="P38" s="209" t="e" vm="65">
        <f>_xlfn.XLOOKUP(O38,Teams!$C:$C,Teams!$E:$E,,0,1)</f>
        <v>#VALUE!</v>
      </c>
      <c r="Q38" s="222"/>
      <c r="R38" s="6" t="b">
        <f t="shared" si="5"/>
        <v>0</v>
      </c>
      <c r="S38" s="98"/>
    </row>
    <row r="39" spans="1:19" ht="24" customHeight="1" x14ac:dyDescent="0.25">
      <c r="A39" s="91" t="str">
        <f t="shared" ref="A39:A53" si="10">G39</f>
        <v>Cal State Bakersfield</v>
      </c>
      <c r="B39" s="91" t="str">
        <f t="shared" ref="B39:B53" si="11">I39</f>
        <v>Cal State Northridge</v>
      </c>
      <c r="C39" s="91" t="str">
        <f t="shared" si="7"/>
        <v>Cal State Northridge</v>
      </c>
      <c r="D39" s="91" t="e">
        <f t="shared" si="8"/>
        <v>#REF!</v>
      </c>
      <c r="E39" s="99">
        <v>34</v>
      </c>
      <c r="F39" s="100" cm="1">
        <f t="array" ref="F39">_xlfn.XLOOKUP(G39,Teams[[#All],[Team]],Teams[[#All],[Seed]],0,0,1)</f>
        <v>5</v>
      </c>
      <c r="G39" s="101" t="s">
        <v>65</v>
      </c>
      <c r="H39" s="176" t="s">
        <v>9</v>
      </c>
      <c r="I39" s="102" t="s">
        <v>67</v>
      </c>
      <c r="J39" s="103" cm="1">
        <f t="array" ref="J39">_xlfn.XLOOKUP(I39,Teams[[#All],[Team]],Teams[[#All],[Seed]],0,0,1)</f>
        <v>4</v>
      </c>
      <c r="K39" s="82" t="e" vm="69">
        <f>_xlfn.XLOOKUP(G39,Teams!$C:$C,Teams!$E:$E,,0,1)</f>
        <v>#VALUE!</v>
      </c>
      <c r="L39" s="82">
        <v>0.82</v>
      </c>
      <c r="M39" s="82" t="e" vm="71">
        <f>_xlfn.XLOOKUP(I39,Teams!$C:$C,Teams!$E:$E,,0,1)</f>
        <v>#VALUE!</v>
      </c>
      <c r="N39" s="82">
        <v>0.18</v>
      </c>
      <c r="O39" s="189" t="str">
        <f t="shared" si="9"/>
        <v>Cal State Bakersfield</v>
      </c>
      <c r="P39" s="204" t="e" vm="69">
        <f>_xlfn.XLOOKUP(O39,Teams!$C:$C,Teams!$E:$E,,0,1)</f>
        <v>#VALUE!</v>
      </c>
      <c r="Q39" s="223"/>
      <c r="R39" s="6" t="b">
        <f t="shared" si="5"/>
        <v>1</v>
      </c>
      <c r="S39" s="98"/>
    </row>
    <row r="40" spans="1:19" ht="24" customHeight="1" x14ac:dyDescent="0.25">
      <c r="A40" s="91" t="str">
        <f t="shared" si="10"/>
        <v>California Baptist</v>
      </c>
      <c r="B40" s="91" t="str">
        <f t="shared" si="11"/>
        <v>Canisius</v>
      </c>
      <c r="C40" s="91" t="str">
        <f t="shared" si="7"/>
        <v>Canisius</v>
      </c>
      <c r="D40" s="91" t="e">
        <f t="shared" si="8"/>
        <v>#REF!</v>
      </c>
      <c r="E40" s="99">
        <v>35</v>
      </c>
      <c r="F40" s="100" cm="1">
        <f t="array" ref="F40">_xlfn.XLOOKUP(G40,Teams[[#All],[Team]],Teams[[#All],[Seed]],0,0,1)</f>
        <v>6</v>
      </c>
      <c r="G40" s="101" t="s">
        <v>69</v>
      </c>
      <c r="H40" s="176" t="s">
        <v>9</v>
      </c>
      <c r="I40" s="102" t="s">
        <v>71</v>
      </c>
      <c r="J40" s="103" cm="1">
        <f t="array" ref="J40">_xlfn.XLOOKUP(I40,Teams[[#All],[Team]],Teams[[#All],[Seed]],0,0,1)</f>
        <v>3</v>
      </c>
      <c r="K40" s="82" t="e" vm="73">
        <f>_xlfn.XLOOKUP(G40,Teams!$C:$C,Teams!$E:$E,,0,1)</f>
        <v>#VALUE!</v>
      </c>
      <c r="L40" s="82">
        <v>0.9</v>
      </c>
      <c r="M40" s="82" t="e" vm="75">
        <f>_xlfn.XLOOKUP(I40,Teams!$C:$C,Teams!$E:$E,,0,1)</f>
        <v>#VALUE!</v>
      </c>
      <c r="N40" s="82">
        <v>0.1</v>
      </c>
      <c r="O40" s="189" t="str">
        <f t="shared" si="9"/>
        <v>California Baptist</v>
      </c>
      <c r="P40" s="204" t="e" vm="73">
        <f>_xlfn.XLOOKUP(O40,Teams!$C:$C,Teams!$E:$E,,0,1)</f>
        <v>#VALUE!</v>
      </c>
      <c r="Q40" s="223"/>
      <c r="R40" s="6" t="b">
        <f t="shared" si="5"/>
        <v>1</v>
      </c>
      <c r="S40" s="98"/>
    </row>
    <row r="41" spans="1:19" ht="24" customHeight="1" thickBot="1" x14ac:dyDescent="0.3">
      <c r="A41" s="91" t="str">
        <f t="shared" si="10"/>
        <v>Central Connecticut State</v>
      </c>
      <c r="B41" s="91" t="str">
        <f t="shared" si="11"/>
        <v>Charleston Southern</v>
      </c>
      <c r="C41" s="91" t="str">
        <f t="shared" si="7"/>
        <v>Charleston Southern</v>
      </c>
      <c r="D41" s="91" t="e">
        <f t="shared" si="8"/>
        <v>#REF!</v>
      </c>
      <c r="E41" s="134">
        <v>36</v>
      </c>
      <c r="F41" s="135" cm="1">
        <f t="array" ref="F41">_xlfn.XLOOKUP(G41,Teams[[#All],[Team]],Teams[[#All],[Seed]],0,0,1)</f>
        <v>7</v>
      </c>
      <c r="G41" s="136" t="s">
        <v>73</v>
      </c>
      <c r="H41" s="182" t="s">
        <v>9</v>
      </c>
      <c r="I41" s="137" t="s">
        <v>75</v>
      </c>
      <c r="J41" s="138" cm="1">
        <f t="array" ref="J41">_xlfn.XLOOKUP(I41,Teams[[#All],[Team]],Teams[[#All],[Seed]],0,0,1)</f>
        <v>2</v>
      </c>
      <c r="K41" s="139" t="e" vm="77">
        <f>_xlfn.XLOOKUP(G41,Teams!$C:$C,Teams!$E:$E,,0,1)</f>
        <v>#VALUE!</v>
      </c>
      <c r="L41" s="139">
        <v>0.99</v>
      </c>
      <c r="M41" s="139" t="e" vm="79">
        <f>_xlfn.XLOOKUP(I41,Teams!$C:$C,Teams!$E:$E,,0,1)</f>
        <v>#VALUE!</v>
      </c>
      <c r="N41" s="139">
        <v>0.01</v>
      </c>
      <c r="O41" s="195" t="str">
        <f t="shared" si="9"/>
        <v>Central Connecticut State</v>
      </c>
      <c r="P41" s="210" t="e" vm="77">
        <f>_xlfn.XLOOKUP(O41,Teams!$C:$C,Teams!$E:$E,,0,1)</f>
        <v>#VALUE!</v>
      </c>
      <c r="Q41" s="224"/>
      <c r="R41" s="6" t="b">
        <f t="shared" si="5"/>
        <v>1</v>
      </c>
      <c r="S41" s="98"/>
    </row>
    <row r="42" spans="1:19" ht="24" customHeight="1" x14ac:dyDescent="0.25">
      <c r="A42" s="91" t="str">
        <f t="shared" si="10"/>
        <v>Auburn</v>
      </c>
      <c r="B42" s="91" t="str">
        <f t="shared" si="11"/>
        <v>Ball State</v>
      </c>
      <c r="C42" s="91" t="str">
        <f t="shared" si="7"/>
        <v>Ball State</v>
      </c>
      <c r="D42" s="91" t="e">
        <f t="shared" si="8"/>
        <v>#REF!</v>
      </c>
      <c r="E42" s="140">
        <v>37</v>
      </c>
      <c r="F42" s="141" cm="1">
        <f t="array" ref="F42">_xlfn.XLOOKUP(G42,Teams[[#All],[Team]],Teams[[#All],[Seed]],0,0,1)</f>
        <v>1</v>
      </c>
      <c r="G42" s="142" t="s">
        <v>45</v>
      </c>
      <c r="H42" s="183" t="s">
        <v>9</v>
      </c>
      <c r="I42" s="143" t="s">
        <v>47</v>
      </c>
      <c r="J42" s="144" cm="1">
        <f t="array" ref="J42">_xlfn.XLOOKUP(I42,Teams[[#All],[Team]],Teams[[#All],[Seed]],0,0,1)</f>
        <v>8</v>
      </c>
      <c r="K42" s="145" t="e" vm="81">
        <f>_xlfn.XLOOKUP(G42,Teams!$C:$C,Teams!$E:$E,,0,1)</f>
        <v>#VALUE!</v>
      </c>
      <c r="L42" s="145">
        <v>0.62</v>
      </c>
      <c r="M42" s="145" t="e" vm="83">
        <f>_xlfn.XLOOKUP(I42,Teams!$C:$C,Teams!$E:$E,,0,1)</f>
        <v>#VALUE!</v>
      </c>
      <c r="N42" s="145">
        <v>0.38</v>
      </c>
      <c r="O42" s="196" t="str">
        <f t="shared" si="9"/>
        <v>Auburn</v>
      </c>
      <c r="P42" s="211" t="e" vm="81">
        <f>_xlfn.XLOOKUP(O42,Teams!$C:$C,Teams!$E:$E,,0,1)</f>
        <v>#VALUE!</v>
      </c>
      <c r="Q42" s="225"/>
      <c r="R42" s="6" t="b">
        <f t="shared" si="5"/>
        <v>0</v>
      </c>
      <c r="S42" s="98"/>
    </row>
    <row r="43" spans="1:19" ht="24" customHeight="1" x14ac:dyDescent="0.25">
      <c r="A43" s="91" t="str">
        <f t="shared" si="10"/>
        <v>Bellarmine</v>
      </c>
      <c r="B43" s="91" t="str">
        <f t="shared" si="11"/>
        <v>Bethune-Cookman</v>
      </c>
      <c r="C43" s="91" t="str">
        <f t="shared" si="7"/>
        <v>Bellarmine</v>
      </c>
      <c r="D43" s="91" t="e">
        <f t="shared" si="8"/>
        <v>#REF!</v>
      </c>
      <c r="E43" s="116">
        <v>38</v>
      </c>
      <c r="F43" s="117" cm="1">
        <f t="array" ref="F43">_xlfn.XLOOKUP(G43,Teams[[#All],[Team]],Teams[[#All],[Seed]],0,0,1)</f>
        <v>5</v>
      </c>
      <c r="G43" s="118" t="s">
        <v>49</v>
      </c>
      <c r="H43" s="178" t="s">
        <v>9</v>
      </c>
      <c r="I43" s="119" t="s">
        <v>51</v>
      </c>
      <c r="J43" s="120" cm="1">
        <f t="array" ref="J43">_xlfn.XLOOKUP(I43,Teams[[#All],[Team]],Teams[[#All],[Seed]],0,0,1)</f>
        <v>4</v>
      </c>
      <c r="K43" s="83" t="e" vm="85">
        <f>_xlfn.XLOOKUP(G43,Teams!$C:$C,Teams!$E:$E,,0,1)</f>
        <v>#VALUE!</v>
      </c>
      <c r="L43" s="83">
        <v>0.5</v>
      </c>
      <c r="M43" s="83" t="e" vm="87">
        <f>_xlfn.XLOOKUP(I43,Teams!$C:$C,Teams!$E:$E,,0,1)</f>
        <v>#VALUE!</v>
      </c>
      <c r="N43" s="83">
        <v>0.5</v>
      </c>
      <c r="O43" s="192" t="str">
        <f t="shared" si="9"/>
        <v>Bethune-Cookman</v>
      </c>
      <c r="P43" s="207" t="e" vm="87">
        <f>_xlfn.XLOOKUP(O43,Teams!$C:$C,Teams!$E:$E,,0,1)</f>
        <v>#VALUE!</v>
      </c>
      <c r="Q43" s="226"/>
      <c r="R43" s="6" t="b">
        <f t="shared" si="5"/>
        <v>0</v>
      </c>
      <c r="S43" s="98"/>
    </row>
    <row r="44" spans="1:19" ht="24" customHeight="1" x14ac:dyDescent="0.25">
      <c r="A44" s="91" t="str">
        <f t="shared" si="10"/>
        <v>Boise State</v>
      </c>
      <c r="B44" s="91" t="str">
        <f t="shared" si="11"/>
        <v>Florida</v>
      </c>
      <c r="C44" s="91" t="str">
        <f t="shared" si="7"/>
        <v>Florida</v>
      </c>
      <c r="D44" s="91" t="e">
        <f t="shared" si="8"/>
        <v>#REF!</v>
      </c>
      <c r="E44" s="116">
        <v>39</v>
      </c>
      <c r="F44" s="117" cm="1">
        <f t="array" ref="F44">_xlfn.XLOOKUP(G44,Teams[[#All],[Team]],Teams[[#All],[Seed]],0,0,1)</f>
        <v>6</v>
      </c>
      <c r="G44" s="118" t="s">
        <v>53</v>
      </c>
      <c r="H44" s="178" t="s">
        <v>9</v>
      </c>
      <c r="I44" s="119" t="s">
        <v>105</v>
      </c>
      <c r="J44" s="120" cm="1">
        <f t="array" ref="J44">_xlfn.XLOOKUP(I44,Teams[[#All],[Team]],Teams[[#All],[Seed]],0,0,1)</f>
        <v>3</v>
      </c>
      <c r="K44" s="83" t="e" vm="89">
        <f>_xlfn.XLOOKUP(G44,Teams!$C:$C,Teams!$E:$E,,0,1)</f>
        <v>#VALUE!</v>
      </c>
      <c r="L44" s="83">
        <v>0.99</v>
      </c>
      <c r="M44" s="83" t="e" vm="91">
        <f>_xlfn.XLOOKUP(I44,Teams!$C:$C,Teams!$E:$E,,0,1)</f>
        <v>#VALUE!</v>
      </c>
      <c r="N44" s="83">
        <v>0.01</v>
      </c>
      <c r="O44" s="192" t="str">
        <f t="shared" si="9"/>
        <v>Boise State</v>
      </c>
      <c r="P44" s="207" t="e" vm="89">
        <f>_xlfn.XLOOKUP(O44,Teams!$C:$C,Teams!$E:$E,,0,1)</f>
        <v>#VALUE!</v>
      </c>
      <c r="Q44" s="226"/>
      <c r="R44" s="6" t="b">
        <f t="shared" si="5"/>
        <v>1</v>
      </c>
      <c r="S44" s="98"/>
    </row>
    <row r="45" spans="1:19" ht="24" customHeight="1" thickBot="1" x14ac:dyDescent="0.3">
      <c r="A45" s="91" t="str">
        <f t="shared" si="10"/>
        <v>Bradley</v>
      </c>
      <c r="B45" s="91" t="str">
        <f t="shared" si="11"/>
        <v>Brown</v>
      </c>
      <c r="C45" s="91" t="str">
        <f t="shared" si="7"/>
        <v>Brown</v>
      </c>
      <c r="D45" s="91" t="e">
        <f t="shared" si="8"/>
        <v>#REF!</v>
      </c>
      <c r="E45" s="146">
        <v>40</v>
      </c>
      <c r="F45" s="147" cm="1">
        <f t="array" ref="F45">_xlfn.XLOOKUP(G45,Teams[[#All],[Team]],Teams[[#All],[Seed]],0,0,1)</f>
        <v>7</v>
      </c>
      <c r="G45" s="148" t="s">
        <v>57</v>
      </c>
      <c r="H45" s="184" t="s">
        <v>9</v>
      </c>
      <c r="I45" s="149" t="s">
        <v>59</v>
      </c>
      <c r="J45" s="150" cm="1">
        <f t="array" ref="J45">_xlfn.XLOOKUP(I45,Teams[[#All],[Team]],Teams[[#All],[Seed]],0,0,1)</f>
        <v>2</v>
      </c>
      <c r="K45" s="151" t="e" vm="93">
        <f>_xlfn.XLOOKUP(G45,Teams!$C:$C,Teams!$E:$E,,0,1)</f>
        <v>#VALUE!</v>
      </c>
      <c r="L45" s="151">
        <v>0.7</v>
      </c>
      <c r="M45" s="151" t="e" vm="95">
        <f>_xlfn.XLOOKUP(I45,Teams!$C:$C,Teams!$E:$E,,0,1)</f>
        <v>#VALUE!</v>
      </c>
      <c r="N45" s="151">
        <v>0.3</v>
      </c>
      <c r="O45" s="197" t="str">
        <f t="shared" si="9"/>
        <v>Bradley</v>
      </c>
      <c r="P45" s="212" t="e" vm="93">
        <f>_xlfn.XLOOKUP(O45,Teams!$C:$C,Teams!$E:$E,,0,1)</f>
        <v>#VALUE!</v>
      </c>
      <c r="Q45" s="227"/>
      <c r="R45" s="6" t="b">
        <f t="shared" si="5"/>
        <v>1</v>
      </c>
      <c r="S45" s="98"/>
    </row>
    <row r="46" spans="1:19" ht="24" customHeight="1" x14ac:dyDescent="0.25">
      <c r="A46" s="152" t="str">
        <f t="shared" si="10"/>
        <v>Abilene Christian</v>
      </c>
      <c r="B46" s="152" t="str">
        <f t="shared" si="11"/>
        <v>Akron</v>
      </c>
      <c r="C46" s="152" t="str">
        <f t="shared" si="7"/>
        <v>Akron</v>
      </c>
      <c r="D46" s="152" t="e">
        <f t="shared" si="8"/>
        <v>#REF!</v>
      </c>
      <c r="E46" s="129">
        <v>41</v>
      </c>
      <c r="F46" s="130" cm="1">
        <f t="array" ref="F46">_xlfn.XLOOKUP(G46,Teams[[#All],[Team]],Teams[[#All],[Seed]],0,0,1)</f>
        <v>1</v>
      </c>
      <c r="G46" s="131" t="s">
        <v>29</v>
      </c>
      <c r="H46" s="181" t="s">
        <v>9</v>
      </c>
      <c r="I46" s="132" t="s">
        <v>31</v>
      </c>
      <c r="J46" s="133" cm="1">
        <f t="array" ref="J46">_xlfn.XLOOKUP(I46,Teams[[#All],[Team]],Teams[[#All],[Seed]],0,0,1)</f>
        <v>8</v>
      </c>
      <c r="K46" s="84" t="e" vm="97">
        <f>_xlfn.XLOOKUP(G46,Teams!$C:$C,Teams!$E:$E,,0,1)</f>
        <v>#VALUE!</v>
      </c>
      <c r="L46" s="84">
        <v>0.99</v>
      </c>
      <c r="M46" s="84" t="e" vm="99">
        <f>_xlfn.XLOOKUP(I46,Teams!$C:$C,Teams!$E:$E,,0,1)</f>
        <v>#VALUE!</v>
      </c>
      <c r="N46" s="84">
        <v>0.01</v>
      </c>
      <c r="O46" s="194" t="str">
        <f t="shared" si="9"/>
        <v>Abilene Christian</v>
      </c>
      <c r="P46" s="209" t="e" vm="97">
        <f>_xlfn.XLOOKUP(O46,Teams!$C:$C,Teams!$E:$E,,0,1)</f>
        <v>#VALUE!</v>
      </c>
      <c r="Q46" s="228"/>
      <c r="R46" s="6" t="b">
        <f t="shared" si="5"/>
        <v>0</v>
      </c>
      <c r="S46" s="98"/>
    </row>
    <row r="47" spans="1:19" ht="24" customHeight="1" x14ac:dyDescent="0.25">
      <c r="A47" s="152" t="str">
        <f t="shared" si="10"/>
        <v>Alabama A&amp;M</v>
      </c>
      <c r="B47" s="152" t="str">
        <f t="shared" si="11"/>
        <v>Albany (NY)</v>
      </c>
      <c r="C47" s="152" t="str">
        <f t="shared" si="7"/>
        <v>Albany (NY)</v>
      </c>
      <c r="D47" s="152" t="e">
        <f t="shared" si="8"/>
        <v>#REF!</v>
      </c>
      <c r="E47" s="99">
        <v>42</v>
      </c>
      <c r="F47" s="100" cm="1">
        <f t="array" ref="F47">_xlfn.XLOOKUP(G47,Teams[[#All],[Team]],Teams[[#All],[Seed]],0,0,1)</f>
        <v>5</v>
      </c>
      <c r="G47" s="101" t="s">
        <v>33</v>
      </c>
      <c r="H47" s="176" t="s">
        <v>9</v>
      </c>
      <c r="I47" s="102" t="s">
        <v>35</v>
      </c>
      <c r="J47" s="103" cm="1">
        <f t="array" ref="J47">_xlfn.XLOOKUP(I47,Teams[[#All],[Team]],Teams[[#All],[Seed]],0,0,1)</f>
        <v>4</v>
      </c>
      <c r="K47" s="82" t="e" vm="101">
        <f>_xlfn.XLOOKUP(G47,Teams!$C:$C,Teams!$E:$E,,0,1)</f>
        <v>#VALUE!</v>
      </c>
      <c r="L47" s="82">
        <v>0.85</v>
      </c>
      <c r="M47" s="82" t="e" vm="103">
        <f>_xlfn.XLOOKUP(I47,Teams!$C:$C,Teams!$E:$E,,0,1)</f>
        <v>#VALUE!</v>
      </c>
      <c r="N47" s="82">
        <v>0.15</v>
      </c>
      <c r="O47" s="189" t="str">
        <f t="shared" si="9"/>
        <v>Alabama A&amp;M</v>
      </c>
      <c r="P47" s="204" t="e" vm="101">
        <f>_xlfn.XLOOKUP(O47,Teams!$C:$C,Teams!$E:$E,,0,1)</f>
        <v>#VALUE!</v>
      </c>
      <c r="Q47" s="223"/>
      <c r="R47" s="6" t="b">
        <f t="shared" si="5"/>
        <v>1</v>
      </c>
      <c r="S47" s="98"/>
    </row>
    <row r="48" spans="1:19" ht="24" customHeight="1" x14ac:dyDescent="0.25">
      <c r="A48" s="152" t="str">
        <f t="shared" si="10"/>
        <v>American</v>
      </c>
      <c r="B48" s="152" t="str">
        <f t="shared" si="11"/>
        <v>Arizona</v>
      </c>
      <c r="C48" s="152" t="str">
        <f t="shared" si="7"/>
        <v>Arizona</v>
      </c>
      <c r="D48" s="152" t="e">
        <f t="shared" si="8"/>
        <v>#REF!</v>
      </c>
      <c r="E48" s="99">
        <v>43</v>
      </c>
      <c r="F48" s="100" cm="1">
        <f t="array" ref="F48">_xlfn.XLOOKUP(G48,Teams[[#All],[Team]],Teams[[#All],[Seed]],0,0,1)</f>
        <v>6</v>
      </c>
      <c r="G48" s="101" t="s">
        <v>37</v>
      </c>
      <c r="H48" s="176" t="s">
        <v>9</v>
      </c>
      <c r="I48" s="102" t="s">
        <v>39</v>
      </c>
      <c r="J48" s="103" cm="1">
        <f t="array" ref="J48">_xlfn.XLOOKUP(I48,Teams[[#All],[Team]],Teams[[#All],[Seed]],0,0,1)</f>
        <v>3</v>
      </c>
      <c r="K48" s="82" t="e" vm="105">
        <f>_xlfn.XLOOKUP(G48,Teams!$C:$C,Teams!$E:$E,,0,1)</f>
        <v>#VALUE!</v>
      </c>
      <c r="L48" s="82">
        <v>0.99</v>
      </c>
      <c r="M48" s="82" t="e" vm="107">
        <f>_xlfn.XLOOKUP(I48,Teams!$C:$C,Teams!$E:$E,,0,1)</f>
        <v>#VALUE!</v>
      </c>
      <c r="N48" s="82">
        <v>0.01</v>
      </c>
      <c r="O48" s="189" t="str">
        <f t="shared" si="9"/>
        <v>American</v>
      </c>
      <c r="P48" s="204" t="e" vm="105">
        <f>_xlfn.XLOOKUP(O48,Teams!$C:$C,Teams!$E:$E,,0,1)</f>
        <v>#VALUE!</v>
      </c>
      <c r="Q48" s="223"/>
      <c r="R48" s="6" t="b">
        <f t="shared" si="5"/>
        <v>1</v>
      </c>
      <c r="S48" s="98"/>
    </row>
    <row r="49" spans="1:19" ht="24" customHeight="1" thickBot="1" x14ac:dyDescent="0.3">
      <c r="A49" s="152" t="str">
        <f t="shared" si="10"/>
        <v>Arkansas</v>
      </c>
      <c r="B49" s="152" t="str">
        <f t="shared" si="11"/>
        <v>Arkansas-Pine Bluff</v>
      </c>
      <c r="C49" s="152" t="str">
        <f t="shared" si="7"/>
        <v>Arkansas-Pine Bluff</v>
      </c>
      <c r="D49" s="152" t="e">
        <f t="shared" si="8"/>
        <v>#REF!</v>
      </c>
      <c r="E49" s="134">
        <v>44</v>
      </c>
      <c r="F49" s="135" cm="1">
        <f t="array" ref="F49">_xlfn.XLOOKUP(G49,Teams[[#All],[Team]],Teams[[#All],[Seed]],0,0,1)</f>
        <v>7</v>
      </c>
      <c r="G49" s="136" t="s">
        <v>41</v>
      </c>
      <c r="H49" s="182" t="s">
        <v>9</v>
      </c>
      <c r="I49" s="137" t="s">
        <v>43</v>
      </c>
      <c r="J49" s="138" cm="1">
        <f t="array" ref="J49">_xlfn.XLOOKUP(I49,Teams[[#All],[Team]],Teams[[#All],[Seed]],0,0,1)</f>
        <v>2</v>
      </c>
      <c r="K49" s="139" t="e" vm="109">
        <f>_xlfn.XLOOKUP(G49,Teams!$C:$C,Teams!$E:$E,,0,1)</f>
        <v>#VALUE!</v>
      </c>
      <c r="L49" s="139">
        <v>0.88</v>
      </c>
      <c r="M49" s="139" t="e" vm="111">
        <f>_xlfn.XLOOKUP(I49,Teams!$C:$C,Teams!$E:$E,,0,1)</f>
        <v>#VALUE!</v>
      </c>
      <c r="N49" s="139">
        <v>0.12</v>
      </c>
      <c r="O49" s="195" t="str">
        <f t="shared" si="9"/>
        <v>Arkansas</v>
      </c>
      <c r="P49" s="210" t="e" vm="109">
        <f>_xlfn.XLOOKUP(O49,Teams!$C:$C,Teams!$E:$E,,0,1)</f>
        <v>#VALUE!</v>
      </c>
      <c r="Q49" s="224"/>
      <c r="R49" s="6" t="b">
        <f t="shared" si="5"/>
        <v>1</v>
      </c>
      <c r="S49" s="98"/>
    </row>
    <row r="50" spans="1:19" ht="24" customHeight="1" x14ac:dyDescent="0.25">
      <c r="A50" s="91" t="str">
        <f t="shared" si="10"/>
        <v>Chattanooga</v>
      </c>
      <c r="B50" s="91" t="str">
        <f t="shared" si="11"/>
        <v>Cincinnati</v>
      </c>
      <c r="C50" s="91" t="str">
        <f t="shared" si="7"/>
        <v>Cincinnati</v>
      </c>
      <c r="D50" s="91" t="e">
        <f t="shared" si="8"/>
        <v>#REF!</v>
      </c>
      <c r="E50" s="140">
        <v>45</v>
      </c>
      <c r="F50" s="141" cm="1">
        <f t="array" ref="F50">_xlfn.XLOOKUP(G50,Teams[[#All],[Team]],Teams[[#All],[Seed]],0,0,1)</f>
        <v>1</v>
      </c>
      <c r="G50" s="142" t="s">
        <v>77</v>
      </c>
      <c r="H50" s="183" t="s">
        <v>9</v>
      </c>
      <c r="I50" s="143" t="s">
        <v>79</v>
      </c>
      <c r="J50" s="144" cm="1">
        <f t="array" ref="J50">_xlfn.XLOOKUP(I50,Teams[[#All],[Team]],Teams[[#All],[Seed]],0,0,1)</f>
        <v>8</v>
      </c>
      <c r="K50" s="145" t="e" vm="113">
        <f>_xlfn.XLOOKUP(G50,Teams!$C:$C,Teams!$E:$E,,0,1)</f>
        <v>#VALUE!</v>
      </c>
      <c r="L50" s="145">
        <v>0.76</v>
      </c>
      <c r="M50" s="145" t="e" vm="115">
        <f>_xlfn.XLOOKUP(I50,Teams!$C:$C,Teams!$E:$E,,0,1)</f>
        <v>#VALUE!</v>
      </c>
      <c r="N50" s="145">
        <v>0.24</v>
      </c>
      <c r="O50" s="196" t="str">
        <f t="shared" si="9"/>
        <v>Chattanooga</v>
      </c>
      <c r="P50" s="211" t="e" vm="113">
        <f>_xlfn.XLOOKUP(O50,Teams!$C:$C,Teams!$E:$E,,0,1)</f>
        <v>#VALUE!</v>
      </c>
      <c r="Q50" s="225"/>
      <c r="R50" s="6" t="b">
        <f t="shared" si="5"/>
        <v>0</v>
      </c>
      <c r="S50" s="98"/>
    </row>
    <row r="51" spans="1:19" ht="24" customHeight="1" x14ac:dyDescent="0.25">
      <c r="A51" s="91" t="str">
        <f t="shared" si="10"/>
        <v>Cleveland State</v>
      </c>
      <c r="B51" s="91" t="str">
        <f t="shared" si="11"/>
        <v>Colgate</v>
      </c>
      <c r="C51" s="91" t="str">
        <f t="shared" si="7"/>
        <v>Colgate</v>
      </c>
      <c r="D51" s="91" t="e">
        <f t="shared" si="8"/>
        <v>#REF!</v>
      </c>
      <c r="E51" s="116">
        <v>46</v>
      </c>
      <c r="F51" s="117" cm="1">
        <f t="array" ref="F51">_xlfn.XLOOKUP(G51,Teams[[#All],[Team]],Teams[[#All],[Seed]],0,0,1)</f>
        <v>5</v>
      </c>
      <c r="G51" s="118" t="s">
        <v>81</v>
      </c>
      <c r="H51" s="178" t="s">
        <v>9</v>
      </c>
      <c r="I51" s="119" t="s">
        <v>83</v>
      </c>
      <c r="J51" s="120" cm="1">
        <f t="array" ref="J51">_xlfn.XLOOKUP(I51,Teams[[#All],[Team]],Teams[[#All],[Seed]],0,0,1)</f>
        <v>4</v>
      </c>
      <c r="K51" s="83" t="e" vm="117">
        <f>_xlfn.XLOOKUP(G51,Teams!$C:$C,Teams!$E:$E,,0,1)</f>
        <v>#VALUE!</v>
      </c>
      <c r="L51" s="83">
        <v>0.94</v>
      </c>
      <c r="M51" s="83" t="e" vm="119">
        <f>_xlfn.XLOOKUP(I51,Teams!$C:$C,Teams!$E:$E,,0,1)</f>
        <v>#VALUE!</v>
      </c>
      <c r="N51" s="83">
        <v>0.06</v>
      </c>
      <c r="O51" s="192" t="str">
        <f t="shared" si="9"/>
        <v>Cleveland State</v>
      </c>
      <c r="P51" s="207" t="e" vm="117">
        <f>_xlfn.XLOOKUP(O51,Teams!$C:$C,Teams!$E:$E,,0,1)</f>
        <v>#VALUE!</v>
      </c>
      <c r="Q51" s="226"/>
      <c r="R51" s="6" t="b">
        <f t="shared" si="5"/>
        <v>1</v>
      </c>
      <c r="S51" s="98"/>
    </row>
    <row r="52" spans="1:19" ht="24" customHeight="1" x14ac:dyDescent="0.25">
      <c r="A52" s="91" t="str">
        <f t="shared" si="10"/>
        <v>Colorado</v>
      </c>
      <c r="B52" s="91" t="str">
        <f t="shared" si="11"/>
        <v>Columbia</v>
      </c>
      <c r="C52" s="91" t="str">
        <f t="shared" si="7"/>
        <v>Columbia</v>
      </c>
      <c r="D52" s="91" t="e">
        <f t="shared" si="8"/>
        <v>#REF!</v>
      </c>
      <c r="E52" s="116">
        <v>47</v>
      </c>
      <c r="F52" s="117" cm="1">
        <f t="array" ref="F52">_xlfn.XLOOKUP(G52,Teams[[#All],[Team]],Teams[[#All],[Seed]],0,0,1)</f>
        <v>6</v>
      </c>
      <c r="G52" s="118" t="s">
        <v>85</v>
      </c>
      <c r="H52" s="178" t="s">
        <v>9</v>
      </c>
      <c r="I52" s="119" t="s">
        <v>87</v>
      </c>
      <c r="J52" s="120" cm="1">
        <f t="array" ref="J52">_xlfn.XLOOKUP(I52,Teams[[#All],[Team]],Teams[[#All],[Seed]],0,0,1)</f>
        <v>3</v>
      </c>
      <c r="K52" s="83" t="e" vm="121">
        <f>_xlfn.XLOOKUP(G52,Teams!$C:$C,Teams!$E:$E,,0,1)</f>
        <v>#VALUE!</v>
      </c>
      <c r="L52" s="83">
        <v>0.53</v>
      </c>
      <c r="M52" s="83" t="e" vm="123">
        <f>_xlfn.XLOOKUP(I52,Teams!$C:$C,Teams!$E:$E,,0,1)</f>
        <v>#VALUE!</v>
      </c>
      <c r="N52" s="83">
        <v>0.47</v>
      </c>
      <c r="O52" s="192" t="str">
        <f t="shared" si="9"/>
        <v>Colorado</v>
      </c>
      <c r="P52" s="207" t="e" vm="121">
        <f>_xlfn.XLOOKUP(O52,Teams!$C:$C,Teams!$E:$E,,0,1)</f>
        <v>#VALUE!</v>
      </c>
      <c r="Q52" s="226"/>
      <c r="R52" s="6" t="b">
        <f t="shared" si="5"/>
        <v>1</v>
      </c>
      <c r="S52" s="98"/>
    </row>
    <row r="53" spans="1:19" ht="24" customHeight="1" thickBot="1" x14ac:dyDescent="0.3">
      <c r="A53" s="91" t="str">
        <f t="shared" si="10"/>
        <v>Coppin State</v>
      </c>
      <c r="B53" s="91" t="str">
        <f t="shared" si="11"/>
        <v>Creighton</v>
      </c>
      <c r="C53" s="91" t="str">
        <f t="shared" si="7"/>
        <v>Creighton</v>
      </c>
      <c r="D53" s="91" t="e">
        <f t="shared" si="8"/>
        <v>#REF!</v>
      </c>
      <c r="E53" s="146">
        <v>48</v>
      </c>
      <c r="F53" s="147" cm="1">
        <f t="array" ref="F53">_xlfn.XLOOKUP(G53,Teams[[#All],[Team]],Teams[[#All],[Seed]],0,0,1)</f>
        <v>7</v>
      </c>
      <c r="G53" s="148" t="s">
        <v>89</v>
      </c>
      <c r="H53" s="184" t="s">
        <v>9</v>
      </c>
      <c r="I53" s="149" t="s">
        <v>91</v>
      </c>
      <c r="J53" s="150" cm="1">
        <f t="array" ref="J53">_xlfn.XLOOKUP(I53,Teams[[#All],[Team]],Teams[[#All],[Seed]],0,0,1)</f>
        <v>2</v>
      </c>
      <c r="K53" s="151" t="e" vm="125">
        <f>_xlfn.XLOOKUP(G53,Teams!$C:$C,Teams!$E:$E,,0,1)</f>
        <v>#VALUE!</v>
      </c>
      <c r="L53" s="151">
        <v>0.95</v>
      </c>
      <c r="M53" s="151" t="e" vm="127">
        <f>_xlfn.XLOOKUP(I53,Teams!$C:$C,Teams!$E:$E,,0,1)</f>
        <v>#VALUE!</v>
      </c>
      <c r="N53" s="151">
        <v>0.05</v>
      </c>
      <c r="O53" s="197" t="str">
        <f t="shared" si="9"/>
        <v>Coppin State</v>
      </c>
      <c r="P53" s="212" t="e" vm="125">
        <f>_xlfn.XLOOKUP(O53,Teams!$C:$C,Teams!$E:$E,,0,1)</f>
        <v>#VALUE!</v>
      </c>
      <c r="Q53" s="227"/>
      <c r="R53" s="6" t="b">
        <f t="shared" si="5"/>
        <v>1</v>
      </c>
      <c r="S53" s="98"/>
    </row>
    <row r="54" spans="1:19" ht="24" customHeight="1" thickBot="1" x14ac:dyDescent="0.3">
      <c r="E54" s="67" t="s">
        <v>10</v>
      </c>
      <c r="F54" s="238" t="str">
        <f>Bracket!I2</f>
        <v>Sweet 16</v>
      </c>
      <c r="G54" s="238"/>
      <c r="H54" s="238"/>
      <c r="I54" s="238"/>
      <c r="J54" s="238"/>
      <c r="K54" s="68"/>
      <c r="L54" s="68"/>
      <c r="M54" s="68"/>
      <c r="N54" s="68"/>
      <c r="O54" s="68" t="s">
        <v>8</v>
      </c>
      <c r="P54" s="68"/>
      <c r="Q54" s="229"/>
      <c r="S54" s="98"/>
    </row>
    <row r="55" spans="1:19" ht="24" customHeight="1" x14ac:dyDescent="0.25">
      <c r="A55" s="91" t="str">
        <f>G55</f>
        <v>Bucknell</v>
      </c>
      <c r="B55" s="91" t="str">
        <f>I55</f>
        <v>Cal State Bakersfield</v>
      </c>
      <c r="C55" s="91" t="str">
        <f t="shared" ref="C55:C62" si="12">IF(O55="","",IF(A55=O55,B55,A55))</f>
        <v>Cal State Bakersfield</v>
      </c>
      <c r="D55" s="91" t="e">
        <f t="shared" ref="D55:D62" si="13">IF(SeedType=1,0,IF(SeedType=2,VLOOKUP(O55,SeedInfo,2,FALSE)*3,MAX(VLOOKUP(O55,SeedInfo,2,FALSE)-VLOOKUP(C55,SeedInfo,2,FALSE),0)))</f>
        <v>#REF!</v>
      </c>
      <c r="E55" s="92">
        <v>49</v>
      </c>
      <c r="F55" s="93" cm="1">
        <f t="array" ref="F55">_xlfn.XLOOKUP(G55,Teams[[#All],[Team]],Teams[[#All],[Seed]],0,0,1)</f>
        <v>1</v>
      </c>
      <c r="G55" s="94" t="s">
        <v>61</v>
      </c>
      <c r="H55" s="175" t="s">
        <v>9</v>
      </c>
      <c r="I55" s="95" t="s">
        <v>65</v>
      </c>
      <c r="J55" s="96" cm="1">
        <f t="array" ref="J55">_xlfn.XLOOKUP(I55,Teams[[#All],[Team]],Teams[[#All],[Seed]],0,0,1)</f>
        <v>5</v>
      </c>
      <c r="K55" s="97" t="e" vm="65">
        <f>_xlfn.XLOOKUP(G55,Teams!$C:$C,Teams!$E:$E,,0,1)</f>
        <v>#VALUE!</v>
      </c>
      <c r="L55" s="97">
        <v>0.73</v>
      </c>
      <c r="M55" s="97" t="e" vm="69">
        <f>_xlfn.XLOOKUP(I55,Teams!$C:$C,Teams!$E:$E,,0,1)</f>
        <v>#VALUE!</v>
      </c>
      <c r="N55" s="97">
        <v>0.27</v>
      </c>
      <c r="O55" s="188" t="str">
        <f t="shared" ref="O55:O62" si="14">IF(L55&gt;N55,G55,I55)</f>
        <v>Bucknell</v>
      </c>
      <c r="P55" s="204" t="e" vm="65">
        <f>_xlfn.XLOOKUP(O55,Teams!$C:$C,Teams!$E:$E,,0,1)</f>
        <v>#VALUE!</v>
      </c>
      <c r="Q55" s="222"/>
      <c r="R55" s="6" t="b">
        <f t="shared" si="5"/>
        <v>0</v>
      </c>
      <c r="S55" s="98"/>
    </row>
    <row r="56" spans="1:19" ht="24" customHeight="1" thickBot="1" x14ac:dyDescent="0.3">
      <c r="A56" s="91" t="str">
        <f t="shared" ref="A56:A62" si="15">G56</f>
        <v>California Baptist</v>
      </c>
      <c r="B56" s="91" t="str">
        <f t="shared" ref="B56:B62" si="16">I56</f>
        <v>Central Connecticut State</v>
      </c>
      <c r="C56" s="91" t="str">
        <f t="shared" si="12"/>
        <v>Central Connecticut State</v>
      </c>
      <c r="D56" s="91" t="e">
        <f t="shared" si="13"/>
        <v>#REF!</v>
      </c>
      <c r="E56" s="134">
        <v>50</v>
      </c>
      <c r="F56" s="135" cm="1">
        <f t="array" ref="F56">_xlfn.XLOOKUP(G56,Teams[[#All],[Team]],Teams[[#All],[Seed]],0,0,1)</f>
        <v>6</v>
      </c>
      <c r="G56" s="136" t="s">
        <v>69</v>
      </c>
      <c r="H56" s="182" t="s">
        <v>9</v>
      </c>
      <c r="I56" s="137" t="s">
        <v>73</v>
      </c>
      <c r="J56" s="138" cm="1">
        <f t="array" ref="J56">_xlfn.XLOOKUP(I56,Teams[[#All],[Team]],Teams[[#All],[Seed]],0,0,1)</f>
        <v>7</v>
      </c>
      <c r="K56" s="139" t="e" vm="73">
        <f>_xlfn.XLOOKUP(G56,Teams!$C:$C,Teams!$E:$E,,0,1)</f>
        <v>#VALUE!</v>
      </c>
      <c r="L56" s="139">
        <v>0.75</v>
      </c>
      <c r="M56" s="139" t="e" vm="77">
        <f>_xlfn.XLOOKUP(I56,Teams!$C:$C,Teams!$E:$E,,0,1)</f>
        <v>#VALUE!</v>
      </c>
      <c r="N56" s="139">
        <v>0.25</v>
      </c>
      <c r="O56" s="195" t="str">
        <f t="shared" si="14"/>
        <v>California Baptist</v>
      </c>
      <c r="P56" s="210" t="e" vm="73">
        <f>_xlfn.XLOOKUP(O56,Teams!$C:$C,Teams!$E:$E,,0,1)</f>
        <v>#VALUE!</v>
      </c>
      <c r="Q56" s="224"/>
      <c r="R56" s="6" t="b">
        <f t="shared" si="5"/>
        <v>0</v>
      </c>
      <c r="S56" s="98"/>
    </row>
    <row r="57" spans="1:19" ht="24" customHeight="1" x14ac:dyDescent="0.25">
      <c r="A57" s="91" t="str">
        <f t="shared" si="15"/>
        <v>Auburn</v>
      </c>
      <c r="B57" s="91" t="str">
        <f t="shared" si="16"/>
        <v>Bellarmine</v>
      </c>
      <c r="C57" s="91" t="str">
        <f t="shared" si="12"/>
        <v>Bellarmine</v>
      </c>
      <c r="D57" s="91" t="e">
        <f t="shared" si="13"/>
        <v>#REF!</v>
      </c>
      <c r="E57" s="140">
        <v>51</v>
      </c>
      <c r="F57" s="234" cm="1">
        <f t="array" ref="F57">_xlfn.XLOOKUP(G57,Teams[[#All],[Team]],Teams[[#All],[Seed]],0,0,1)</f>
        <v>1</v>
      </c>
      <c r="G57" s="142" t="s">
        <v>45</v>
      </c>
      <c r="H57" s="183" t="s">
        <v>9</v>
      </c>
      <c r="I57" s="143" t="s">
        <v>49</v>
      </c>
      <c r="J57" s="144" cm="1">
        <f t="array" ref="J57">_xlfn.XLOOKUP(I57,Teams[[#All],[Team]],Teams[[#All],[Seed]],0,0,1)</f>
        <v>5</v>
      </c>
      <c r="K57" s="145" t="e" vm="81">
        <f>_xlfn.XLOOKUP(G57,Teams!$C:$C,Teams!$E:$E,,0,1)</f>
        <v>#VALUE!</v>
      </c>
      <c r="L57" s="145">
        <v>0.61</v>
      </c>
      <c r="M57" s="145" t="e" vm="85">
        <f>_xlfn.XLOOKUP(I57,Teams!$C:$C,Teams!$E:$E,,0,1)</f>
        <v>#VALUE!</v>
      </c>
      <c r="N57" s="145">
        <v>0.39</v>
      </c>
      <c r="O57" s="196" t="str">
        <f t="shared" si="14"/>
        <v>Auburn</v>
      </c>
      <c r="P57" s="211" t="e" vm="81">
        <f>_xlfn.XLOOKUP(O57,Teams!$C:$C,Teams!$E:$E,,0,1)</f>
        <v>#VALUE!</v>
      </c>
      <c r="Q57" s="225"/>
      <c r="R57" s="6" t="b">
        <f t="shared" si="5"/>
        <v>0</v>
      </c>
      <c r="S57" s="98"/>
    </row>
    <row r="58" spans="1:19" ht="24" customHeight="1" thickBot="1" x14ac:dyDescent="0.3">
      <c r="A58" s="91" t="str">
        <f t="shared" si="15"/>
        <v>Boise State</v>
      </c>
      <c r="B58" s="91" t="str">
        <f t="shared" si="16"/>
        <v>Bradley</v>
      </c>
      <c r="C58" s="91" t="str">
        <f t="shared" si="12"/>
        <v>Bradley</v>
      </c>
      <c r="D58" s="91" t="e">
        <f t="shared" si="13"/>
        <v>#REF!</v>
      </c>
      <c r="E58" s="146">
        <v>52</v>
      </c>
      <c r="F58" s="235" cm="1">
        <f t="array" ref="F58">_xlfn.XLOOKUP(G58,Teams[[#All],[Team]],Teams[[#All],[Seed]],0,0,1)</f>
        <v>6</v>
      </c>
      <c r="G58" s="148" t="s">
        <v>53</v>
      </c>
      <c r="H58" s="184" t="s">
        <v>9</v>
      </c>
      <c r="I58" s="149" t="s">
        <v>57</v>
      </c>
      <c r="J58" s="150" cm="1">
        <f t="array" ref="J58">_xlfn.XLOOKUP(I58,Teams[[#All],[Team]],Teams[[#All],[Seed]],0,0,1)</f>
        <v>7</v>
      </c>
      <c r="K58" s="151" t="e" vm="89">
        <f>_xlfn.XLOOKUP(G58,Teams!$C:$C,Teams!$E:$E,,0,1)</f>
        <v>#VALUE!</v>
      </c>
      <c r="L58" s="151">
        <v>0.82</v>
      </c>
      <c r="M58" s="151" t="e" vm="93">
        <f>_xlfn.XLOOKUP(I58,Teams!$C:$C,Teams!$E:$E,,0,1)</f>
        <v>#VALUE!</v>
      </c>
      <c r="N58" s="151">
        <v>0.18</v>
      </c>
      <c r="O58" s="197" t="str">
        <f t="shared" si="14"/>
        <v>Boise State</v>
      </c>
      <c r="P58" s="212" t="e" vm="89">
        <f>_xlfn.XLOOKUP(O58,Teams!$C:$C,Teams!$E:$E,,0,1)</f>
        <v>#VALUE!</v>
      </c>
      <c r="Q58" s="227"/>
      <c r="R58" s="6" t="b">
        <f t="shared" si="5"/>
        <v>0</v>
      </c>
      <c r="S58" s="98"/>
    </row>
    <row r="59" spans="1:19" ht="24" customHeight="1" x14ac:dyDescent="0.25">
      <c r="A59" s="152" t="str">
        <f t="shared" si="15"/>
        <v>Abilene Christian</v>
      </c>
      <c r="B59" s="152" t="str">
        <f t="shared" si="16"/>
        <v>Alabama A&amp;M</v>
      </c>
      <c r="C59" s="152" t="str">
        <f t="shared" si="12"/>
        <v>Alabama A&amp;M</v>
      </c>
      <c r="D59" s="152" t="e">
        <f t="shared" si="13"/>
        <v>#REF!</v>
      </c>
      <c r="E59" s="129">
        <v>53</v>
      </c>
      <c r="F59" s="130" cm="1">
        <f t="array" ref="F59">_xlfn.XLOOKUP(G59,Teams[[#All],[Team]],Teams[[#All],[Seed]],0,0,1)</f>
        <v>1</v>
      </c>
      <c r="G59" s="131" t="s">
        <v>29</v>
      </c>
      <c r="H59" s="181" t="s">
        <v>9</v>
      </c>
      <c r="I59" s="132" t="s">
        <v>33</v>
      </c>
      <c r="J59" s="133" cm="1">
        <f t="array" ref="J59">_xlfn.XLOOKUP(I59,Teams[[#All],[Team]],Teams[[#All],[Seed]],0,0,1)</f>
        <v>5</v>
      </c>
      <c r="K59" s="84" t="e" vm="97">
        <f>_xlfn.XLOOKUP(G59,Teams!$C:$C,Teams!$E:$E,,0,1)</f>
        <v>#VALUE!</v>
      </c>
      <c r="L59" s="84">
        <v>0.57999999999999996</v>
      </c>
      <c r="M59" s="84" t="e" vm="101">
        <f>_xlfn.XLOOKUP(I59,Teams!$C:$C,Teams!$E:$E,,0,1)</f>
        <v>#VALUE!</v>
      </c>
      <c r="N59" s="84">
        <v>0.42</v>
      </c>
      <c r="O59" s="194" t="str">
        <f t="shared" si="14"/>
        <v>Abilene Christian</v>
      </c>
      <c r="P59" s="209" t="e" vm="97">
        <f>_xlfn.XLOOKUP(O59,Teams!$C:$C,Teams!$E:$E,,0,1)</f>
        <v>#VALUE!</v>
      </c>
      <c r="Q59" s="228"/>
      <c r="R59" s="6" t="b">
        <f t="shared" si="5"/>
        <v>0</v>
      </c>
      <c r="S59" s="98"/>
    </row>
    <row r="60" spans="1:19" ht="24" customHeight="1" thickBot="1" x14ac:dyDescent="0.3">
      <c r="A60" s="152" t="str">
        <f t="shared" si="15"/>
        <v>American</v>
      </c>
      <c r="B60" s="152" t="str">
        <f t="shared" si="16"/>
        <v>Arkansas</v>
      </c>
      <c r="C60" s="152" t="str">
        <f t="shared" si="12"/>
        <v>Arkansas</v>
      </c>
      <c r="D60" s="152" t="e">
        <f t="shared" si="13"/>
        <v>#REF!</v>
      </c>
      <c r="E60" s="134">
        <v>54</v>
      </c>
      <c r="F60" s="135" cm="1">
        <f t="array" ref="F60">_xlfn.XLOOKUP(G60,Teams[[#All],[Team]],Teams[[#All],[Seed]],0,0,1)</f>
        <v>6</v>
      </c>
      <c r="G60" s="136" t="s">
        <v>37</v>
      </c>
      <c r="H60" s="182" t="s">
        <v>9</v>
      </c>
      <c r="I60" s="137" t="s">
        <v>41</v>
      </c>
      <c r="J60" s="138" cm="1">
        <f t="array" ref="J60">_xlfn.XLOOKUP(I60,Teams[[#All],[Team]],Teams[[#All],[Seed]],0,0,1)</f>
        <v>7</v>
      </c>
      <c r="K60" s="139" t="e" vm="105">
        <f>_xlfn.XLOOKUP(G60,Teams!$C:$C,Teams!$E:$E,,0,1)</f>
        <v>#VALUE!</v>
      </c>
      <c r="L60" s="139">
        <v>0.91</v>
      </c>
      <c r="M60" s="139" t="e" vm="109">
        <f>_xlfn.XLOOKUP(I60,Teams!$C:$C,Teams!$E:$E,,0,1)</f>
        <v>#VALUE!</v>
      </c>
      <c r="N60" s="139">
        <v>0.09</v>
      </c>
      <c r="O60" s="195" t="str">
        <f t="shared" si="14"/>
        <v>American</v>
      </c>
      <c r="P60" s="210" t="e" vm="105">
        <f>_xlfn.XLOOKUP(O60,Teams!$C:$C,Teams!$E:$E,,0,1)</f>
        <v>#VALUE!</v>
      </c>
      <c r="Q60" s="224"/>
      <c r="R60" s="6" t="b">
        <f t="shared" si="5"/>
        <v>0</v>
      </c>
      <c r="S60" s="98"/>
    </row>
    <row r="61" spans="1:19" ht="24" customHeight="1" x14ac:dyDescent="0.25">
      <c r="A61" s="91" t="str">
        <f t="shared" si="15"/>
        <v>Chattanooga</v>
      </c>
      <c r="B61" s="91" t="str">
        <f t="shared" si="16"/>
        <v>Cleveland State</v>
      </c>
      <c r="C61" s="91" t="str">
        <f t="shared" si="12"/>
        <v>Cleveland State</v>
      </c>
      <c r="D61" s="91" t="e">
        <f t="shared" si="13"/>
        <v>#REF!</v>
      </c>
      <c r="E61" s="140">
        <v>55</v>
      </c>
      <c r="F61" s="141" cm="1">
        <f t="array" ref="F61">_xlfn.XLOOKUP(G61,Teams[[#All],[Team]],Teams[[#All],[Seed]],0,0,1)</f>
        <v>1</v>
      </c>
      <c r="G61" s="142" t="s">
        <v>77</v>
      </c>
      <c r="H61" s="183" t="s">
        <v>9</v>
      </c>
      <c r="I61" s="143" t="s">
        <v>81</v>
      </c>
      <c r="J61" s="144" cm="1">
        <f t="array" ref="J61">_xlfn.XLOOKUP(I61,Teams[[#All],[Team]],Teams[[#All],[Seed]],0,0,1)</f>
        <v>5</v>
      </c>
      <c r="K61" s="145" t="e" vm="113">
        <f>_xlfn.XLOOKUP(G61,Teams!$C:$C,Teams!$E:$E,,0,1)</f>
        <v>#VALUE!</v>
      </c>
      <c r="L61" s="145">
        <v>0.51</v>
      </c>
      <c r="M61" s="145" t="e" vm="117">
        <f>_xlfn.XLOOKUP(I61,Teams!$C:$C,Teams!$E:$E,,0,1)</f>
        <v>#VALUE!</v>
      </c>
      <c r="N61" s="145">
        <v>0.49</v>
      </c>
      <c r="O61" s="196" t="str">
        <f t="shared" si="14"/>
        <v>Chattanooga</v>
      </c>
      <c r="P61" s="211" t="e" vm="113">
        <f>_xlfn.XLOOKUP(O61,Teams!$C:$C,Teams!$E:$E,,0,1)</f>
        <v>#VALUE!</v>
      </c>
      <c r="Q61" s="225"/>
      <c r="R61" s="6" t="b">
        <f t="shared" si="5"/>
        <v>0</v>
      </c>
      <c r="S61" s="98"/>
    </row>
    <row r="62" spans="1:19" ht="24" customHeight="1" thickBot="1" x14ac:dyDescent="0.3">
      <c r="A62" s="91" t="str">
        <f t="shared" si="15"/>
        <v>Colorado</v>
      </c>
      <c r="B62" s="91" t="str">
        <f t="shared" si="16"/>
        <v>Coppin State</v>
      </c>
      <c r="C62" s="91" t="str">
        <f t="shared" si="12"/>
        <v>Coppin State</v>
      </c>
      <c r="D62" s="91" t="e">
        <f t="shared" si="13"/>
        <v>#REF!</v>
      </c>
      <c r="E62" s="146">
        <v>56</v>
      </c>
      <c r="F62" s="147" cm="1">
        <f t="array" ref="F62">_xlfn.XLOOKUP(G62,Teams[[#All],[Team]],Teams[[#All],[Seed]],0,0,1)</f>
        <v>6</v>
      </c>
      <c r="G62" s="148" t="s">
        <v>85</v>
      </c>
      <c r="H62" s="184" t="s">
        <v>9</v>
      </c>
      <c r="I62" s="149" t="s">
        <v>89</v>
      </c>
      <c r="J62" s="150" cm="1">
        <f t="array" ref="J62">_xlfn.XLOOKUP(I62,Teams[[#All],[Team]],Teams[[#All],[Seed]],0,0,1)</f>
        <v>7</v>
      </c>
      <c r="K62" s="151" t="e" vm="121">
        <f>_xlfn.XLOOKUP(G62,Teams!$C:$C,Teams!$E:$E,,0,1)</f>
        <v>#VALUE!</v>
      </c>
      <c r="L62" s="151">
        <v>0.97</v>
      </c>
      <c r="M62" s="151" t="e" vm="125">
        <f>_xlfn.XLOOKUP(I62,Teams!$C:$C,Teams!$E:$E,,0,1)</f>
        <v>#VALUE!</v>
      </c>
      <c r="N62" s="151">
        <v>0.03</v>
      </c>
      <c r="O62" s="197" t="str">
        <f t="shared" si="14"/>
        <v>Colorado</v>
      </c>
      <c r="P62" s="212" t="e" vm="121">
        <f>_xlfn.XLOOKUP(O62,Teams!$C:$C,Teams!$E:$E,,0,1)</f>
        <v>#VALUE!</v>
      </c>
      <c r="Q62" s="227"/>
      <c r="R62" s="6" t="b">
        <f t="shared" si="5"/>
        <v>0</v>
      </c>
      <c r="S62" s="98"/>
    </row>
    <row r="63" spans="1:19" ht="24" customHeight="1" thickBot="1" x14ac:dyDescent="0.3">
      <c r="E63" s="67" t="s">
        <v>10</v>
      </c>
      <c r="F63" s="238" t="str">
        <f>Bracket!L2</f>
        <v>Elite 8</v>
      </c>
      <c r="G63" s="238"/>
      <c r="H63" s="238"/>
      <c r="I63" s="238"/>
      <c r="J63" s="238"/>
      <c r="K63" s="68"/>
      <c r="L63" s="68"/>
      <c r="M63" s="68"/>
      <c r="N63" s="68"/>
      <c r="O63" s="68" t="s">
        <v>8</v>
      </c>
      <c r="P63" s="68"/>
      <c r="Q63" s="229"/>
      <c r="S63" s="98"/>
    </row>
    <row r="64" spans="1:19" ht="24" customHeight="1" thickBot="1" x14ac:dyDescent="0.3">
      <c r="A64" s="91" t="str">
        <f>G64</f>
        <v>Bucknell</v>
      </c>
      <c r="B64" s="91" t="str">
        <f>I64</f>
        <v>California Baptist</v>
      </c>
      <c r="C64" s="91" t="str">
        <f>IF(O64="","",IF(A64=O64,B64,A64))</f>
        <v>California Baptist</v>
      </c>
      <c r="D64" s="91" t="e">
        <f>IF(SeedType=1,0,IF(SeedType=2,VLOOKUP(O64,SeedInfo,2,FALSE)*4,MAX(VLOOKUP(O64,SeedInfo,2,FALSE)-VLOOKUP(C64,SeedInfo,2,FALSE),0)))</f>
        <v>#REF!</v>
      </c>
      <c r="E64" s="153">
        <v>57</v>
      </c>
      <c r="F64" s="154" cm="1">
        <f t="array" ref="F64">_xlfn.XLOOKUP(G64,Teams[[#All],[Team]],Teams[[#All],[Seed]],0,0,1)</f>
        <v>1</v>
      </c>
      <c r="G64" s="155" t="s">
        <v>61</v>
      </c>
      <c r="H64" s="185" t="s">
        <v>9</v>
      </c>
      <c r="I64" s="156" t="s">
        <v>69</v>
      </c>
      <c r="J64" s="157" cm="1">
        <f t="array" ref="J64">_xlfn.XLOOKUP(I64,Teams[[#All],[Team]],Teams[[#All],[Seed]],0,0,1)</f>
        <v>6</v>
      </c>
      <c r="K64" s="158" t="e" vm="65">
        <f>_xlfn.XLOOKUP(G64,Teams!$C:$C,Teams!$E:$E,,0,1)</f>
        <v>#VALUE!</v>
      </c>
      <c r="L64" s="158">
        <v>1</v>
      </c>
      <c r="M64" s="158" t="e" vm="73">
        <f>_xlfn.XLOOKUP(I64,Teams!$C:$C,Teams!$E:$E,,0,1)</f>
        <v>#VALUE!</v>
      </c>
      <c r="N64" s="158">
        <v>0</v>
      </c>
      <c r="O64" s="198" t="str">
        <f>IF(L64&gt;N64,G64,I64)</f>
        <v>Bucknell</v>
      </c>
      <c r="P64" s="204" t="e" vm="65">
        <f>_xlfn.XLOOKUP(O64,Teams!$C:$C,Teams!$E:$E,,0,1)</f>
        <v>#VALUE!</v>
      </c>
      <c r="Q64" s="230"/>
      <c r="R64" s="6" t="b">
        <f t="shared" si="5"/>
        <v>0</v>
      </c>
      <c r="S64" s="98"/>
    </row>
    <row r="65" spans="1:19" ht="24" customHeight="1" thickBot="1" x14ac:dyDescent="0.3">
      <c r="A65" s="91" t="str">
        <f>G65</f>
        <v>Auburn</v>
      </c>
      <c r="B65" s="91" t="str">
        <f>I65</f>
        <v>Boise State</v>
      </c>
      <c r="C65" s="91" t="str">
        <f>IF(O65="","",IF(A65=O65,B65,A65))</f>
        <v>Boise State</v>
      </c>
      <c r="D65" s="91" t="e">
        <f>IF(SeedType=1,0,IF(SeedType=2,VLOOKUP(O65,SeedInfo,2,FALSE)*4,MAX(VLOOKUP(O65,SeedInfo,2,FALSE)-VLOOKUP(C65,SeedInfo,2,FALSE),0)))</f>
        <v>#REF!</v>
      </c>
      <c r="E65" s="159">
        <v>58</v>
      </c>
      <c r="F65" s="160" cm="1">
        <f t="array" ref="F65">_xlfn.XLOOKUP(G65,Teams[[#All],[Team]],Teams[[#All],[Seed]],0,0,1)</f>
        <v>1</v>
      </c>
      <c r="G65" s="161" t="s">
        <v>45</v>
      </c>
      <c r="H65" s="186" t="s">
        <v>9</v>
      </c>
      <c r="I65" s="162" t="s">
        <v>53</v>
      </c>
      <c r="J65" s="163" cm="1">
        <f t="array" ref="J65">_xlfn.XLOOKUP(I65,Teams[[#All],[Team]],Teams[[#All],[Seed]],0,0,1)</f>
        <v>6</v>
      </c>
      <c r="K65" s="164" t="e" vm="81">
        <f>_xlfn.XLOOKUP(G65,Teams!$C:$C,Teams!$E:$E,,0,1)</f>
        <v>#VALUE!</v>
      </c>
      <c r="L65" s="164">
        <v>0.77</v>
      </c>
      <c r="M65" s="164" t="e" vm="89">
        <f>_xlfn.XLOOKUP(I65,Teams!$C:$C,Teams!$E:$E,,0,1)</f>
        <v>#VALUE!</v>
      </c>
      <c r="N65" s="164">
        <v>0.23</v>
      </c>
      <c r="O65" s="199" t="str">
        <f>IF(L65&gt;N65,G65,I65)</f>
        <v>Auburn</v>
      </c>
      <c r="P65" s="207" t="e" vm="81">
        <f>_xlfn.XLOOKUP(O65,Teams!$C:$C,Teams!$E:$E,,0,1)</f>
        <v>#VALUE!</v>
      </c>
      <c r="Q65" s="231"/>
      <c r="R65" s="6" t="b">
        <f t="shared" si="5"/>
        <v>0</v>
      </c>
      <c r="S65" s="98"/>
    </row>
    <row r="66" spans="1:19" ht="24" customHeight="1" thickBot="1" x14ac:dyDescent="0.3">
      <c r="A66" s="91" t="str">
        <f>G66</f>
        <v>Abilene Christian</v>
      </c>
      <c r="B66" s="91" t="str">
        <f>I66</f>
        <v>American</v>
      </c>
      <c r="C66" s="91" t="str">
        <f>IF(O66="","",IF(A66=O66,B66,A66))</f>
        <v>American</v>
      </c>
      <c r="D66" s="91" t="e">
        <f>IF(SeedType=1,0,IF(SeedType=2,VLOOKUP(O66,SeedInfo,2,FALSE)*4,MAX(VLOOKUP(O66,SeedInfo,2,FALSE)-VLOOKUP(C66,SeedInfo,2,FALSE),0)))</f>
        <v>#REF!</v>
      </c>
      <c r="E66" s="153">
        <v>59</v>
      </c>
      <c r="F66" s="154" cm="1">
        <f t="array" ref="F66">_xlfn.XLOOKUP(G66,Teams[[#All],[Team]],Teams[[#All],[Seed]],0,0,1)</f>
        <v>1</v>
      </c>
      <c r="G66" s="155" t="s">
        <v>29</v>
      </c>
      <c r="H66" s="185" t="s">
        <v>9</v>
      </c>
      <c r="I66" s="156" t="s">
        <v>37</v>
      </c>
      <c r="J66" s="157" cm="1">
        <f t="array" ref="J66">_xlfn.XLOOKUP(I66,Teams[[#All],[Team]],Teams[[#All],[Seed]],0,0,1)</f>
        <v>6</v>
      </c>
      <c r="K66" s="158" t="e" vm="97">
        <f>_xlfn.XLOOKUP(G66,Teams!$C:$C,Teams!$E:$E,,0,1)</f>
        <v>#VALUE!</v>
      </c>
      <c r="L66" s="158">
        <v>0.83</v>
      </c>
      <c r="M66" s="158" t="e" vm="105">
        <f>_xlfn.XLOOKUP(I66,Teams!$C:$C,Teams!$E:$E,,0,1)</f>
        <v>#VALUE!</v>
      </c>
      <c r="N66" s="158">
        <v>0.17</v>
      </c>
      <c r="O66" s="198" t="str">
        <f>IF(L66&gt;N66,G66,I66)</f>
        <v>Abilene Christian</v>
      </c>
      <c r="P66" s="204" t="e" vm="97">
        <f>_xlfn.XLOOKUP(O66,Teams!$C:$C,Teams!$E:$E,,0,1)</f>
        <v>#VALUE!</v>
      </c>
      <c r="Q66" s="232"/>
      <c r="R66" s="6" t="b">
        <f t="shared" si="5"/>
        <v>0</v>
      </c>
      <c r="S66" s="98"/>
    </row>
    <row r="67" spans="1:19" ht="24" customHeight="1" thickBot="1" x14ac:dyDescent="0.3">
      <c r="A67" s="91" t="str">
        <f>G67</f>
        <v>Chattanooga</v>
      </c>
      <c r="B67" s="91" t="str">
        <f>I67</f>
        <v>Colorado</v>
      </c>
      <c r="C67" s="91" t="str">
        <f>IF(O67="","",IF(A67=O67,B67,A67))</f>
        <v>Colorado</v>
      </c>
      <c r="D67" s="91" t="e">
        <f>IF(SeedType=1,0,IF(SeedType=2,VLOOKUP(O67,SeedInfo,2,FALSE)*4,MAX(VLOOKUP(O67,SeedInfo,2,FALSE)-VLOOKUP(C67,SeedInfo,2,FALSE),0)))</f>
        <v>#REF!</v>
      </c>
      <c r="E67" s="159">
        <v>60</v>
      </c>
      <c r="F67" s="160" cm="1">
        <f t="array" ref="F67">_xlfn.XLOOKUP(G67,Teams[[#All],[Team]],Teams[[#All],[Seed]],0,0,1)</f>
        <v>1</v>
      </c>
      <c r="G67" s="161" t="s">
        <v>77</v>
      </c>
      <c r="H67" s="186" t="s">
        <v>9</v>
      </c>
      <c r="I67" s="162" t="s">
        <v>85</v>
      </c>
      <c r="J67" s="163" cm="1">
        <f t="array" ref="J67">_xlfn.XLOOKUP(I67,Teams[[#All],[Team]],Teams[[#All],[Seed]],0,0,1)</f>
        <v>6</v>
      </c>
      <c r="K67" s="164" t="e" vm="113">
        <f>_xlfn.XLOOKUP(G67,Teams!$C:$C,Teams!$E:$E,,0,1)</f>
        <v>#VALUE!</v>
      </c>
      <c r="L67" s="164">
        <v>0.7</v>
      </c>
      <c r="M67" s="164" t="e" vm="121">
        <f>_xlfn.XLOOKUP(I67,Teams!$C:$C,Teams!$E:$E,,0,1)</f>
        <v>#VALUE!</v>
      </c>
      <c r="N67" s="164">
        <v>0.3</v>
      </c>
      <c r="O67" s="199" t="str">
        <f>IF(L67&gt;N67,G67,I67)</f>
        <v>Chattanooga</v>
      </c>
      <c r="P67" s="207" t="e" vm="113">
        <f>_xlfn.XLOOKUP(O67,Teams!$C:$C,Teams!$E:$E,,0,1)</f>
        <v>#VALUE!</v>
      </c>
      <c r="Q67" s="231"/>
      <c r="R67" s="6" t="b">
        <f t="shared" si="5"/>
        <v>0</v>
      </c>
      <c r="S67" s="98"/>
    </row>
    <row r="68" spans="1:19" ht="24" customHeight="1" thickBot="1" x14ac:dyDescent="0.3">
      <c r="E68" s="67" t="s">
        <v>10</v>
      </c>
      <c r="F68" s="238" t="str">
        <f>Bracket!O2</f>
        <v>Final Four</v>
      </c>
      <c r="G68" s="238"/>
      <c r="H68" s="238"/>
      <c r="I68" s="238"/>
      <c r="J68" s="238"/>
      <c r="K68" s="68"/>
      <c r="L68" s="68"/>
      <c r="M68" s="68"/>
      <c r="N68" s="68"/>
      <c r="O68" s="68" t="s">
        <v>8</v>
      </c>
      <c r="P68" s="68"/>
      <c r="Q68" s="229"/>
      <c r="S68" s="98"/>
    </row>
    <row r="69" spans="1:19" ht="24" customHeight="1" thickBot="1" x14ac:dyDescent="0.3">
      <c r="A69" s="91" t="str">
        <f>G69</f>
        <v>Bucknell</v>
      </c>
      <c r="B69" s="91" t="str">
        <f>I69</f>
        <v>Auburn</v>
      </c>
      <c r="C69" s="91" t="str">
        <f>IF(O69="","",IF(A69=O69,B69,A69))</f>
        <v>Auburn</v>
      </c>
      <c r="D69" s="91" t="e">
        <f>IF(SeedType=1,0,IF(SeedType=2,VLOOKUP(O69,SeedInfo,2,FALSE)*5,MAX(VLOOKUP(O69,SeedInfo,2,FALSE)-VLOOKUP(C69,SeedInfo,2,FALSE),0)))</f>
        <v>#REF!</v>
      </c>
      <c r="E69" s="165">
        <v>61</v>
      </c>
      <c r="F69" s="166" cm="1">
        <f t="array" ref="F69">_xlfn.XLOOKUP(G69,Teams[[#All],[Team]],Teams[[#All],[Seed]],0,0,1)</f>
        <v>1</v>
      </c>
      <c r="G69" s="167" t="s">
        <v>61</v>
      </c>
      <c r="H69" s="187" t="s">
        <v>9</v>
      </c>
      <c r="I69" s="168" t="s">
        <v>45</v>
      </c>
      <c r="J69" s="169" cm="1">
        <f t="array" ref="J69">_xlfn.XLOOKUP(I69,Teams[[#All],[Team]],Teams[[#All],[Seed]],0,0,1)</f>
        <v>1</v>
      </c>
      <c r="K69" s="170" t="e" vm="65">
        <f>_xlfn.XLOOKUP(G69,Teams!$C:$C,Teams!$E:$E,,0,1)</f>
        <v>#VALUE!</v>
      </c>
      <c r="L69" s="170">
        <v>0.62</v>
      </c>
      <c r="M69" s="170" t="e" vm="81">
        <f>_xlfn.XLOOKUP(I69,Teams!$C:$C,Teams!$E:$E,,0,1)</f>
        <v>#VALUE!</v>
      </c>
      <c r="N69" s="170">
        <v>0.38</v>
      </c>
      <c r="O69" s="200" t="str">
        <f>IF(L69&gt;N69,G69,I69)</f>
        <v>Bucknell</v>
      </c>
      <c r="P69" s="210" t="e" vm="65">
        <f>_xlfn.XLOOKUP(O69,Teams!$C:$C,Teams!$E:$E,,0,1)</f>
        <v>#VALUE!</v>
      </c>
      <c r="Q69" s="230"/>
      <c r="R69" s="6" t="b">
        <f t="shared" si="5"/>
        <v>0</v>
      </c>
      <c r="S69" s="98"/>
    </row>
    <row r="70" spans="1:19" ht="24" customHeight="1" thickBot="1" x14ac:dyDescent="0.3">
      <c r="A70" s="91" t="str">
        <f>G70</f>
        <v>American</v>
      </c>
      <c r="B70" s="91" t="str">
        <f>I70</f>
        <v>Colorado</v>
      </c>
      <c r="C70" s="91" t="str">
        <f>IF(O70="","",IF(A70=O70,B70,A70))</f>
        <v>Colorado</v>
      </c>
      <c r="D70" s="91" t="e">
        <f>IF(SeedType=1,0,IF(SeedType=2,VLOOKUP(O70,SeedInfo,2,FALSE)*5,MAX(VLOOKUP(O70,SeedInfo,2,FALSE)-VLOOKUP(C70,SeedInfo,2,FALSE),0)))</f>
        <v>#REF!</v>
      </c>
      <c r="E70" s="159">
        <v>62</v>
      </c>
      <c r="F70" s="160" cm="1">
        <f t="array" ref="F70">_xlfn.XLOOKUP(G70,Teams[[#All],[Team]],Teams[[#All],[Seed]],0,0,1)</f>
        <v>6</v>
      </c>
      <c r="G70" s="161" t="s">
        <v>37</v>
      </c>
      <c r="H70" s="186" t="s">
        <v>9</v>
      </c>
      <c r="I70" s="162" t="s">
        <v>85</v>
      </c>
      <c r="J70" s="163" cm="1">
        <f t="array" ref="J70">_xlfn.XLOOKUP(I70,Teams[[#All],[Team]],Teams[[#All],[Seed]],0,0,1)</f>
        <v>6</v>
      </c>
      <c r="K70" s="164" t="e" vm="105">
        <f>_xlfn.XLOOKUP(G70,Teams!$C:$C,Teams!$E:$E,,0,1)</f>
        <v>#VALUE!</v>
      </c>
      <c r="L70" s="164">
        <v>0.57999999999999996</v>
      </c>
      <c r="M70" s="164" t="e" vm="121">
        <f>_xlfn.XLOOKUP(I70,Teams!$C:$C,Teams!$E:$E,,0,1)</f>
        <v>#VALUE!</v>
      </c>
      <c r="N70" s="164">
        <v>0.42</v>
      </c>
      <c r="O70" s="199" t="str">
        <f>IF(L70&gt;N70,G70,I70)</f>
        <v>American</v>
      </c>
      <c r="P70" s="213" t="e" vm="105">
        <f>_xlfn.XLOOKUP(O70,Teams!$C:$C,Teams!$E:$E,,0,1)</f>
        <v>#VALUE!</v>
      </c>
      <c r="Q70" s="231"/>
      <c r="R70" s="6" t="b">
        <f t="shared" ref="R70:R72" si="17">IF(
O70=G70,
IF(F70&gt;J70,TRUE,FALSE),
IF(J70&gt;F70,TRUE,FALSE))</f>
        <v>0</v>
      </c>
      <c r="S70" s="98"/>
    </row>
    <row r="71" spans="1:19" ht="24" customHeight="1" thickBot="1" x14ac:dyDescent="0.3">
      <c r="A71" s="171"/>
      <c r="B71" s="171"/>
      <c r="C71" s="171"/>
      <c r="D71" s="171"/>
      <c r="E71" s="67" t="s">
        <v>10</v>
      </c>
      <c r="F71" s="238" t="str">
        <f>Bracket!S2</f>
        <v>Championship</v>
      </c>
      <c r="G71" s="238"/>
      <c r="H71" s="238"/>
      <c r="I71" s="238"/>
      <c r="J71" s="238"/>
      <c r="K71" s="68"/>
      <c r="L71" s="68"/>
      <c r="M71" s="68"/>
      <c r="N71" s="68"/>
      <c r="O71" s="68" t="s">
        <v>8</v>
      </c>
      <c r="P71" s="68"/>
      <c r="Q71" s="229"/>
      <c r="S71" s="98"/>
    </row>
    <row r="72" spans="1:19" ht="24" customHeight="1" thickBot="1" x14ac:dyDescent="0.3">
      <c r="A72" s="91" t="str">
        <f>G72</f>
        <v>Bucknell</v>
      </c>
      <c r="B72" s="91" t="str">
        <f>I72</f>
        <v>American</v>
      </c>
      <c r="C72" s="91" t="str">
        <f>IF(O72="","",IF(A72=O72,B72,A72))</f>
        <v>American</v>
      </c>
      <c r="D72" s="91" t="e">
        <f>IF(SeedType=1,0,IF(SeedType=2,VLOOKUP(O72,SeedInfo,2,FALSE)*6,MAX(VLOOKUP(O72,SeedInfo,2,FALSE)-VLOOKUP(C72,SeedInfo,2,FALSE),0)))</f>
        <v>#REF!</v>
      </c>
      <c r="E72" s="153">
        <v>63</v>
      </c>
      <c r="F72" s="154" cm="1">
        <f t="array" ref="F72">_xlfn.XLOOKUP(G72,Teams[[#All],[Team]],Teams[[#All],[Seed]],0,0,1)</f>
        <v>1</v>
      </c>
      <c r="G72" s="155" t="s">
        <v>61</v>
      </c>
      <c r="H72" s="185" t="s">
        <v>9</v>
      </c>
      <c r="I72" s="156" t="s">
        <v>37</v>
      </c>
      <c r="J72" s="157" cm="1">
        <f t="array" ref="J72">_xlfn.XLOOKUP(I72,Teams[[#All],[Team]],Teams[[#All],[Seed]],0,0,1)</f>
        <v>6</v>
      </c>
      <c r="K72" s="158" t="e" vm="65">
        <f>_xlfn.XLOOKUP(G72,Teams!$C:$C,Teams!$E:$E,,0,1)</f>
        <v>#VALUE!</v>
      </c>
      <c r="L72" s="158">
        <v>0.53</v>
      </c>
      <c r="M72" s="158" t="e" vm="105">
        <f>_xlfn.XLOOKUP(I72,Teams!$C:$C,Teams!$E:$E,,0,1)</f>
        <v>#VALUE!</v>
      </c>
      <c r="N72" s="158">
        <v>0.47</v>
      </c>
      <c r="O72" s="198" t="str">
        <f>IF(L72&gt;N72,G72,I72)</f>
        <v>Bucknell</v>
      </c>
      <c r="P72" s="205" t="e" vm="65">
        <f>_xlfn.XLOOKUP(O72,Teams!$C:$C,Teams!$E:$E,,0,1)</f>
        <v>#VALUE!</v>
      </c>
      <c r="Q72" s="233"/>
      <c r="R72" s="6" t="b">
        <f t="shared" si="17"/>
        <v>0</v>
      </c>
      <c r="S72" s="98"/>
    </row>
    <row r="73" spans="1:19" x14ac:dyDescent="0.25"/>
    <row r="74" spans="1:19" x14ac:dyDescent="0.25"/>
    <row r="75" spans="1:19" x14ac:dyDescent="0.25"/>
  </sheetData>
  <mergeCells count="13">
    <mergeCell ref="Q3:Q4"/>
    <mergeCell ref="F71:J71"/>
    <mergeCell ref="O3:O4"/>
    <mergeCell ref="E3:E4"/>
    <mergeCell ref="F3:F4"/>
    <mergeCell ref="J3:J4"/>
    <mergeCell ref="G3:I4"/>
    <mergeCell ref="F37:J37"/>
    <mergeCell ref="F54:J54"/>
    <mergeCell ref="F63:J63"/>
    <mergeCell ref="F68:J68"/>
    <mergeCell ref="K3:L4"/>
    <mergeCell ref="M3:N4"/>
  </mergeCells>
  <phoneticPr fontId="0" type="noConversion"/>
  <pageMargins left="0.5" right="0.5" top="0.5" bottom="0.5" header="0.25" footer="0.25"/>
  <pageSetup scale="90" fitToHeight="0" orientation="portrait" horizontalDpi="4294967293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F67008"/>
    <pageSetUpPr fitToPage="1"/>
  </sheetPr>
  <dimension ref="A1:AU70"/>
  <sheetViews>
    <sheetView showGridLines="0" zoomScale="50" zoomScaleNormal="60" workbookViewId="0">
      <selection activeCell="U48" sqref="U48"/>
    </sheetView>
  </sheetViews>
  <sheetFormatPr defaultColWidth="0" defaultRowHeight="15" zeroHeight="1" x14ac:dyDescent="0.25"/>
  <cols>
    <col min="1" max="1" width="4.33203125" style="19" customWidth="1"/>
    <col min="2" max="2" width="3" style="3" bestFit="1" customWidth="1"/>
    <col min="3" max="3" width="22.21875" style="35" customWidth="1"/>
    <col min="4" max="4" width="5" style="73" customWidth="1"/>
    <col min="5" max="5" width="5" style="45" customWidth="1"/>
    <col min="6" max="6" width="22.21875" style="2" customWidth="1"/>
    <col min="7" max="7" width="5.6640625" style="2" customWidth="1"/>
    <col min="8" max="8" width="5" style="45" customWidth="1"/>
    <col min="9" max="9" width="22.21875" style="2" customWidth="1"/>
    <col min="10" max="10" width="5.6640625" style="2" customWidth="1"/>
    <col min="11" max="11" width="5" style="45" customWidth="1"/>
    <col min="12" max="12" width="22.21875" style="2" customWidth="1"/>
    <col min="13" max="13" width="5.6640625" style="2" customWidth="1"/>
    <col min="14" max="14" width="5" style="45" customWidth="1"/>
    <col min="15" max="15" width="22.21875" style="2" customWidth="1"/>
    <col min="16" max="16" width="5.6640625" style="2" customWidth="1"/>
    <col min="17" max="17" width="5" style="45" customWidth="1"/>
    <col min="18" max="18" width="2" style="2" customWidth="1"/>
    <col min="19" max="19" width="17.77734375" style="2" customWidth="1"/>
    <col min="20" max="20" width="5" style="54" customWidth="1"/>
    <col min="21" max="21" width="12.88671875" style="77" customWidth="1"/>
    <col min="22" max="22" width="5" style="54" customWidth="1"/>
    <col min="23" max="23" width="17.77734375" style="2" customWidth="1"/>
    <col min="24" max="24" width="2.88671875" style="2" customWidth="1"/>
    <col min="25" max="25" width="5" style="45" customWidth="1"/>
    <col min="26" max="26" width="5.6640625" style="45" customWidth="1"/>
    <col min="27" max="27" width="22.21875" style="2" customWidth="1"/>
    <col min="28" max="28" width="5" style="45" customWidth="1"/>
    <col min="29" max="29" width="5.6640625" style="45" customWidth="1"/>
    <col min="30" max="30" width="22.21875" style="2" customWidth="1"/>
    <col min="31" max="31" width="5" style="45" customWidth="1"/>
    <col min="32" max="32" width="5.6640625" style="45" customWidth="1"/>
    <col min="33" max="33" width="22.21875" style="2" customWidth="1"/>
    <col min="34" max="34" width="5" style="45" customWidth="1"/>
    <col min="35" max="35" width="5.6640625" style="45" customWidth="1"/>
    <col min="36" max="36" width="22.21875" style="2" customWidth="1"/>
    <col min="37" max="37" width="5" style="45" customWidth="1"/>
    <col min="38" max="38" width="5" style="79" customWidth="1"/>
    <col min="39" max="39" width="22.21875" style="2" customWidth="1"/>
    <col min="40" max="40" width="3" style="3" bestFit="1" customWidth="1"/>
    <col min="41" max="41" width="4.33203125" style="18" customWidth="1"/>
    <col min="42" max="42" width="3.88671875" style="2" hidden="1" customWidth="1"/>
    <col min="43" max="43" width="19.88671875" style="2" hidden="1" customWidth="1"/>
    <col min="44" max="16384" width="9.109375" style="2" hidden="1"/>
  </cols>
  <sheetData>
    <row r="1" spans="1:47" s="6" customFormat="1" ht="34.799999999999997" x14ac:dyDescent="0.25">
      <c r="A1" s="13"/>
      <c r="B1" s="279" t="s">
        <v>20</v>
      </c>
      <c r="C1" s="279"/>
      <c r="D1" s="279"/>
      <c r="E1" s="279"/>
      <c r="F1" s="279"/>
      <c r="G1" s="279"/>
      <c r="H1" s="279"/>
      <c r="I1" s="279"/>
      <c r="J1" s="279"/>
      <c r="K1" s="279"/>
      <c r="L1" s="279"/>
      <c r="M1" s="279"/>
      <c r="N1" s="279"/>
      <c r="O1" s="279"/>
      <c r="P1" s="279"/>
      <c r="Q1" s="279"/>
      <c r="R1" s="279"/>
      <c r="S1" s="279"/>
      <c r="T1" s="279"/>
      <c r="U1" s="279"/>
      <c r="V1" s="279"/>
      <c r="W1" s="279"/>
      <c r="X1" s="279"/>
      <c r="Y1" s="279"/>
      <c r="Z1" s="279"/>
      <c r="AA1" s="279"/>
      <c r="AB1" s="279"/>
      <c r="AC1" s="279"/>
      <c r="AD1" s="279"/>
      <c r="AE1" s="279"/>
      <c r="AF1" s="279"/>
      <c r="AG1" s="279"/>
      <c r="AH1" s="279"/>
      <c r="AI1" s="279"/>
      <c r="AJ1" s="279"/>
      <c r="AK1" s="279"/>
      <c r="AL1" s="279"/>
      <c r="AM1" s="279"/>
      <c r="AN1" s="279"/>
      <c r="AO1" s="17"/>
    </row>
    <row r="2" spans="1:47" s="63" customFormat="1" ht="19.2" customHeight="1" x14ac:dyDescent="0.25">
      <c r="A2" s="60"/>
      <c r="B2" s="61"/>
      <c r="C2" s="61" t="s">
        <v>19</v>
      </c>
      <c r="D2" s="61"/>
      <c r="E2" s="62"/>
      <c r="F2" s="61" t="s">
        <v>7</v>
      </c>
      <c r="G2" s="61"/>
      <c r="H2" s="62"/>
      <c r="I2" s="61" t="s">
        <v>6</v>
      </c>
      <c r="J2" s="61"/>
      <c r="K2" s="62"/>
      <c r="L2" s="61" t="s">
        <v>5</v>
      </c>
      <c r="M2" s="61"/>
      <c r="N2" s="62"/>
      <c r="O2" s="61" t="s">
        <v>1</v>
      </c>
      <c r="P2" s="61"/>
      <c r="Q2" s="62"/>
      <c r="R2" s="62"/>
      <c r="S2" s="281" t="s">
        <v>2</v>
      </c>
      <c r="T2" s="281"/>
      <c r="U2" s="281"/>
      <c r="V2" s="281"/>
      <c r="W2" s="281"/>
      <c r="X2" s="62"/>
      <c r="Y2" s="62"/>
      <c r="Z2" s="62"/>
      <c r="AA2" s="61" t="s">
        <v>1</v>
      </c>
      <c r="AB2" s="62"/>
      <c r="AC2" s="62"/>
      <c r="AD2" s="61" t="s">
        <v>5</v>
      </c>
      <c r="AE2" s="62"/>
      <c r="AF2" s="62"/>
      <c r="AG2" s="61" t="s">
        <v>6</v>
      </c>
      <c r="AH2" s="62"/>
      <c r="AI2" s="62"/>
      <c r="AJ2" s="61" t="str">
        <f>F2</f>
        <v>Second Round</v>
      </c>
      <c r="AK2" s="62"/>
      <c r="AL2" s="62"/>
      <c r="AM2" s="61" t="str">
        <f>C2</f>
        <v>First Round</v>
      </c>
      <c r="AN2" s="61"/>
      <c r="AO2" s="43"/>
      <c r="AQ2" s="64"/>
      <c r="AU2" s="65" t="s">
        <v>18</v>
      </c>
    </row>
    <row r="3" spans="1:47" s="8" customFormat="1" ht="6" customHeight="1" x14ac:dyDescent="0.3">
      <c r="A3" s="13"/>
      <c r="B3" s="22"/>
      <c r="C3" s="33"/>
      <c r="D3" s="33"/>
      <c r="E3" s="44"/>
      <c r="F3" s="22"/>
      <c r="G3" s="22"/>
      <c r="H3" s="44"/>
      <c r="I3" s="22"/>
      <c r="J3" s="22"/>
      <c r="K3" s="44"/>
      <c r="L3" s="22"/>
      <c r="M3" s="22"/>
      <c r="N3" s="44"/>
      <c r="O3" s="22"/>
      <c r="P3" s="22"/>
      <c r="Q3" s="44"/>
      <c r="R3" s="23"/>
      <c r="S3" s="22"/>
      <c r="T3" s="52"/>
      <c r="U3" s="74"/>
      <c r="V3" s="52"/>
      <c r="W3" s="22"/>
      <c r="X3" s="23"/>
      <c r="Y3" s="44"/>
      <c r="Z3" s="44"/>
      <c r="AA3" s="22"/>
      <c r="AB3" s="44"/>
      <c r="AC3" s="44"/>
      <c r="AD3" s="22"/>
      <c r="AE3" s="44"/>
      <c r="AF3" s="44"/>
      <c r="AG3" s="22"/>
      <c r="AH3" s="44"/>
      <c r="AI3" s="44"/>
      <c r="AJ3" s="22"/>
      <c r="AK3" s="44"/>
      <c r="AL3" s="78"/>
      <c r="AM3" s="22"/>
      <c r="AN3" s="22"/>
      <c r="AO3" s="17"/>
      <c r="AQ3" s="275"/>
      <c r="AU3" s="7" t="s">
        <v>17</v>
      </c>
    </row>
    <row r="4" spans="1:47" ht="9.75" customHeight="1" x14ac:dyDescent="0.25">
      <c r="A4" s="13"/>
      <c r="B4" s="24"/>
      <c r="C4" s="34"/>
      <c r="D4" s="69"/>
      <c r="F4" s="25"/>
      <c r="G4" s="25"/>
      <c r="I4" s="25"/>
      <c r="J4" s="25"/>
      <c r="L4" s="25"/>
      <c r="M4" s="25"/>
      <c r="O4" s="25"/>
      <c r="P4" s="25"/>
      <c r="R4" s="25"/>
      <c r="S4" s="25"/>
      <c r="T4" s="25"/>
      <c r="U4" s="75"/>
      <c r="V4" s="25"/>
      <c r="W4" s="25"/>
      <c r="X4" s="25"/>
      <c r="AA4" s="25"/>
      <c r="AD4" s="25"/>
      <c r="AG4" s="25"/>
      <c r="AJ4" s="25"/>
      <c r="AM4" s="26"/>
      <c r="AN4" s="24"/>
      <c r="AO4" s="17"/>
      <c r="AQ4" s="275"/>
    </row>
    <row r="5" spans="1:47" ht="18.600000000000001" customHeight="1" thickBot="1" x14ac:dyDescent="0.35">
      <c r="A5" s="16"/>
      <c r="B5" s="27">
        <v>1</v>
      </c>
      <c r="C5" s="36" t="str">
        <f>Games!G5</f>
        <v>Bucknell</v>
      </c>
      <c r="D5" s="70" t="e" vm="65">
        <f>_xlfn.XLOOKUP(C5,Teams!$C:$C,Teams!$E:$E,,0,1)</f>
        <v>#VALUE!</v>
      </c>
      <c r="E5" s="46">
        <f>Games!L5</f>
        <v>0.98</v>
      </c>
      <c r="F5" s="256" t="str">
        <f>Games!O5</f>
        <v>Bucknell</v>
      </c>
      <c r="G5" s="259" t="e" vm="65">
        <f>_xlfn.XLOOKUP(F5,Teams!$C:$C,Teams!$E:$E,,0,1)</f>
        <v>#VALUE!</v>
      </c>
      <c r="H5" s="280">
        <f>Games!L38</f>
        <v>0.52</v>
      </c>
      <c r="I5" s="25"/>
      <c r="J5" s="25"/>
      <c r="L5" s="25"/>
      <c r="M5" s="25"/>
      <c r="O5" s="25"/>
      <c r="P5" s="25"/>
      <c r="R5" s="25"/>
      <c r="S5" s="25"/>
      <c r="T5" s="25"/>
      <c r="U5" s="75"/>
      <c r="V5" s="25"/>
      <c r="W5" s="25"/>
      <c r="X5" s="25"/>
      <c r="AA5" s="25"/>
      <c r="AD5" s="25"/>
      <c r="AG5" s="25"/>
      <c r="AH5" s="251">
        <f>Games!L46</f>
        <v>0.99</v>
      </c>
      <c r="AI5" s="247" t="e" vm="97">
        <f>_xlfn.XLOOKUP(AJ5,Teams!$C:$C,Teams!$E:$E,,0,1)</f>
        <v>#VALUE!</v>
      </c>
      <c r="AJ5" s="256" t="str">
        <f>Games!O21</f>
        <v>Abilene Christian</v>
      </c>
      <c r="AK5" s="58">
        <f>Games!L21</f>
        <v>0.88</v>
      </c>
      <c r="AL5" s="46" t="e" vm="97">
        <f>_xlfn.XLOOKUP(AM5,Teams!$C:$C,Teams!$E:$E,,0,1)</f>
        <v>#VALUE!</v>
      </c>
      <c r="AM5" s="37" t="str">
        <f>Games!G21</f>
        <v>Abilene Christian</v>
      </c>
      <c r="AN5" s="27">
        <v>1</v>
      </c>
      <c r="AO5" s="17"/>
      <c r="AQ5" s="275"/>
      <c r="AU5" s="2" t="b">
        <f>IF(AP29="x",TRUE,FALSE)</f>
        <v>1</v>
      </c>
    </row>
    <row r="6" spans="1:47" ht="10.5" customHeight="1" thickBot="1" x14ac:dyDescent="0.35">
      <c r="A6" s="255">
        <f>IF($AU$5=TRUE,1,"")</f>
        <v>1</v>
      </c>
      <c r="B6" s="28"/>
      <c r="C6" s="38"/>
      <c r="D6" s="71"/>
      <c r="E6" s="47"/>
      <c r="F6" s="257"/>
      <c r="G6" s="260"/>
      <c r="H6" s="252"/>
      <c r="I6" s="25"/>
      <c r="J6" s="25"/>
      <c r="L6" s="25"/>
      <c r="M6" s="25"/>
      <c r="O6" s="25"/>
      <c r="P6" s="25"/>
      <c r="R6" s="25"/>
      <c r="S6" s="25"/>
      <c r="T6" s="25"/>
      <c r="U6" s="75"/>
      <c r="V6" s="25"/>
      <c r="W6" s="25"/>
      <c r="X6" s="25"/>
      <c r="AA6" s="25"/>
      <c r="AD6" s="25"/>
      <c r="AG6" s="25"/>
      <c r="AH6" s="252"/>
      <c r="AI6" s="248"/>
      <c r="AJ6" s="257"/>
      <c r="AK6" s="55"/>
      <c r="AM6" s="39"/>
      <c r="AN6" s="28"/>
      <c r="AO6" s="277">
        <f>IF($AU$5=TRUE,A66+1,"")</f>
        <v>17</v>
      </c>
      <c r="AQ6" s="275"/>
    </row>
    <row r="7" spans="1:47" ht="13.8" customHeight="1" thickBot="1" x14ac:dyDescent="0.35">
      <c r="A7" s="255"/>
      <c r="B7" s="27">
        <v>16</v>
      </c>
      <c r="C7" s="40" t="str">
        <f>Games!I5</f>
        <v>Buffalo</v>
      </c>
      <c r="D7" s="70" t="e" vm="66">
        <f>_xlfn.XLOOKUP(C7,Teams!$C:$C,Teams!$E:$E,,0,1)</f>
        <v>#VALUE!</v>
      </c>
      <c r="E7" s="48">
        <f>Games!N5</f>
        <v>0.02</v>
      </c>
      <c r="F7" s="276">
        <f>IF($AU$5=TRUE,AO66+1,"")</f>
        <v>33</v>
      </c>
      <c r="G7" s="14"/>
      <c r="H7" s="49"/>
      <c r="I7" s="265" t="str">
        <f>Games!O38</f>
        <v>Bucknell</v>
      </c>
      <c r="J7" s="259" t="e" vm="65">
        <f>_xlfn.XLOOKUP(I7,Teams!$C:$C,Teams!$E:$E,,0,1)</f>
        <v>#VALUE!</v>
      </c>
      <c r="K7" s="251">
        <f>Games!L55</f>
        <v>0.73</v>
      </c>
      <c r="L7" s="25"/>
      <c r="M7" s="25"/>
      <c r="O7" s="25"/>
      <c r="P7" s="25"/>
      <c r="R7" s="25"/>
      <c r="S7" s="25"/>
      <c r="T7" s="25"/>
      <c r="U7" s="75"/>
      <c r="V7" s="25"/>
      <c r="W7" s="25"/>
      <c r="X7" s="25"/>
      <c r="AA7" s="25"/>
      <c r="AD7" s="25"/>
      <c r="AE7" s="251">
        <f>Games!L59</f>
        <v>0.57999999999999996</v>
      </c>
      <c r="AF7" s="247" t="e" vm="97">
        <f>_xlfn.XLOOKUP(AG7,Teams!$C:$C,Teams!$E:$E,,0,1)</f>
        <v>#VALUE!</v>
      </c>
      <c r="AG7" s="256" t="str">
        <f>Games!O46</f>
        <v>Abilene Christian</v>
      </c>
      <c r="AH7" s="55"/>
      <c r="AI7" s="51"/>
      <c r="AJ7" s="276">
        <f>IF($AU$5=TRUE,F63+1,"")</f>
        <v>41</v>
      </c>
      <c r="AK7" s="59">
        <f>Games!N21</f>
        <v>0.12</v>
      </c>
      <c r="AL7" s="46" t="e" vm="98">
        <f>_xlfn.XLOOKUP(AM7,Teams!$C:$C,Teams!$E:$E,,0,1)</f>
        <v>#VALUE!</v>
      </c>
      <c r="AM7" s="37" t="str">
        <f>Games!I21</f>
        <v>Air Force</v>
      </c>
      <c r="AN7" s="27">
        <v>16</v>
      </c>
      <c r="AO7" s="277"/>
      <c r="AQ7" s="275"/>
    </row>
    <row r="8" spans="1:47" ht="10.199999999999999" customHeight="1" thickBot="1" x14ac:dyDescent="0.35">
      <c r="A8" s="16"/>
      <c r="B8" s="28"/>
      <c r="C8" s="38"/>
      <c r="D8" s="71"/>
      <c r="F8" s="255"/>
      <c r="G8" s="15"/>
      <c r="H8" s="50"/>
      <c r="I8" s="266"/>
      <c r="J8" s="260"/>
      <c r="K8" s="252"/>
      <c r="L8" s="25"/>
      <c r="M8" s="25"/>
      <c r="O8" s="25"/>
      <c r="P8" s="25"/>
      <c r="R8" s="25"/>
      <c r="S8" s="25"/>
      <c r="T8" s="25"/>
      <c r="U8" s="75"/>
      <c r="V8" s="25"/>
      <c r="W8" s="25"/>
      <c r="X8" s="25"/>
      <c r="AA8" s="25"/>
      <c r="AD8" s="25"/>
      <c r="AE8" s="252"/>
      <c r="AF8" s="248"/>
      <c r="AG8" s="257"/>
      <c r="AH8" s="56"/>
      <c r="AJ8" s="255"/>
      <c r="AM8" s="39"/>
      <c r="AN8" s="28"/>
      <c r="AO8" s="17"/>
      <c r="AQ8" s="275"/>
    </row>
    <row r="9" spans="1:47" ht="18.600000000000001" customHeight="1" thickBot="1" x14ac:dyDescent="0.35">
      <c r="A9" s="16"/>
      <c r="B9" s="27">
        <v>8</v>
      </c>
      <c r="C9" s="36" t="str">
        <f>Games!G6</f>
        <v>Butler</v>
      </c>
      <c r="D9" s="70" t="e" vm="67">
        <f>_xlfn.XLOOKUP(C9,Teams!$C:$C,Teams!$E:$E,,0,1)</f>
        <v>#VALUE!</v>
      </c>
      <c r="E9" s="46">
        <f>Games!L6</f>
        <v>0.69</v>
      </c>
      <c r="F9" s="256" t="str">
        <f>Games!O6</f>
        <v>Butler</v>
      </c>
      <c r="G9" s="259" t="e" vm="67">
        <f>_xlfn.XLOOKUP(F9,Teams!$C:$C,Teams!$E:$E,,0,1)</f>
        <v>#VALUE!</v>
      </c>
      <c r="H9" s="261">
        <f>Games!N38</f>
        <v>0.48</v>
      </c>
      <c r="I9" s="24"/>
      <c r="J9" s="24"/>
      <c r="K9" s="49"/>
      <c r="L9" s="25"/>
      <c r="M9" s="25"/>
      <c r="O9" s="25"/>
      <c r="P9" s="25"/>
      <c r="R9" s="25"/>
      <c r="S9" s="25"/>
      <c r="T9" s="25"/>
      <c r="U9" s="75"/>
      <c r="V9" s="25"/>
      <c r="W9" s="25"/>
      <c r="X9" s="25"/>
      <c r="AA9" s="25"/>
      <c r="AD9" s="25"/>
      <c r="AE9" s="55"/>
      <c r="AG9" s="24"/>
      <c r="AH9" s="253">
        <f>Games!N46</f>
        <v>0.01</v>
      </c>
      <c r="AI9" s="247" t="e" vm="99">
        <f>_xlfn.XLOOKUP(AJ9,Teams!$C:$C,Teams!$E:$E,,0,1)</f>
        <v>#VALUE!</v>
      </c>
      <c r="AJ9" s="256" t="str">
        <f>Games!O22</f>
        <v>Akron</v>
      </c>
      <c r="AK9" s="58">
        <f>Games!L22</f>
        <v>0.55000000000000004</v>
      </c>
      <c r="AL9" s="46" t="e" vm="99">
        <f>_xlfn.XLOOKUP(AM9,Teams!$C:$C,Teams!$E:$E,,0,1)</f>
        <v>#VALUE!</v>
      </c>
      <c r="AM9" s="37" t="str">
        <f>Games!G22</f>
        <v>Akron</v>
      </c>
      <c r="AN9" s="27">
        <v>8</v>
      </c>
      <c r="AO9" s="17"/>
      <c r="AQ9" s="275"/>
    </row>
    <row r="10" spans="1:47" ht="10.5" customHeight="1" thickBot="1" x14ac:dyDescent="0.35">
      <c r="A10" s="278">
        <f>IF($AU$5=TRUE,A6+1,"")</f>
        <v>2</v>
      </c>
      <c r="B10" s="28"/>
      <c r="C10" s="38"/>
      <c r="D10" s="71"/>
      <c r="E10" s="47"/>
      <c r="F10" s="257"/>
      <c r="G10" s="260"/>
      <c r="H10" s="262"/>
      <c r="I10" s="24"/>
      <c r="J10" s="24"/>
      <c r="K10" s="50"/>
      <c r="L10" s="25"/>
      <c r="M10" s="25"/>
      <c r="O10" s="25"/>
      <c r="P10" s="25"/>
      <c r="R10" s="25"/>
      <c r="S10" s="25"/>
      <c r="T10" s="25"/>
      <c r="U10" s="75"/>
      <c r="V10" s="25"/>
      <c r="W10" s="25"/>
      <c r="X10" s="25"/>
      <c r="AA10" s="25"/>
      <c r="AD10" s="25"/>
      <c r="AE10" s="56"/>
      <c r="AG10" s="24"/>
      <c r="AH10" s="254"/>
      <c r="AI10" s="248"/>
      <c r="AJ10" s="257"/>
      <c r="AK10" s="55"/>
      <c r="AM10" s="39"/>
      <c r="AN10" s="28"/>
      <c r="AO10" s="277">
        <f>IF($AU$5=TRUE,AO6+1,"")</f>
        <v>18</v>
      </c>
      <c r="AQ10" s="275"/>
    </row>
    <row r="11" spans="1:47" ht="13.8" customHeight="1" thickBot="1" x14ac:dyDescent="0.35">
      <c r="A11" s="278"/>
      <c r="B11" s="27">
        <v>9</v>
      </c>
      <c r="C11" s="36" t="str">
        <f>Games!I6</f>
        <v>Cal Poly</v>
      </c>
      <c r="D11" s="70" t="e" vm="68">
        <f>_xlfn.XLOOKUP(C11,Teams!$C:$C,Teams!$E:$E,,0,1)</f>
        <v>#VALUE!</v>
      </c>
      <c r="E11" s="48">
        <f>Games!N6</f>
        <v>0.31</v>
      </c>
      <c r="F11" s="24"/>
      <c r="G11" s="24"/>
      <c r="I11" s="255">
        <f>IF($AU$5=TRUE,AJ63+1,"")</f>
        <v>49</v>
      </c>
      <c r="J11" s="15"/>
      <c r="K11" s="50"/>
      <c r="L11" s="265" t="str">
        <f>Games!O55</f>
        <v>Bucknell</v>
      </c>
      <c r="M11" s="259" t="e" vm="65">
        <f>_xlfn.XLOOKUP(L11,Teams!$C:$C,Teams!$E:$E,,0,1)</f>
        <v>#VALUE!</v>
      </c>
      <c r="N11" s="251">
        <f>Games!L64</f>
        <v>1</v>
      </c>
      <c r="O11" s="25"/>
      <c r="P11" s="25"/>
      <c r="R11" s="25"/>
      <c r="S11" s="25"/>
      <c r="T11" s="282" t="e" vm="65">
        <f>_xlfn.XLOOKUP(S32,Teams!$C:$C,Teams!$E:$E,,0,1)</f>
        <v>#VALUE!</v>
      </c>
      <c r="U11" s="283"/>
      <c r="V11" s="284"/>
      <c r="W11" s="25"/>
      <c r="X11" s="25"/>
      <c r="AA11" s="25"/>
      <c r="AB11" s="251">
        <f>Games!L66</f>
        <v>0.83</v>
      </c>
      <c r="AC11" s="249" t="e" vm="97">
        <f>_xlfn.XLOOKUP(AD11,Teams!$C:$C,Teams!$E:$E,,0,1)</f>
        <v>#VALUE!</v>
      </c>
      <c r="AD11" s="256" t="str">
        <f>Games!O59</f>
        <v>Abilene Christian</v>
      </c>
      <c r="AE11" s="56"/>
      <c r="AG11" s="255">
        <f>IF($AU$5=TRUE,I59+1,"")</f>
        <v>53</v>
      </c>
      <c r="AJ11" s="24"/>
      <c r="AK11" s="59">
        <f>Games!N22</f>
        <v>0.45</v>
      </c>
      <c r="AL11" s="46" t="e" vm="100">
        <f>_xlfn.XLOOKUP(AM11,Teams!$C:$C,Teams!$E:$E,,0,1)</f>
        <v>#VALUE!</v>
      </c>
      <c r="AM11" s="37" t="str">
        <f>Games!I22</f>
        <v>Alabama</v>
      </c>
      <c r="AN11" s="27">
        <v>9</v>
      </c>
      <c r="AO11" s="277"/>
      <c r="AQ11" s="275"/>
    </row>
    <row r="12" spans="1:47" ht="10.5" customHeight="1" thickBot="1" x14ac:dyDescent="0.35">
      <c r="A12" s="16"/>
      <c r="B12" s="28"/>
      <c r="C12" s="38"/>
      <c r="D12" s="71"/>
      <c r="F12" s="24"/>
      <c r="G12" s="24"/>
      <c r="I12" s="255"/>
      <c r="J12" s="15"/>
      <c r="K12" s="50"/>
      <c r="L12" s="266"/>
      <c r="M12" s="260"/>
      <c r="N12" s="252"/>
      <c r="O12" s="25"/>
      <c r="P12" s="25"/>
      <c r="R12" s="25"/>
      <c r="S12" s="25"/>
      <c r="T12" s="285"/>
      <c r="U12" s="286"/>
      <c r="V12" s="287"/>
      <c r="W12" s="25"/>
      <c r="X12" s="25"/>
      <c r="AA12" s="25"/>
      <c r="AB12" s="252"/>
      <c r="AC12" s="250"/>
      <c r="AD12" s="257"/>
      <c r="AE12" s="56"/>
      <c r="AG12" s="255"/>
      <c r="AJ12" s="24"/>
      <c r="AM12" s="39"/>
      <c r="AN12" s="28"/>
      <c r="AO12" s="17"/>
    </row>
    <row r="13" spans="1:47" ht="18.600000000000001" customHeight="1" thickBot="1" x14ac:dyDescent="0.35">
      <c r="A13" s="16"/>
      <c r="B13" s="27">
        <v>5</v>
      </c>
      <c r="C13" s="36" t="str">
        <f>Games!G7</f>
        <v>Cal State Bakersfield</v>
      </c>
      <c r="D13" s="70" t="e" vm="69">
        <f>_xlfn.XLOOKUP(C13,Teams!$C:$C,Teams!$E:$E,,0,1)</f>
        <v>#VALUE!</v>
      </c>
      <c r="E13" s="46">
        <f>Games!L7</f>
        <v>0.75</v>
      </c>
      <c r="F13" s="256" t="str">
        <f>Games!O7</f>
        <v>Cal State Bakersfield</v>
      </c>
      <c r="G13" s="259" t="e" vm="69">
        <f>_xlfn.XLOOKUP(F13,Teams!$C:$C,Teams!$E:$E,,0,1)</f>
        <v>#VALUE!</v>
      </c>
      <c r="H13" s="251">
        <f>Games!L39</f>
        <v>0.82</v>
      </c>
      <c r="I13" s="24"/>
      <c r="J13" s="24"/>
      <c r="K13" s="50"/>
      <c r="L13" s="25"/>
      <c r="M13" s="25"/>
      <c r="N13" s="49"/>
      <c r="O13" s="25"/>
      <c r="P13" s="25"/>
      <c r="R13" s="25"/>
      <c r="S13" s="25"/>
      <c r="T13" s="285"/>
      <c r="U13" s="286"/>
      <c r="V13" s="287"/>
      <c r="W13" s="25"/>
      <c r="X13" s="25"/>
      <c r="AA13" s="25"/>
      <c r="AB13" s="55"/>
      <c r="AD13" s="25"/>
      <c r="AE13" s="56"/>
      <c r="AG13" s="24"/>
      <c r="AH13" s="251">
        <f>Games!L47</f>
        <v>0.85</v>
      </c>
      <c r="AI13" s="249" t="e" vm="101">
        <f>_xlfn.XLOOKUP(AJ13,Teams!$C:$C,Teams!$E:$E,,0,1)</f>
        <v>#VALUE!</v>
      </c>
      <c r="AJ13" s="256" t="str">
        <f>Games!O23</f>
        <v>Alabama A&amp;M</v>
      </c>
      <c r="AK13" s="58">
        <f>Games!L23</f>
        <v>0.86</v>
      </c>
      <c r="AL13" s="46" t="e" vm="101">
        <f>_xlfn.XLOOKUP(AM13,Teams!$C:$C,Teams!$E:$E,,0,1)</f>
        <v>#VALUE!</v>
      </c>
      <c r="AM13" s="37" t="str">
        <f>Games!G23</f>
        <v>Alabama A&amp;M</v>
      </c>
      <c r="AN13" s="27">
        <v>5</v>
      </c>
      <c r="AO13" s="17"/>
      <c r="AQ13" s="9"/>
    </row>
    <row r="14" spans="1:47" ht="10.5" customHeight="1" thickBot="1" x14ac:dyDescent="0.35">
      <c r="A14" s="255">
        <f>IF($AU$5=TRUE,A10+1,"")</f>
        <v>3</v>
      </c>
      <c r="B14" s="28"/>
      <c r="C14" s="38"/>
      <c r="D14" s="71"/>
      <c r="E14" s="49"/>
      <c r="F14" s="257"/>
      <c r="G14" s="260"/>
      <c r="H14" s="252"/>
      <c r="I14" s="24"/>
      <c r="J14" s="24"/>
      <c r="K14" s="50"/>
      <c r="L14" s="25"/>
      <c r="M14" s="25"/>
      <c r="N14" s="50"/>
      <c r="O14" s="25"/>
      <c r="P14" s="25"/>
      <c r="R14" s="25"/>
      <c r="S14" s="25"/>
      <c r="T14" s="285"/>
      <c r="U14" s="286"/>
      <c r="V14" s="287"/>
      <c r="W14" s="25"/>
      <c r="X14" s="25"/>
      <c r="AA14" s="25"/>
      <c r="AB14" s="56"/>
      <c r="AD14" s="25"/>
      <c r="AE14" s="56"/>
      <c r="AG14" s="24"/>
      <c r="AH14" s="252"/>
      <c r="AI14" s="250"/>
      <c r="AJ14" s="257"/>
      <c r="AK14" s="55"/>
      <c r="AM14" s="39"/>
      <c r="AN14" s="28"/>
      <c r="AO14" s="277">
        <f>IF($AU$5=TRUE,AO10+1,"")</f>
        <v>19</v>
      </c>
      <c r="AQ14" s="275"/>
    </row>
    <row r="15" spans="1:47" ht="13.8" customHeight="1" thickBot="1" x14ac:dyDescent="0.35">
      <c r="A15" s="255"/>
      <c r="B15" s="27">
        <v>12</v>
      </c>
      <c r="C15" s="36" t="str">
        <f>Games!I7</f>
        <v>Cal State Fullerton</v>
      </c>
      <c r="D15" s="70" t="e" vm="70">
        <f>_xlfn.XLOOKUP(C15,Teams!$C:$C,Teams!$E:$E,,0,1)</f>
        <v>#VALUE!</v>
      </c>
      <c r="E15" s="48">
        <f>Games!N7</f>
        <v>0.25</v>
      </c>
      <c r="F15" s="276">
        <f>IF($AU$5=TRUE,F7+1,"")</f>
        <v>34</v>
      </c>
      <c r="G15" s="14"/>
      <c r="H15" s="49"/>
      <c r="I15" s="265" t="str">
        <f>Games!O39</f>
        <v>Cal State Bakersfield</v>
      </c>
      <c r="J15" s="259" t="e" vm="69">
        <f>_xlfn.XLOOKUP(I15,Teams!$C:$C,Teams!$E:$E,,0,1)</f>
        <v>#VALUE!</v>
      </c>
      <c r="K15" s="261">
        <f>Games!N55</f>
        <v>0.27</v>
      </c>
      <c r="L15" s="25"/>
      <c r="M15" s="25"/>
      <c r="N15" s="50"/>
      <c r="O15" s="25"/>
      <c r="P15" s="25"/>
      <c r="R15" s="25"/>
      <c r="S15" s="25"/>
      <c r="T15" s="285"/>
      <c r="U15" s="286"/>
      <c r="V15" s="287"/>
      <c r="W15" s="25"/>
      <c r="X15" s="25"/>
      <c r="AA15" s="25"/>
      <c r="AB15" s="56"/>
      <c r="AD15" s="25"/>
      <c r="AE15" s="253">
        <f>Games!N59</f>
        <v>0.42</v>
      </c>
      <c r="AF15" s="249" t="e" vm="101">
        <f>_xlfn.XLOOKUP(AG15,Teams!$C:$C,Teams!$E:$E,,0,1)</f>
        <v>#VALUE!</v>
      </c>
      <c r="AG15" s="256" t="str">
        <f>Games!O47</f>
        <v>Alabama A&amp;M</v>
      </c>
      <c r="AH15" s="55"/>
      <c r="AI15" s="51"/>
      <c r="AJ15" s="276">
        <f>IF($AU$5=TRUE,AJ7+1,"")</f>
        <v>42</v>
      </c>
      <c r="AK15" s="59">
        <f>Games!N23</f>
        <v>0.14000000000000001</v>
      </c>
      <c r="AL15" s="46" t="e" vm="102">
        <f>_xlfn.XLOOKUP(AM15,Teams!$C:$C,Teams!$E:$E,,0,1)</f>
        <v>#VALUE!</v>
      </c>
      <c r="AM15" s="37" t="str">
        <f>Games!I23</f>
        <v>Alabama State</v>
      </c>
      <c r="AN15" s="27">
        <v>12</v>
      </c>
      <c r="AO15" s="277"/>
      <c r="AQ15" s="275"/>
    </row>
    <row r="16" spans="1:47" ht="10.5" customHeight="1" thickBot="1" x14ac:dyDescent="0.35">
      <c r="A16" s="16"/>
      <c r="B16" s="28"/>
      <c r="C16" s="38"/>
      <c r="D16" s="71"/>
      <c r="F16" s="255"/>
      <c r="G16" s="15"/>
      <c r="H16" s="50"/>
      <c r="I16" s="266"/>
      <c r="J16" s="260"/>
      <c r="K16" s="262"/>
      <c r="L16" s="25"/>
      <c r="M16" s="25"/>
      <c r="N16" s="50"/>
      <c r="O16" s="25"/>
      <c r="P16" s="25"/>
      <c r="R16" s="25"/>
      <c r="S16" s="25"/>
      <c r="T16" s="285"/>
      <c r="U16" s="286"/>
      <c r="V16" s="287"/>
      <c r="W16" s="25"/>
      <c r="X16" s="25"/>
      <c r="AA16" s="25"/>
      <c r="AB16" s="56"/>
      <c r="AD16" s="25"/>
      <c r="AE16" s="254"/>
      <c r="AF16" s="250"/>
      <c r="AG16" s="257"/>
      <c r="AH16" s="56"/>
      <c r="AJ16" s="255"/>
      <c r="AM16" s="39"/>
      <c r="AN16" s="28"/>
      <c r="AO16" s="17"/>
      <c r="AQ16" s="275"/>
    </row>
    <row r="17" spans="1:43" ht="18.600000000000001" customHeight="1" thickBot="1" x14ac:dyDescent="0.35">
      <c r="A17" s="16"/>
      <c r="B17" s="27">
        <v>4</v>
      </c>
      <c r="C17" s="36" t="str">
        <f>Games!G8</f>
        <v>Cal State Northridge</v>
      </c>
      <c r="D17" s="70" t="e" vm="71">
        <f>_xlfn.XLOOKUP(C17,Teams!$C:$C,Teams!$E:$E,,0,1)</f>
        <v>#VALUE!</v>
      </c>
      <c r="E17" s="46">
        <f>Games!L8</f>
        <v>0.89</v>
      </c>
      <c r="F17" s="256" t="str">
        <f>Games!O8</f>
        <v>Cal State Northridge</v>
      </c>
      <c r="G17" s="259" t="e" vm="71">
        <f>_xlfn.XLOOKUP(F17,Teams!$C:$C,Teams!$E:$E,,0,1)</f>
        <v>#VALUE!</v>
      </c>
      <c r="H17" s="261">
        <f>Games!N39</f>
        <v>0.18</v>
      </c>
      <c r="I17" s="24"/>
      <c r="J17" s="24"/>
      <c r="L17" s="25"/>
      <c r="M17" s="25"/>
      <c r="N17" s="50"/>
      <c r="O17" s="25"/>
      <c r="P17" s="25"/>
      <c r="R17" s="25"/>
      <c r="S17" s="25"/>
      <c r="T17" s="285"/>
      <c r="U17" s="286"/>
      <c r="V17" s="287"/>
      <c r="W17" s="25"/>
      <c r="X17" s="25"/>
      <c r="AA17" s="25"/>
      <c r="AB17" s="56"/>
      <c r="AD17" s="25"/>
      <c r="AG17" s="24"/>
      <c r="AH17" s="253">
        <f>Games!N47</f>
        <v>0.15</v>
      </c>
      <c r="AI17" s="249" t="e" vm="104">
        <f>_xlfn.XLOOKUP(AJ17,Teams!$C:$C,Teams!$E:$E,,0,1)</f>
        <v>#VALUE!</v>
      </c>
      <c r="AJ17" s="256" t="str">
        <f>Games!O24</f>
        <v>Alcorn State</v>
      </c>
      <c r="AK17" s="58">
        <f>Games!L24</f>
        <v>0.5</v>
      </c>
      <c r="AL17" s="46" t="e" vm="103">
        <f>_xlfn.XLOOKUP(AM17,Teams!$C:$C,Teams!$E:$E,,0,1)</f>
        <v>#VALUE!</v>
      </c>
      <c r="AM17" s="37" t="str">
        <f>Games!G24</f>
        <v>Albany (NY)</v>
      </c>
      <c r="AN17" s="27">
        <v>4</v>
      </c>
      <c r="AO17" s="17"/>
      <c r="AQ17" s="275"/>
    </row>
    <row r="18" spans="1:43" ht="10.5" customHeight="1" thickBot="1" x14ac:dyDescent="0.35">
      <c r="A18" s="255">
        <f>IF($AU$5=TRUE,A14+1,"")</f>
        <v>4</v>
      </c>
      <c r="B18" s="28"/>
      <c r="C18" s="38"/>
      <c r="D18" s="71"/>
      <c r="E18" s="49"/>
      <c r="F18" s="257"/>
      <c r="G18" s="260"/>
      <c r="H18" s="262"/>
      <c r="I18" s="24"/>
      <c r="J18" s="24"/>
      <c r="L18" s="25"/>
      <c r="M18" s="25"/>
      <c r="N18" s="50"/>
      <c r="O18" s="25"/>
      <c r="P18" s="25"/>
      <c r="R18" s="25"/>
      <c r="S18" s="25"/>
      <c r="T18" s="285"/>
      <c r="U18" s="286"/>
      <c r="V18" s="287"/>
      <c r="W18" s="25"/>
      <c r="X18" s="25"/>
      <c r="AA18" s="25"/>
      <c r="AB18" s="56"/>
      <c r="AD18" s="25"/>
      <c r="AG18" s="24"/>
      <c r="AH18" s="254"/>
      <c r="AI18" s="250"/>
      <c r="AJ18" s="257"/>
      <c r="AK18" s="55"/>
      <c r="AM18" s="39"/>
      <c r="AN18" s="28"/>
      <c r="AO18" s="277">
        <f>IF($AU$5=TRUE,AO14+1,"")</f>
        <v>20</v>
      </c>
      <c r="AQ18" s="275"/>
    </row>
    <row r="19" spans="1:43" ht="13.8" customHeight="1" thickBot="1" x14ac:dyDescent="0.45">
      <c r="A19" s="255"/>
      <c r="B19" s="27">
        <v>13</v>
      </c>
      <c r="C19" s="36" t="str">
        <f>Games!I8</f>
        <v>California</v>
      </c>
      <c r="D19" s="70" t="e" vm="72">
        <f>_xlfn.XLOOKUP(C19,Teams!$C:$C,Teams!$E:$E,,0,1)</f>
        <v>#VALUE!</v>
      </c>
      <c r="E19" s="48">
        <f>Games!N8</f>
        <v>0.11</v>
      </c>
      <c r="F19" s="24"/>
      <c r="G19" s="24"/>
      <c r="I19" s="24"/>
      <c r="J19" s="24"/>
      <c r="K19" s="258" t="s">
        <v>15</v>
      </c>
      <c r="L19" s="258"/>
      <c r="M19" s="20"/>
      <c r="N19" s="50"/>
      <c r="O19" s="265" t="str">
        <f>Games!O64</f>
        <v>Bucknell</v>
      </c>
      <c r="P19" s="259" t="e" vm="65">
        <f>_xlfn.XLOOKUP(O19,Teams!$C:$C,Teams!$E:$E,,0,1)</f>
        <v>#VALUE!</v>
      </c>
      <c r="Q19" s="251">
        <f>Games!L69</f>
        <v>0.62</v>
      </c>
      <c r="R19" s="25"/>
      <c r="S19" s="25"/>
      <c r="T19" s="288"/>
      <c r="U19" s="289"/>
      <c r="V19" s="290"/>
      <c r="W19" s="25"/>
      <c r="X19" s="25"/>
      <c r="Y19" s="251">
        <f>Games!L70</f>
        <v>0.57999999999999996</v>
      </c>
      <c r="Z19" s="249" t="e" vm="97">
        <f>_xlfn.XLOOKUP(AA19,Teams!$C:$C,Teams!$E:$E,,0,1)</f>
        <v>#VALUE!</v>
      </c>
      <c r="AA19" s="256" t="str">
        <f>Games!O66</f>
        <v>Abilene Christian</v>
      </c>
      <c r="AB19" s="56"/>
      <c r="AD19" s="258" t="s">
        <v>3</v>
      </c>
      <c r="AE19" s="258"/>
      <c r="AF19" s="20"/>
      <c r="AG19" s="24"/>
      <c r="AJ19" s="24"/>
      <c r="AK19" s="59">
        <f>Games!N24</f>
        <v>0.5</v>
      </c>
      <c r="AL19" s="46" t="e" vm="104">
        <f>_xlfn.XLOOKUP(AM19,Teams!$C:$C,Teams!$E:$E,,0,1)</f>
        <v>#VALUE!</v>
      </c>
      <c r="AM19" s="37" t="str">
        <f>Games!I24</f>
        <v>Alcorn State</v>
      </c>
      <c r="AN19" s="27">
        <v>13</v>
      </c>
      <c r="AO19" s="277"/>
      <c r="AQ19" s="275"/>
    </row>
    <row r="20" spans="1:43" ht="10.5" customHeight="1" thickBot="1" x14ac:dyDescent="0.45">
      <c r="A20" s="16"/>
      <c r="B20" s="28"/>
      <c r="C20" s="38"/>
      <c r="D20" s="71"/>
      <c r="F20" s="24"/>
      <c r="G20" s="24"/>
      <c r="I20" s="24"/>
      <c r="J20" s="24"/>
      <c r="K20" s="258"/>
      <c r="L20" s="258"/>
      <c r="M20" s="20"/>
      <c r="N20" s="50"/>
      <c r="O20" s="266"/>
      <c r="P20" s="260"/>
      <c r="Q20" s="252"/>
      <c r="R20" s="25"/>
      <c r="S20" s="25"/>
      <c r="T20" s="25"/>
      <c r="U20" s="75"/>
      <c r="V20" s="25"/>
      <c r="W20" s="25"/>
      <c r="X20" s="25"/>
      <c r="Y20" s="252"/>
      <c r="Z20" s="250"/>
      <c r="AA20" s="257"/>
      <c r="AB20" s="56"/>
      <c r="AD20" s="258"/>
      <c r="AE20" s="258"/>
      <c r="AF20" s="20"/>
      <c r="AG20" s="24"/>
      <c r="AJ20" s="24"/>
      <c r="AM20" s="39"/>
      <c r="AN20" s="28"/>
      <c r="AO20" s="17"/>
      <c r="AQ20" s="10"/>
    </row>
    <row r="21" spans="1:43" ht="18.600000000000001" customHeight="1" thickBot="1" x14ac:dyDescent="0.35">
      <c r="A21" s="255">
        <f>IF($AU$5=TRUE,A18+1,"")</f>
        <v>5</v>
      </c>
      <c r="B21" s="27">
        <v>6</v>
      </c>
      <c r="C21" s="36" t="str">
        <f>Games!G9</f>
        <v>California Baptist</v>
      </c>
      <c r="D21" s="70" t="e" vm="73">
        <f>_xlfn.XLOOKUP(C21,Teams!$C:$C,Teams!$E:$E,,0,1)</f>
        <v>#VALUE!</v>
      </c>
      <c r="E21" s="46">
        <f>Games!L9</f>
        <v>1</v>
      </c>
      <c r="F21" s="256" t="str">
        <f>Games!O9</f>
        <v>California Baptist</v>
      </c>
      <c r="G21" s="259" t="e" vm="73">
        <f>_xlfn.XLOOKUP(F21,Teams!$C:$C,Teams!$E:$E,,0,1)</f>
        <v>#VALUE!</v>
      </c>
      <c r="H21" s="251">
        <f>Games!L40</f>
        <v>0.9</v>
      </c>
      <c r="I21" s="24"/>
      <c r="J21" s="24"/>
      <c r="L21" s="18">
        <f>IF($AU$5=TRUE,AG59+1,"")</f>
        <v>57</v>
      </c>
      <c r="M21" s="18"/>
      <c r="N21" s="50"/>
      <c r="O21" s="25"/>
      <c r="P21" s="25"/>
      <c r="Q21" s="49"/>
      <c r="R21" s="25"/>
      <c r="S21" s="25"/>
      <c r="T21" s="25"/>
      <c r="U21" s="75"/>
      <c r="V21" s="25"/>
      <c r="W21" s="25"/>
      <c r="X21" s="25"/>
      <c r="Y21" s="55"/>
      <c r="AA21" s="25"/>
      <c r="AB21" s="56"/>
      <c r="AD21" s="16">
        <f>IF($AU$5=TRUE,L53+1,"")</f>
        <v>59</v>
      </c>
      <c r="AG21" s="24"/>
      <c r="AH21" s="251">
        <f>Games!L48</f>
        <v>0.99</v>
      </c>
      <c r="AI21" s="249" t="e" vm="105">
        <f>_xlfn.XLOOKUP(AJ21,Teams!$C:$C,Teams!$E:$E,,0,1)</f>
        <v>#VALUE!</v>
      </c>
      <c r="AJ21" s="256" t="str">
        <f>Games!O25</f>
        <v>American</v>
      </c>
      <c r="AK21" s="58">
        <f>Games!L25</f>
        <v>0.56999999999999995</v>
      </c>
      <c r="AL21" s="46" t="e" vm="105">
        <f>_xlfn.XLOOKUP(AM21,Teams!$C:$C,Teams!$E:$E,,0,1)</f>
        <v>#VALUE!</v>
      </c>
      <c r="AM21" s="37" t="str">
        <f>Games!G25</f>
        <v>American</v>
      </c>
      <c r="AN21" s="27">
        <v>6</v>
      </c>
      <c r="AO21" s="17"/>
      <c r="AQ21" s="9"/>
    </row>
    <row r="22" spans="1:43" ht="10.5" customHeight="1" thickBot="1" x14ac:dyDescent="0.35">
      <c r="A22" s="255"/>
      <c r="B22" s="28"/>
      <c r="C22" s="38"/>
      <c r="D22" s="71"/>
      <c r="E22" s="49"/>
      <c r="F22" s="257"/>
      <c r="G22" s="260"/>
      <c r="H22" s="252"/>
      <c r="I22" s="24"/>
      <c r="J22" s="24"/>
      <c r="L22" s="25"/>
      <c r="M22" s="25"/>
      <c r="N22" s="50"/>
      <c r="O22" s="25"/>
      <c r="P22" s="25"/>
      <c r="Q22" s="50"/>
      <c r="R22" s="25"/>
      <c r="S22" s="25"/>
      <c r="T22" s="25"/>
      <c r="U22" s="75"/>
      <c r="V22" s="25"/>
      <c r="W22" s="25"/>
      <c r="X22" s="25"/>
      <c r="Y22" s="56"/>
      <c r="AA22" s="25"/>
      <c r="AB22" s="56"/>
      <c r="AD22" s="29"/>
      <c r="AG22" s="24"/>
      <c r="AH22" s="252"/>
      <c r="AI22" s="250"/>
      <c r="AJ22" s="257"/>
      <c r="AK22" s="55"/>
      <c r="AM22" s="39"/>
      <c r="AN22" s="28"/>
      <c r="AO22" s="277">
        <f>IF($AU$5=TRUE,AO18+1,"")</f>
        <v>21</v>
      </c>
      <c r="AQ22" s="275"/>
    </row>
    <row r="23" spans="1:43" ht="13.8" customHeight="1" thickBot="1" x14ac:dyDescent="0.35">
      <c r="A23" s="16"/>
      <c r="B23" s="27">
        <v>11</v>
      </c>
      <c r="C23" s="40" t="str">
        <f>Games!I9</f>
        <v>Campbell</v>
      </c>
      <c r="D23" s="70" t="e" vm="74">
        <f>_xlfn.XLOOKUP(C23,Teams!$C:$C,Teams!$E:$E,,0,1)</f>
        <v>#VALUE!</v>
      </c>
      <c r="E23" s="48">
        <f>Games!N9</f>
        <v>0</v>
      </c>
      <c r="F23" s="276">
        <f>IF($AU$5=TRUE,F15+1,"")</f>
        <v>35</v>
      </c>
      <c r="G23" s="14"/>
      <c r="H23" s="49"/>
      <c r="I23" s="265" t="str">
        <f>Games!O40</f>
        <v>California Baptist</v>
      </c>
      <c r="J23" s="259" t="e" vm="73">
        <f>_xlfn.XLOOKUP(I23,Teams!$C:$C,Teams!$E:$E,,0,1)</f>
        <v>#VALUE!</v>
      </c>
      <c r="K23" s="251">
        <f>Games!L56</f>
        <v>0.75</v>
      </c>
      <c r="L23" s="25"/>
      <c r="M23" s="25"/>
      <c r="N23" s="50"/>
      <c r="O23" s="25"/>
      <c r="P23" s="25"/>
      <c r="Q23" s="50"/>
      <c r="R23" s="25"/>
      <c r="S23" s="25"/>
      <c r="T23" s="25"/>
      <c r="U23" s="75"/>
      <c r="V23" s="25"/>
      <c r="W23" s="25"/>
      <c r="X23" s="25"/>
      <c r="Y23" s="56"/>
      <c r="AA23" s="25"/>
      <c r="AB23" s="56"/>
      <c r="AD23" s="25"/>
      <c r="AE23" s="251">
        <f>Games!L60</f>
        <v>0.91</v>
      </c>
      <c r="AF23" s="249" t="e" vm="105">
        <f>_xlfn.XLOOKUP(AG23,Teams!$C:$C,Teams!$E:$E,,0,1)</f>
        <v>#VALUE!</v>
      </c>
      <c r="AG23" s="256" t="str">
        <f>Games!O48</f>
        <v>American</v>
      </c>
      <c r="AH23" s="55"/>
      <c r="AI23" s="51"/>
      <c r="AJ23" s="276">
        <f>IF($AU$5=TRUE,AJ15+1,"")</f>
        <v>43</v>
      </c>
      <c r="AK23" s="59">
        <f>Games!N25</f>
        <v>0.43</v>
      </c>
      <c r="AL23" s="46" t="e" vm="106">
        <f>_xlfn.XLOOKUP(AM23,Teams!$C:$C,Teams!$E:$E,,0,1)</f>
        <v>#VALUE!</v>
      </c>
      <c r="AM23" s="37" t="str">
        <f>Games!I25</f>
        <v>Appalachian State</v>
      </c>
      <c r="AN23" s="27">
        <v>11</v>
      </c>
      <c r="AO23" s="277"/>
      <c r="AQ23" s="275"/>
    </row>
    <row r="24" spans="1:43" ht="10.5" customHeight="1" thickBot="1" x14ac:dyDescent="0.35">
      <c r="A24" s="16"/>
      <c r="B24" s="28"/>
      <c r="C24" s="38"/>
      <c r="D24" s="71"/>
      <c r="F24" s="255"/>
      <c r="G24" s="15"/>
      <c r="H24" s="50"/>
      <c r="I24" s="266"/>
      <c r="J24" s="260"/>
      <c r="K24" s="252"/>
      <c r="L24" s="25"/>
      <c r="M24" s="25"/>
      <c r="N24" s="50"/>
      <c r="O24" s="25"/>
      <c r="P24" s="25"/>
      <c r="Q24" s="50"/>
      <c r="R24" s="25"/>
      <c r="S24" s="25"/>
      <c r="T24" s="25"/>
      <c r="U24" s="75"/>
      <c r="V24" s="25"/>
      <c r="W24" s="25"/>
      <c r="X24" s="25"/>
      <c r="Y24" s="56"/>
      <c r="AA24" s="25"/>
      <c r="AB24" s="56"/>
      <c r="AD24" s="25"/>
      <c r="AE24" s="252"/>
      <c r="AF24" s="250"/>
      <c r="AG24" s="257"/>
      <c r="AH24" s="56"/>
      <c r="AJ24" s="255"/>
      <c r="AM24" s="39"/>
      <c r="AN24" s="28"/>
      <c r="AO24" s="17"/>
      <c r="AQ24" s="275"/>
    </row>
    <row r="25" spans="1:43" ht="18.600000000000001" customHeight="1" thickBot="1" x14ac:dyDescent="0.35">
      <c r="A25" s="16"/>
      <c r="B25" s="27">
        <v>3</v>
      </c>
      <c r="C25" s="36" t="str">
        <f>Games!G10</f>
        <v>Canisius</v>
      </c>
      <c r="D25" s="70" t="e" vm="75">
        <f>_xlfn.XLOOKUP(C25,Teams!$C:$C,Teams!$E:$E,,0,1)</f>
        <v>#VALUE!</v>
      </c>
      <c r="E25" s="46">
        <f>Games!L10</f>
        <v>0.92</v>
      </c>
      <c r="F25" s="256" t="str">
        <f>Games!O10</f>
        <v>Canisius</v>
      </c>
      <c r="G25" s="259" t="e" vm="75">
        <f>_xlfn.XLOOKUP(F25,Teams!$C:$C,Teams!$E:$E,,0,1)</f>
        <v>#VALUE!</v>
      </c>
      <c r="H25" s="261">
        <f>Games!N40</f>
        <v>0.1</v>
      </c>
      <c r="I25" s="24"/>
      <c r="J25" s="24"/>
      <c r="K25" s="49"/>
      <c r="L25" s="25"/>
      <c r="M25" s="25"/>
      <c r="N25" s="50"/>
      <c r="O25" s="25"/>
      <c r="P25" s="25"/>
      <c r="Q25" s="50"/>
      <c r="R25" s="25"/>
      <c r="S25" s="25"/>
      <c r="T25" s="25"/>
      <c r="U25" s="75"/>
      <c r="V25" s="25"/>
      <c r="W25" s="25"/>
      <c r="X25" s="25"/>
      <c r="Y25" s="56"/>
      <c r="AA25" s="25"/>
      <c r="AB25" s="56"/>
      <c r="AD25" s="25"/>
      <c r="AE25" s="55"/>
      <c r="AG25" s="24"/>
      <c r="AH25" s="253">
        <f>Games!N48</f>
        <v>0.01</v>
      </c>
      <c r="AI25" s="249" t="e" vm="107">
        <f>_xlfn.XLOOKUP(AJ25,Teams!$C:$C,Teams!$E:$E,,0,1)</f>
        <v>#VALUE!</v>
      </c>
      <c r="AJ25" s="256" t="str">
        <f>Games!O26</f>
        <v>Arizona</v>
      </c>
      <c r="AK25" s="58">
        <f>Games!L26</f>
        <v>0.97</v>
      </c>
      <c r="AL25" s="46" t="e" vm="107">
        <f>_xlfn.XLOOKUP(AM25,Teams!$C:$C,Teams!$E:$E,,0,1)</f>
        <v>#VALUE!</v>
      </c>
      <c r="AM25" s="37" t="str">
        <f>Games!G26</f>
        <v>Arizona</v>
      </c>
      <c r="AN25" s="27">
        <v>3</v>
      </c>
      <c r="AO25" s="17"/>
      <c r="AQ25" s="275"/>
    </row>
    <row r="26" spans="1:43" ht="10.5" customHeight="1" thickBot="1" x14ac:dyDescent="0.35">
      <c r="A26" s="255">
        <f>IF($AU$5=TRUE,A21+1,"")</f>
        <v>6</v>
      </c>
      <c r="B26" s="28"/>
      <c r="C26" s="38"/>
      <c r="D26" s="71"/>
      <c r="E26" s="49"/>
      <c r="F26" s="257"/>
      <c r="G26" s="260"/>
      <c r="H26" s="262"/>
      <c r="I26" s="24"/>
      <c r="J26" s="24"/>
      <c r="K26" s="50"/>
      <c r="L26" s="25"/>
      <c r="M26" s="25"/>
      <c r="N26" s="50"/>
      <c r="O26" s="25"/>
      <c r="P26" s="25"/>
      <c r="Q26" s="50"/>
      <c r="R26" s="25"/>
      <c r="S26" s="25"/>
      <c r="T26" s="53"/>
      <c r="U26" s="76"/>
      <c r="V26" s="53"/>
      <c r="W26" s="25"/>
      <c r="X26" s="25"/>
      <c r="Y26" s="56"/>
      <c r="AA26" s="25"/>
      <c r="AB26" s="56"/>
      <c r="AD26" s="25"/>
      <c r="AE26" s="56"/>
      <c r="AG26" s="24"/>
      <c r="AH26" s="254"/>
      <c r="AI26" s="250"/>
      <c r="AJ26" s="257"/>
      <c r="AK26" s="55"/>
      <c r="AM26" s="39"/>
      <c r="AN26" s="28"/>
      <c r="AO26" s="277">
        <f>IF($AU$5=TRUE,AO22+1,"")</f>
        <v>22</v>
      </c>
      <c r="AQ26" s="275"/>
    </row>
    <row r="27" spans="1:43" ht="13.8" customHeight="1" thickBot="1" x14ac:dyDescent="0.35">
      <c r="A27" s="255"/>
      <c r="B27" s="27">
        <v>14</v>
      </c>
      <c r="C27" s="36" t="str">
        <f>Games!I10</f>
        <v>Central Arkansas</v>
      </c>
      <c r="D27" s="70" t="e" vm="76">
        <f>_xlfn.XLOOKUP(C27,Teams!$C:$C,Teams!$E:$E,,0,1)</f>
        <v>#VALUE!</v>
      </c>
      <c r="E27" s="48">
        <f>Games!N10</f>
        <v>0.08</v>
      </c>
      <c r="F27" s="24"/>
      <c r="G27" s="24"/>
      <c r="I27" s="255">
        <f>IF($AU$5=TRUE,I11+1,"")</f>
        <v>50</v>
      </c>
      <c r="J27" s="15"/>
      <c r="K27" s="50"/>
      <c r="L27" s="265" t="str">
        <f>Games!O56</f>
        <v>California Baptist</v>
      </c>
      <c r="M27" s="259" t="e" vm="73">
        <f>_xlfn.XLOOKUP(L27,Teams!$C:$C,Teams!$E:$E,,0,1)</f>
        <v>#VALUE!</v>
      </c>
      <c r="N27" s="261">
        <f>Games!N64</f>
        <v>0</v>
      </c>
      <c r="O27" s="25"/>
      <c r="P27" s="25"/>
      <c r="Q27" s="50"/>
      <c r="R27" s="265" t="str">
        <f>Games!O69</f>
        <v>Bucknell</v>
      </c>
      <c r="S27" s="256"/>
      <c r="T27" s="256"/>
      <c r="U27" s="271" t="e" vm="65">
        <f>_xlfn.XLOOKUP(R27,Teams!$C:$C,Teams!$E:$E,,0,1)</f>
        <v>#VALUE!</v>
      </c>
      <c r="V27" s="273">
        <f>Games!L72</f>
        <v>0.53</v>
      </c>
      <c r="W27" s="24"/>
      <c r="X27" s="25"/>
      <c r="Y27" s="56"/>
      <c r="AA27" s="25"/>
      <c r="AB27" s="253">
        <f>Games!N66</f>
        <v>0.17</v>
      </c>
      <c r="AC27" s="249" t="e" vm="105">
        <f>_xlfn.XLOOKUP(AD27,Teams!$C:$C,Teams!$E:$E,,0,1)</f>
        <v>#VALUE!</v>
      </c>
      <c r="AD27" s="256" t="str">
        <f>Games!O60</f>
        <v>American</v>
      </c>
      <c r="AE27" s="56"/>
      <c r="AG27" s="255">
        <f>IF($AU$5=TRUE,AG11+1,"")</f>
        <v>54</v>
      </c>
      <c r="AJ27" s="24"/>
      <c r="AK27" s="59">
        <f>Games!N26</f>
        <v>0.03</v>
      </c>
      <c r="AL27" s="46" t="e" vm="108">
        <f>_xlfn.XLOOKUP(AM27,Teams!$C:$C,Teams!$E:$E,,0,1)</f>
        <v>#VALUE!</v>
      </c>
      <c r="AM27" s="37" t="str">
        <f>Games!I26</f>
        <v>Arizona State</v>
      </c>
      <c r="AN27" s="27">
        <v>14</v>
      </c>
      <c r="AO27" s="277"/>
      <c r="AQ27" s="275"/>
    </row>
    <row r="28" spans="1:43" ht="10.5" customHeight="1" thickBot="1" x14ac:dyDescent="0.35">
      <c r="A28" s="16"/>
      <c r="B28" s="28"/>
      <c r="C28" s="38"/>
      <c r="D28" s="71"/>
      <c r="F28" s="24"/>
      <c r="G28" s="24"/>
      <c r="I28" s="255"/>
      <c r="J28" s="15"/>
      <c r="K28" s="50"/>
      <c r="L28" s="266"/>
      <c r="M28" s="260"/>
      <c r="N28" s="262"/>
      <c r="O28" s="25"/>
      <c r="P28" s="25"/>
      <c r="Q28" s="50"/>
      <c r="R28" s="266"/>
      <c r="S28" s="257"/>
      <c r="T28" s="257"/>
      <c r="U28" s="272"/>
      <c r="V28" s="274"/>
      <c r="W28" s="24"/>
      <c r="X28" s="25"/>
      <c r="Y28" s="56"/>
      <c r="AA28" s="25"/>
      <c r="AB28" s="254"/>
      <c r="AC28" s="250"/>
      <c r="AD28" s="257"/>
      <c r="AE28" s="56"/>
      <c r="AG28" s="255"/>
      <c r="AJ28" s="24"/>
      <c r="AM28" s="39"/>
      <c r="AN28" s="28"/>
      <c r="AO28" s="17"/>
    </row>
    <row r="29" spans="1:43" ht="18.600000000000001" customHeight="1" thickBot="1" x14ac:dyDescent="0.35">
      <c r="A29" s="16"/>
      <c r="B29" s="27">
        <v>7</v>
      </c>
      <c r="C29" s="36" t="str">
        <f>Games!G11</f>
        <v>Central Connecticut State</v>
      </c>
      <c r="D29" s="70" t="e" vm="77">
        <f>_xlfn.XLOOKUP(C29,Teams!$C:$C,Teams!$E:$E,,0,1)</f>
        <v>#VALUE!</v>
      </c>
      <c r="E29" s="46">
        <f>Games!L11</f>
        <v>0.94</v>
      </c>
      <c r="F29" s="256" t="str">
        <f>Games!O11</f>
        <v>Central Connecticut State</v>
      </c>
      <c r="G29" s="259" t="e" vm="77">
        <f>_xlfn.XLOOKUP(F29,Teams!$C:$C,Teams!$E:$E,,0,1)</f>
        <v>#VALUE!</v>
      </c>
      <c r="H29" s="251">
        <f>Games!L41</f>
        <v>0.99</v>
      </c>
      <c r="I29" s="24"/>
      <c r="J29" s="24"/>
      <c r="K29" s="50"/>
      <c r="L29" s="25"/>
      <c r="M29" s="25"/>
      <c r="O29" s="25"/>
      <c r="P29" s="25"/>
      <c r="Q29" s="50"/>
      <c r="R29" s="25"/>
      <c r="S29" s="25"/>
      <c r="T29" s="53"/>
      <c r="U29" s="76"/>
      <c r="V29" s="53"/>
      <c r="W29" s="25"/>
      <c r="X29" s="25"/>
      <c r="Y29" s="56"/>
      <c r="AA29" s="25"/>
      <c r="AD29" s="25"/>
      <c r="AE29" s="56"/>
      <c r="AG29" s="24"/>
      <c r="AH29" s="251">
        <f>Games!L49</f>
        <v>0.88</v>
      </c>
      <c r="AI29" s="249" t="e" vm="109">
        <f>_xlfn.XLOOKUP(AJ29,Teams!$C:$C,Teams!$E:$E,,0,1)</f>
        <v>#VALUE!</v>
      </c>
      <c r="AJ29" s="256" t="str">
        <f>Games!O27</f>
        <v>Arkansas</v>
      </c>
      <c r="AK29" s="58">
        <f>Games!L27</f>
        <v>0.91</v>
      </c>
      <c r="AL29" s="46" t="e" vm="109">
        <f>_xlfn.XLOOKUP(AM29,Teams!$C:$C,Teams!$E:$E,,0,1)</f>
        <v>#VALUE!</v>
      </c>
      <c r="AM29" s="37" t="str">
        <f>Games!G27</f>
        <v>Arkansas</v>
      </c>
      <c r="AN29" s="27">
        <v>7</v>
      </c>
      <c r="AO29" s="17"/>
      <c r="AP29" s="11" t="s">
        <v>17</v>
      </c>
      <c r="AQ29" s="12" t="s">
        <v>16</v>
      </c>
    </row>
    <row r="30" spans="1:43" ht="10.199999999999999" customHeight="1" thickBot="1" x14ac:dyDescent="0.35">
      <c r="A30" s="255">
        <f>IF($AU$5=TRUE,A26+1,"")</f>
        <v>7</v>
      </c>
      <c r="B30" s="28"/>
      <c r="C30" s="38"/>
      <c r="D30" s="71"/>
      <c r="E30" s="49"/>
      <c r="F30" s="257"/>
      <c r="G30" s="260"/>
      <c r="H30" s="252"/>
      <c r="I30" s="24"/>
      <c r="J30" s="24"/>
      <c r="K30" s="50"/>
      <c r="L30" s="25"/>
      <c r="M30" s="25"/>
      <c r="O30" s="25"/>
      <c r="P30" s="25"/>
      <c r="Q30" s="50"/>
      <c r="R30" s="25"/>
      <c r="S30" s="25"/>
      <c r="T30" s="53"/>
      <c r="U30" s="76"/>
      <c r="V30" s="53"/>
      <c r="W30" s="25"/>
      <c r="X30" s="25"/>
      <c r="Y30" s="56"/>
      <c r="AA30" s="25"/>
      <c r="AD30" s="25"/>
      <c r="AE30" s="56"/>
      <c r="AG30" s="24"/>
      <c r="AH30" s="252"/>
      <c r="AI30" s="250"/>
      <c r="AJ30" s="257"/>
      <c r="AK30" s="55"/>
      <c r="AM30" s="39"/>
      <c r="AN30" s="28"/>
      <c r="AO30" s="277">
        <f>IF($AU$5=TRUE,AO26+1,"")</f>
        <v>23</v>
      </c>
    </row>
    <row r="31" spans="1:43" ht="14.4" customHeight="1" thickBot="1" x14ac:dyDescent="0.35">
      <c r="A31" s="255"/>
      <c r="B31" s="27">
        <v>10</v>
      </c>
      <c r="C31" s="36" t="str">
        <f>Games!I14</f>
        <v>Baylor</v>
      </c>
      <c r="D31" s="70" t="e" vm="84">
        <f>_xlfn.XLOOKUP(C31,Teams!$C:$C,Teams!$E:$E,,0,1)</f>
        <v>#VALUE!</v>
      </c>
      <c r="E31" s="48">
        <f>Games!N11</f>
        <v>0.06</v>
      </c>
      <c r="F31" s="276">
        <f>IF($AU$5=TRUE,F23+1,"")</f>
        <v>36</v>
      </c>
      <c r="G31" s="14"/>
      <c r="H31" s="49"/>
      <c r="I31" s="265" t="str">
        <f>Games!O41</f>
        <v>Central Connecticut State</v>
      </c>
      <c r="J31" s="259" t="e" vm="77">
        <f>_xlfn.XLOOKUP(I31,Teams!$C:$C,Teams!$E:$E,,0,1)</f>
        <v>#VALUE!</v>
      </c>
      <c r="K31" s="261">
        <f>Games!N56</f>
        <v>0.25</v>
      </c>
      <c r="L31" s="25"/>
      <c r="M31" s="25"/>
      <c r="O31" s="25"/>
      <c r="P31" s="25"/>
      <c r="Q31" s="50"/>
      <c r="R31" s="4"/>
      <c r="S31" s="286" t="s">
        <v>0</v>
      </c>
      <c r="T31" s="286"/>
      <c r="U31" s="286"/>
      <c r="V31" s="286"/>
      <c r="W31" s="286"/>
      <c r="X31" s="5"/>
      <c r="Y31" s="56"/>
      <c r="AA31" s="25"/>
      <c r="AD31" s="25"/>
      <c r="AE31" s="253">
        <f>Games!N60</f>
        <v>0.09</v>
      </c>
      <c r="AF31" s="249" t="e" vm="109">
        <f>_xlfn.XLOOKUP(AG31,Teams!$C:$C,Teams!$E:$E,,0,1)</f>
        <v>#VALUE!</v>
      </c>
      <c r="AG31" s="256" t="str">
        <f>Games!O49</f>
        <v>Arkansas</v>
      </c>
      <c r="AH31" s="55"/>
      <c r="AI31" s="51"/>
      <c r="AJ31" s="276">
        <f>IF($AU$5=TRUE,AJ23+1,"")</f>
        <v>44</v>
      </c>
      <c r="AK31" s="59">
        <f>Games!N27</f>
        <v>0.09</v>
      </c>
      <c r="AL31" s="46" t="e" vm="110">
        <f>_xlfn.XLOOKUP(AM31,Teams!$C:$C,Teams!$E:$E,,0,1)</f>
        <v>#VALUE!</v>
      </c>
      <c r="AM31" s="37" t="str">
        <f>Games!I27</f>
        <v>Arkansas State</v>
      </c>
      <c r="AN31" s="27">
        <v>10</v>
      </c>
      <c r="AO31" s="277"/>
    </row>
    <row r="32" spans="1:43" ht="10.5" customHeight="1" thickBot="1" x14ac:dyDescent="0.35">
      <c r="A32" s="16"/>
      <c r="B32" s="28"/>
      <c r="C32" s="38"/>
      <c r="D32" s="71"/>
      <c r="F32" s="255"/>
      <c r="G32" s="15"/>
      <c r="H32" s="50"/>
      <c r="I32" s="266"/>
      <c r="J32" s="260"/>
      <c r="K32" s="262"/>
      <c r="L32" s="25"/>
      <c r="M32" s="25"/>
      <c r="O32" s="25"/>
      <c r="P32" s="25"/>
      <c r="Q32" s="50"/>
      <c r="R32" s="30"/>
      <c r="S32" s="293" t="str">
        <f>Games!O72</f>
        <v>Bucknell</v>
      </c>
      <c r="T32" s="294"/>
      <c r="U32" s="294"/>
      <c r="V32" s="294"/>
      <c r="W32" s="295"/>
      <c r="X32" s="31"/>
      <c r="Y32" s="56"/>
      <c r="AA32" s="25"/>
      <c r="AD32" s="25"/>
      <c r="AE32" s="254"/>
      <c r="AF32" s="250"/>
      <c r="AG32" s="257"/>
      <c r="AH32" s="56"/>
      <c r="AJ32" s="255"/>
      <c r="AM32" s="39"/>
      <c r="AN32" s="28"/>
      <c r="AO32" s="17"/>
    </row>
    <row r="33" spans="1:43" ht="18.600000000000001" customHeight="1" thickBot="1" x14ac:dyDescent="0.35">
      <c r="A33" s="16"/>
      <c r="B33" s="27">
        <v>2</v>
      </c>
      <c r="C33" s="36" t="str">
        <f>Games!G12</f>
        <v>Charleston Southern</v>
      </c>
      <c r="D33" s="70" t="e" vm="79">
        <f>_xlfn.XLOOKUP(C33,Teams!$C:$C,Teams!$E:$E,,0,1)</f>
        <v>#VALUE!</v>
      </c>
      <c r="E33" s="46">
        <f>Games!L12</f>
        <v>0.9</v>
      </c>
      <c r="F33" s="256" t="str">
        <f>Games!O12</f>
        <v>Charleston Southern</v>
      </c>
      <c r="G33" s="259" t="e" vm="79">
        <f>_xlfn.XLOOKUP(F33,Teams!$C:$C,Teams!$E:$E,,0,1)</f>
        <v>#VALUE!</v>
      </c>
      <c r="H33" s="261">
        <f>Games!N41</f>
        <v>0.01</v>
      </c>
      <c r="I33" s="24"/>
      <c r="J33" s="24"/>
      <c r="L33" s="25"/>
      <c r="M33" s="25"/>
      <c r="O33" s="25"/>
      <c r="P33" s="25"/>
      <c r="Q33" s="50"/>
      <c r="R33" s="30"/>
      <c r="S33" s="296"/>
      <c r="T33" s="297"/>
      <c r="U33" s="297"/>
      <c r="V33" s="297"/>
      <c r="W33" s="298"/>
      <c r="X33" s="31"/>
      <c r="Y33" s="56"/>
      <c r="AA33" s="25"/>
      <c r="AD33" s="25"/>
      <c r="AG33" s="24"/>
      <c r="AH33" s="253">
        <f>Games!N49</f>
        <v>0.12</v>
      </c>
      <c r="AI33" s="249" t="e" vm="111">
        <f>_xlfn.XLOOKUP(AJ33,Teams!$C:$C,Teams!$E:$E,,0,1)</f>
        <v>#VALUE!</v>
      </c>
      <c r="AJ33" s="256" t="str">
        <f>Games!O28</f>
        <v>Arkansas-Pine Bluff</v>
      </c>
      <c r="AK33" s="58">
        <f>Games!L28</f>
        <v>0.7</v>
      </c>
      <c r="AL33" s="46" t="e" vm="111">
        <f>_xlfn.XLOOKUP(AM33,Teams!$C:$C,Teams!$E:$E,,0,1)</f>
        <v>#VALUE!</v>
      </c>
      <c r="AM33" s="37" t="str">
        <f>Games!G28</f>
        <v>Arkansas-Pine Bluff</v>
      </c>
      <c r="AN33" s="27">
        <v>2</v>
      </c>
      <c r="AO33" s="17"/>
      <c r="AQ33" s="9"/>
    </row>
    <row r="34" spans="1:43" ht="10.5" customHeight="1" thickBot="1" x14ac:dyDescent="0.35">
      <c r="A34" s="255">
        <f>IF($AU$5=TRUE,A30+1,"")</f>
        <v>8</v>
      </c>
      <c r="B34" s="28"/>
      <c r="C34" s="38"/>
      <c r="D34" s="71"/>
      <c r="E34" s="49"/>
      <c r="F34" s="257"/>
      <c r="G34" s="260"/>
      <c r="H34" s="262"/>
      <c r="I34" s="24"/>
      <c r="J34" s="24"/>
      <c r="L34" s="25"/>
      <c r="M34" s="25"/>
      <c r="O34" s="25"/>
      <c r="P34" s="25"/>
      <c r="Q34" s="50"/>
      <c r="R34" s="25"/>
      <c r="S34" s="25"/>
      <c r="T34" s="53"/>
      <c r="U34" s="76"/>
      <c r="V34" s="53"/>
      <c r="W34" s="25"/>
      <c r="X34" s="25"/>
      <c r="Y34" s="56"/>
      <c r="AA34" s="25"/>
      <c r="AD34" s="25"/>
      <c r="AG34" s="24"/>
      <c r="AH34" s="254"/>
      <c r="AI34" s="250"/>
      <c r="AJ34" s="257"/>
      <c r="AK34" s="55"/>
      <c r="AM34" s="39"/>
      <c r="AN34" s="28"/>
      <c r="AO34" s="277">
        <f>IF($AU$5=TRUE,AO30+1,"")</f>
        <v>24</v>
      </c>
      <c r="AQ34" s="275"/>
    </row>
    <row r="35" spans="1:43" ht="16.2" thickBot="1" x14ac:dyDescent="0.35">
      <c r="A35" s="255"/>
      <c r="B35" s="27">
        <v>15</v>
      </c>
      <c r="C35" s="36" t="str">
        <f>Games!I12</f>
        <v>Charlotte</v>
      </c>
      <c r="D35" s="70" t="e" vm="80">
        <f>_xlfn.XLOOKUP(C35,Teams!$C:$C,Teams!$E:$E,,0,1)</f>
        <v>#VALUE!</v>
      </c>
      <c r="E35" s="48">
        <f>Games!N12</f>
        <v>0.1</v>
      </c>
      <c r="F35" s="24"/>
      <c r="G35" s="24"/>
      <c r="I35" s="24"/>
      <c r="J35" s="24"/>
      <c r="L35" s="25"/>
      <c r="M35" s="25"/>
      <c r="O35" s="18">
        <f>IF($AU$5=TRUE,AD53+1,"")</f>
        <v>61</v>
      </c>
      <c r="P35" s="18"/>
      <c r="Q35" s="50"/>
      <c r="R35" s="25"/>
      <c r="S35" s="25"/>
      <c r="T35" s="255">
        <f>IF($AU$5=TRUE,AA35+1,"")</f>
        <v>63</v>
      </c>
      <c r="U35" s="255"/>
      <c r="V35" s="255"/>
      <c r="W35" s="25"/>
      <c r="X35" s="25"/>
      <c r="Y35" s="56"/>
      <c r="AA35" s="16">
        <f>IF($AU$5=TRUE,O35+1,"")</f>
        <v>62</v>
      </c>
      <c r="AD35" s="25"/>
      <c r="AG35" s="24"/>
      <c r="AJ35" s="24"/>
      <c r="AK35" s="59">
        <f>Games!N28</f>
        <v>0.3</v>
      </c>
      <c r="AL35" s="46" t="e" vm="112">
        <f>_xlfn.XLOOKUP(AM35,Teams!$C:$C,Teams!$E:$E,,0,1)</f>
        <v>#VALUE!</v>
      </c>
      <c r="AM35" s="37" t="str">
        <f>Games!I28</f>
        <v>Army</v>
      </c>
      <c r="AN35" s="27">
        <v>15</v>
      </c>
      <c r="AO35" s="277"/>
      <c r="AQ35" s="275"/>
    </row>
    <row r="36" spans="1:43" ht="10.5" customHeight="1" x14ac:dyDescent="0.3">
      <c r="A36" s="16"/>
      <c r="B36" s="28"/>
      <c r="C36" s="38"/>
      <c r="D36" s="71"/>
      <c r="F36" s="24"/>
      <c r="G36" s="24"/>
      <c r="I36" s="24"/>
      <c r="J36" s="24"/>
      <c r="L36" s="25"/>
      <c r="M36" s="25"/>
      <c r="O36" s="25"/>
      <c r="P36" s="25"/>
      <c r="Q36" s="50"/>
      <c r="R36" s="25"/>
      <c r="S36" s="25"/>
      <c r="T36" s="53"/>
      <c r="U36" s="76"/>
      <c r="V36" s="53"/>
      <c r="W36" s="25"/>
      <c r="X36" s="25"/>
      <c r="Y36" s="56"/>
      <c r="AA36" s="25"/>
      <c r="AD36" s="25"/>
      <c r="AG36" s="24"/>
      <c r="AJ36" s="24"/>
      <c r="AM36" s="39"/>
      <c r="AN36" s="28"/>
      <c r="AO36" s="17"/>
      <c r="AQ36" s="275"/>
    </row>
    <row r="37" spans="1:43" ht="18.600000000000001" customHeight="1" thickBot="1" x14ac:dyDescent="0.35">
      <c r="A37" s="16"/>
      <c r="B37" s="27">
        <v>1</v>
      </c>
      <c r="C37" s="36" t="str">
        <f>Games!G13</f>
        <v>Auburn</v>
      </c>
      <c r="D37" s="70" t="e" vm="81">
        <f>_xlfn.XLOOKUP(C37,Teams!$C:$C,Teams!$E:$E,,0,1)</f>
        <v>#VALUE!</v>
      </c>
      <c r="E37" s="46">
        <f>Games!L13</f>
        <v>0.71</v>
      </c>
      <c r="F37" s="256" t="str">
        <f>Games!O13</f>
        <v>Auburn</v>
      </c>
      <c r="G37" s="259" t="e" vm="81">
        <f>_xlfn.XLOOKUP(F37,Teams!$C:$C,Teams!$E:$E,,0,1)</f>
        <v>#VALUE!</v>
      </c>
      <c r="H37" s="251">
        <f>Games!L42</f>
        <v>0.62</v>
      </c>
      <c r="I37" s="24"/>
      <c r="J37" s="24"/>
      <c r="L37" s="25"/>
      <c r="M37" s="25"/>
      <c r="O37" s="25"/>
      <c r="P37" s="25"/>
      <c r="Q37" s="50"/>
      <c r="R37" s="25"/>
      <c r="S37" s="25"/>
      <c r="T37" s="53"/>
      <c r="U37" s="76"/>
      <c r="V37" s="53"/>
      <c r="W37" s="25"/>
      <c r="X37" s="25"/>
      <c r="Y37" s="56"/>
      <c r="AA37" s="25"/>
      <c r="AD37" s="25"/>
      <c r="AG37" s="24"/>
      <c r="AH37" s="251">
        <f>Games!L50</f>
        <v>0.76</v>
      </c>
      <c r="AI37" s="249" t="e" vm="113">
        <f>_xlfn.XLOOKUP(AJ37,Teams!$C:$C,Teams!$E:$E,,0,1)</f>
        <v>#VALUE!</v>
      </c>
      <c r="AJ37" s="256" t="str">
        <f>Games!O29</f>
        <v>Chattanooga</v>
      </c>
      <c r="AK37" s="58">
        <f>Games!L29</f>
        <v>0.55000000000000004</v>
      </c>
      <c r="AL37" s="46" t="e" vm="113">
        <f>_xlfn.XLOOKUP(AM37,Teams!$C:$C,Teams!$E:$E,,0,1)</f>
        <v>#VALUE!</v>
      </c>
      <c r="AM37" s="37" t="str">
        <f>Games!G29</f>
        <v>Chattanooga</v>
      </c>
      <c r="AN37" s="27">
        <v>1</v>
      </c>
      <c r="AO37" s="17"/>
      <c r="AQ37" s="275"/>
    </row>
    <row r="38" spans="1:43" ht="10.5" customHeight="1" thickBot="1" x14ac:dyDescent="0.35">
      <c r="A38" s="255">
        <f>IF($AU$5=TRUE,A34+1,"")</f>
        <v>9</v>
      </c>
      <c r="B38" s="28"/>
      <c r="C38" s="38"/>
      <c r="D38" s="71"/>
      <c r="E38" s="49"/>
      <c r="F38" s="257"/>
      <c r="G38" s="260"/>
      <c r="H38" s="252"/>
      <c r="I38" s="24"/>
      <c r="J38" s="24"/>
      <c r="L38" s="25"/>
      <c r="M38" s="25"/>
      <c r="O38" s="25"/>
      <c r="P38" s="25"/>
      <c r="Q38" s="50"/>
      <c r="R38" s="25"/>
      <c r="S38" s="25"/>
      <c r="T38" s="53"/>
      <c r="U38" s="76"/>
      <c r="V38" s="53"/>
      <c r="W38" s="25"/>
      <c r="X38" s="25"/>
      <c r="Y38" s="56"/>
      <c r="AA38" s="25"/>
      <c r="AD38" s="25"/>
      <c r="AG38" s="24"/>
      <c r="AH38" s="252"/>
      <c r="AI38" s="250"/>
      <c r="AJ38" s="257"/>
      <c r="AK38" s="55"/>
      <c r="AM38" s="39"/>
      <c r="AN38" s="28"/>
      <c r="AO38" s="277">
        <f>IF($AU$5=TRUE,AO34+1,"")</f>
        <v>25</v>
      </c>
    </row>
    <row r="39" spans="1:43" ht="13.8" customHeight="1" thickBot="1" x14ac:dyDescent="0.35">
      <c r="A39" s="255"/>
      <c r="B39" s="27">
        <v>16</v>
      </c>
      <c r="C39" s="36" t="str">
        <f>Games!I13</f>
        <v>Austin Peay</v>
      </c>
      <c r="D39" s="70" t="e" vm="82">
        <f>_xlfn.XLOOKUP(C39,Teams!$C:$C,Teams!$E:$E,,0,1)</f>
        <v>#VALUE!</v>
      </c>
      <c r="E39" s="48">
        <f>Games!N13</f>
        <v>0.28999999999999998</v>
      </c>
      <c r="F39" s="276">
        <f>IF($AU$5=TRUE,F31+1,"")</f>
        <v>37</v>
      </c>
      <c r="G39" s="14"/>
      <c r="H39" s="49"/>
      <c r="I39" s="265" t="str">
        <f>Games!O42</f>
        <v>Auburn</v>
      </c>
      <c r="J39" s="259" t="e" vm="81">
        <f>_xlfn.XLOOKUP(I39,Teams!$C:$C,Teams!$E:$E,,0,1)</f>
        <v>#VALUE!</v>
      </c>
      <c r="K39" s="251">
        <f>Games!L57</f>
        <v>0.61</v>
      </c>
      <c r="L39" s="25"/>
      <c r="M39" s="25"/>
      <c r="O39" s="25"/>
      <c r="P39" s="25"/>
      <c r="Q39" s="50"/>
      <c r="R39" s="25"/>
      <c r="S39" s="25"/>
      <c r="T39" s="273">
        <f>Games!N72</f>
        <v>0.47</v>
      </c>
      <c r="U39" s="267" t="e" vm="105">
        <f>_xlfn.XLOOKUP(V39,Teams!$C:$C,Teams!$E:$E,,0,1)</f>
        <v>#VALUE!</v>
      </c>
      <c r="V39" s="256" t="str">
        <f>Games!O70</f>
        <v>American</v>
      </c>
      <c r="W39" s="256"/>
      <c r="X39" s="269"/>
      <c r="Y39" s="56"/>
      <c r="AA39" s="25"/>
      <c r="AD39" s="25"/>
      <c r="AE39" s="253">
        <f>Games!L61</f>
        <v>0.51</v>
      </c>
      <c r="AF39" s="249" t="e" vm="113">
        <f>_xlfn.XLOOKUP(AG39,Teams!$C:$C,Teams!$E:$E,,0,1)</f>
        <v>#VALUE!</v>
      </c>
      <c r="AG39" s="256" t="str">
        <f>Games!O50</f>
        <v>Chattanooga</v>
      </c>
      <c r="AH39" s="55"/>
      <c r="AI39" s="51"/>
      <c r="AJ39" s="276">
        <f>IF($AU$5=TRUE,AJ31+1,"")</f>
        <v>45</v>
      </c>
      <c r="AK39" s="59">
        <f>Games!N29</f>
        <v>0.45</v>
      </c>
      <c r="AL39" s="46" t="e" vm="114">
        <f>_xlfn.XLOOKUP(AM39,Teams!$C:$C,Teams!$E:$E,,0,1)</f>
        <v>#VALUE!</v>
      </c>
      <c r="AM39" s="37" t="str">
        <f>Games!I29</f>
        <v>Chicago State</v>
      </c>
      <c r="AN39" s="27">
        <v>16</v>
      </c>
      <c r="AO39" s="277"/>
    </row>
    <row r="40" spans="1:43" ht="10.5" customHeight="1" thickBot="1" x14ac:dyDescent="0.35">
      <c r="A40" s="16"/>
      <c r="B40" s="28"/>
      <c r="C40" s="38"/>
      <c r="D40" s="71"/>
      <c r="F40" s="255"/>
      <c r="G40" s="15"/>
      <c r="H40" s="50"/>
      <c r="I40" s="266"/>
      <c r="J40" s="260"/>
      <c r="K40" s="252"/>
      <c r="L40" s="25"/>
      <c r="M40" s="25"/>
      <c r="O40" s="25"/>
      <c r="P40" s="25"/>
      <c r="Q40" s="50"/>
      <c r="R40" s="25"/>
      <c r="S40" s="25"/>
      <c r="T40" s="274"/>
      <c r="U40" s="268"/>
      <c r="V40" s="257"/>
      <c r="W40" s="257"/>
      <c r="X40" s="270"/>
      <c r="Y40" s="56"/>
      <c r="AA40" s="25"/>
      <c r="AD40" s="25"/>
      <c r="AE40" s="254"/>
      <c r="AF40" s="250"/>
      <c r="AG40" s="257"/>
      <c r="AH40" s="56"/>
      <c r="AJ40" s="255"/>
      <c r="AM40" s="39"/>
      <c r="AN40" s="28"/>
      <c r="AO40" s="17"/>
    </row>
    <row r="41" spans="1:43" ht="18.600000000000001" customHeight="1" thickBot="1" x14ac:dyDescent="0.35">
      <c r="A41" s="16"/>
      <c r="B41" s="27">
        <v>8</v>
      </c>
      <c r="C41" s="36" t="str">
        <f>Games!G14</f>
        <v>Ball State</v>
      </c>
      <c r="D41" s="70" t="e" vm="83">
        <f>_xlfn.XLOOKUP(C41,Teams!$C:$C,Teams!$E:$E,,0,1)</f>
        <v>#VALUE!</v>
      </c>
      <c r="E41" s="46">
        <f>Games!L14</f>
        <v>0.66</v>
      </c>
      <c r="F41" s="256" t="str">
        <f>Games!O14</f>
        <v>Ball State</v>
      </c>
      <c r="G41" s="259" t="e" vm="83">
        <f>_xlfn.XLOOKUP(F41,Teams!$C:$C,Teams!$E:$E,,0,1)</f>
        <v>#VALUE!</v>
      </c>
      <c r="H41" s="261">
        <f>Games!N42</f>
        <v>0.38</v>
      </c>
      <c r="I41" s="24"/>
      <c r="J41" s="24"/>
      <c r="K41" s="49"/>
      <c r="L41" s="25"/>
      <c r="M41" s="25"/>
      <c r="O41" s="25"/>
      <c r="P41" s="25"/>
      <c r="Q41" s="50"/>
      <c r="R41" s="25"/>
      <c r="S41" s="25"/>
      <c r="T41" s="53"/>
      <c r="U41" s="76"/>
      <c r="V41" s="53"/>
      <c r="W41" s="25"/>
      <c r="X41" s="25"/>
      <c r="Y41" s="56"/>
      <c r="AA41" s="25"/>
      <c r="AD41" s="25"/>
      <c r="AE41" s="55"/>
      <c r="AG41" s="24"/>
      <c r="AH41" s="253">
        <f>Games!N50</f>
        <v>0.24</v>
      </c>
      <c r="AI41" s="249" t="e" vm="115">
        <f>_xlfn.XLOOKUP(AJ41,Teams!$C:$C,Teams!$E:$E,,0,1)</f>
        <v>#VALUE!</v>
      </c>
      <c r="AJ41" s="256" t="str">
        <f>Games!O30</f>
        <v>Cincinnati</v>
      </c>
      <c r="AK41" s="58">
        <f>Games!L30</f>
        <v>0.67</v>
      </c>
      <c r="AL41" s="46" t="e" vm="115">
        <f>_xlfn.XLOOKUP(AM41,Teams!$C:$C,Teams!$E:$E,,0,1)</f>
        <v>#VALUE!</v>
      </c>
      <c r="AM41" s="37" t="str">
        <f>Games!G30</f>
        <v>Cincinnati</v>
      </c>
      <c r="AN41" s="27">
        <v>8</v>
      </c>
      <c r="AO41" s="17"/>
    </row>
    <row r="42" spans="1:43" ht="10.5" customHeight="1" thickBot="1" x14ac:dyDescent="0.35">
      <c r="A42" s="255">
        <f>IF($AU$5=TRUE,A38+1,"")</f>
        <v>10</v>
      </c>
      <c r="B42" s="28"/>
      <c r="C42" s="38"/>
      <c r="D42" s="71"/>
      <c r="E42" s="49"/>
      <c r="F42" s="257"/>
      <c r="G42" s="260"/>
      <c r="H42" s="262"/>
      <c r="I42" s="24"/>
      <c r="J42" s="24"/>
      <c r="K42" s="50"/>
      <c r="L42" s="25"/>
      <c r="M42" s="25"/>
      <c r="O42" s="25"/>
      <c r="P42" s="25"/>
      <c r="Q42" s="50"/>
      <c r="R42" s="25"/>
      <c r="S42" s="25"/>
      <c r="T42" s="25"/>
      <c r="U42" s="75"/>
      <c r="V42" s="25"/>
      <c r="W42" s="25"/>
      <c r="X42" s="25"/>
      <c r="Y42" s="56"/>
      <c r="AA42" s="25"/>
      <c r="AD42" s="25"/>
      <c r="AE42" s="56"/>
      <c r="AG42" s="24"/>
      <c r="AH42" s="254"/>
      <c r="AI42" s="250"/>
      <c r="AJ42" s="257"/>
      <c r="AK42" s="55"/>
      <c r="AM42" s="39"/>
      <c r="AN42" s="28"/>
      <c r="AO42" s="277">
        <f>IF($AU$5=TRUE,AO38+1,"")</f>
        <v>26</v>
      </c>
    </row>
    <row r="43" spans="1:43" ht="13.8" customHeight="1" thickBot="1" x14ac:dyDescent="0.35">
      <c r="A43" s="255"/>
      <c r="B43" s="27">
        <v>9</v>
      </c>
      <c r="C43" s="36" t="str">
        <f>Games!I14</f>
        <v>Baylor</v>
      </c>
      <c r="D43" s="70" t="e" vm="84">
        <f>_xlfn.XLOOKUP(C43,Teams!$C:$C,Teams!$E:$E,,0,1)</f>
        <v>#VALUE!</v>
      </c>
      <c r="E43" s="48">
        <f>Games!N14</f>
        <v>0.34</v>
      </c>
      <c r="F43" s="24"/>
      <c r="G43" s="24"/>
      <c r="I43" s="255">
        <f>IF($AU$5=TRUE,I27+1,"")</f>
        <v>51</v>
      </c>
      <c r="J43" s="15"/>
      <c r="K43" s="50"/>
      <c r="L43" s="265" t="str">
        <f>Games!O57</f>
        <v>Auburn</v>
      </c>
      <c r="M43" s="259" t="e" vm="81">
        <f>_xlfn.XLOOKUP(L43,Teams!$C:$C,Teams!$E:$E,,0,1)</f>
        <v>#VALUE!</v>
      </c>
      <c r="N43" s="251">
        <f>Games!L65</f>
        <v>0.77</v>
      </c>
      <c r="O43" s="25"/>
      <c r="P43" s="25"/>
      <c r="Q43" s="50"/>
      <c r="R43" s="25"/>
      <c r="S43" s="25"/>
      <c r="T43" s="25"/>
      <c r="U43" s="75"/>
      <c r="V43" s="25"/>
      <c r="W43" s="25"/>
      <c r="X43" s="25"/>
      <c r="Y43" s="56"/>
      <c r="AA43" s="25"/>
      <c r="AB43" s="251">
        <f>Games!L67</f>
        <v>0.7</v>
      </c>
      <c r="AC43" s="249" t="e" vm="113">
        <f>_xlfn.XLOOKUP(AD43,Teams!$C:$C,Teams!$E:$E,,0,1)</f>
        <v>#VALUE!</v>
      </c>
      <c r="AD43" s="263" t="str">
        <f>Games!O61</f>
        <v>Chattanooga</v>
      </c>
      <c r="AE43" s="56"/>
      <c r="AG43" s="255">
        <f>IF($AU$5=TRUE,AG27+1,"")</f>
        <v>55</v>
      </c>
      <c r="AJ43" s="24"/>
      <c r="AK43" s="59">
        <f>Games!N30</f>
        <v>0.33</v>
      </c>
      <c r="AL43" s="46" t="e" vm="116">
        <f>_xlfn.XLOOKUP(AM43,Teams!$C:$C,Teams!$E:$E,,0,1)</f>
        <v>#VALUE!</v>
      </c>
      <c r="AM43" s="37" t="str">
        <f>Games!I30</f>
        <v>Clemson</v>
      </c>
      <c r="AN43" s="27">
        <v>9</v>
      </c>
      <c r="AO43" s="277"/>
    </row>
    <row r="44" spans="1:43" ht="10.5" customHeight="1" thickBot="1" x14ac:dyDescent="0.35">
      <c r="A44" s="16"/>
      <c r="B44" s="28"/>
      <c r="C44" s="38"/>
      <c r="D44" s="71"/>
      <c r="F44" s="24"/>
      <c r="G44" s="24"/>
      <c r="I44" s="255"/>
      <c r="J44" s="15"/>
      <c r="K44" s="50"/>
      <c r="L44" s="266"/>
      <c r="M44" s="260"/>
      <c r="N44" s="252"/>
      <c r="O44" s="25"/>
      <c r="P44" s="25"/>
      <c r="Q44" s="50"/>
      <c r="R44" s="25"/>
      <c r="S44" s="25"/>
      <c r="T44" s="25"/>
      <c r="U44" s="75"/>
      <c r="V44" s="25"/>
      <c r="W44" s="25"/>
      <c r="X44" s="25"/>
      <c r="Y44" s="56"/>
      <c r="AA44" s="25"/>
      <c r="AB44" s="252"/>
      <c r="AC44" s="250"/>
      <c r="AD44" s="264"/>
      <c r="AE44" s="56"/>
      <c r="AG44" s="255"/>
      <c r="AJ44" s="24"/>
      <c r="AM44" s="39"/>
      <c r="AN44" s="28"/>
      <c r="AO44" s="17"/>
    </row>
    <row r="45" spans="1:43" ht="18.600000000000001" customHeight="1" thickBot="1" x14ac:dyDescent="0.35">
      <c r="A45" s="16"/>
      <c r="B45" s="27">
        <v>5</v>
      </c>
      <c r="C45" s="36" t="str">
        <f>Games!G15</f>
        <v>Bellarmine</v>
      </c>
      <c r="D45" s="70" t="e" vm="85">
        <f>_xlfn.XLOOKUP(C45,Teams!$C:$C,Teams!$E:$E,,0,1)</f>
        <v>#VALUE!</v>
      </c>
      <c r="E45" s="46">
        <f>Games!L15</f>
        <v>0.57999999999999996</v>
      </c>
      <c r="F45" s="256" t="str">
        <f>Games!O15</f>
        <v>Bellarmine</v>
      </c>
      <c r="G45" s="259" t="e" vm="85">
        <f>_xlfn.XLOOKUP(F45,Teams!$C:$C,Teams!$E:$E,,0,1)</f>
        <v>#VALUE!</v>
      </c>
      <c r="H45" s="251">
        <f>Games!L43</f>
        <v>0.5</v>
      </c>
      <c r="I45" s="24"/>
      <c r="J45" s="24"/>
      <c r="K45" s="50"/>
      <c r="L45" s="25"/>
      <c r="M45" s="25"/>
      <c r="N45" s="49"/>
      <c r="O45" s="25"/>
      <c r="P45" s="25"/>
      <c r="Q45" s="50"/>
      <c r="R45" s="25"/>
      <c r="S45" s="25"/>
      <c r="T45" s="25"/>
      <c r="U45" s="75"/>
      <c r="V45" s="25"/>
      <c r="W45" s="25"/>
      <c r="X45" s="25"/>
      <c r="Y45" s="56"/>
      <c r="AA45" s="25"/>
      <c r="AB45" s="55"/>
      <c r="AD45" s="25"/>
      <c r="AE45" s="56"/>
      <c r="AG45" s="24"/>
      <c r="AH45" s="251">
        <f>Games!L51</f>
        <v>0.94</v>
      </c>
      <c r="AI45" s="249" t="e" vm="117">
        <f>_xlfn.XLOOKUP(AJ45,Teams!$C:$C,Teams!$E:$E,,0,1)</f>
        <v>#VALUE!</v>
      </c>
      <c r="AJ45" s="256" t="str">
        <f>Games!O31</f>
        <v>Cleveland State</v>
      </c>
      <c r="AK45" s="58">
        <f>Games!L31</f>
        <v>0.88</v>
      </c>
      <c r="AL45" s="46" t="e" vm="117">
        <f>_xlfn.XLOOKUP(AM45,Teams!$C:$C,Teams!$E:$E,,0,1)</f>
        <v>#VALUE!</v>
      </c>
      <c r="AM45" s="37" t="str">
        <f>Games!G31</f>
        <v>Cleveland State</v>
      </c>
      <c r="AN45" s="27">
        <v>5</v>
      </c>
      <c r="AO45" s="17"/>
    </row>
    <row r="46" spans="1:43" ht="10.5" customHeight="1" thickBot="1" x14ac:dyDescent="0.35">
      <c r="A46" s="255">
        <f>IF($AU$5=TRUE,A42+1,"")</f>
        <v>11</v>
      </c>
      <c r="B46" s="28"/>
      <c r="C46" s="38"/>
      <c r="D46" s="71"/>
      <c r="E46" s="49"/>
      <c r="F46" s="257"/>
      <c r="G46" s="260"/>
      <c r="H46" s="252"/>
      <c r="I46" s="24"/>
      <c r="J46" s="24"/>
      <c r="K46" s="50"/>
      <c r="L46" s="25"/>
      <c r="M46" s="25"/>
      <c r="N46" s="50"/>
      <c r="O46" s="25"/>
      <c r="P46" s="25"/>
      <c r="Q46" s="50"/>
      <c r="R46" s="25"/>
      <c r="S46" s="25"/>
      <c r="T46" s="25"/>
      <c r="U46" s="75"/>
      <c r="V46" s="25"/>
      <c r="W46" s="25"/>
      <c r="X46" s="25"/>
      <c r="Y46" s="56"/>
      <c r="AA46" s="25"/>
      <c r="AB46" s="56"/>
      <c r="AD46" s="25"/>
      <c r="AE46" s="56"/>
      <c r="AG46" s="24"/>
      <c r="AH46" s="252"/>
      <c r="AI46" s="250"/>
      <c r="AJ46" s="257"/>
      <c r="AK46" s="55"/>
      <c r="AM46" s="39"/>
      <c r="AN46" s="28"/>
      <c r="AO46" s="277">
        <f>IF($AU$5=TRUE,AO42+1,"")</f>
        <v>27</v>
      </c>
    </row>
    <row r="47" spans="1:43" ht="13.8" customHeight="1" thickBot="1" x14ac:dyDescent="0.35">
      <c r="A47" s="255"/>
      <c r="B47" s="27">
        <v>12</v>
      </c>
      <c r="C47" s="41" t="str">
        <f>Games!I15</f>
        <v>Belmont</v>
      </c>
      <c r="D47" s="70" t="e" vm="86">
        <f>_xlfn.XLOOKUP(C47,Teams!$C:$C,Teams!$E:$E,,0,1)</f>
        <v>#VALUE!</v>
      </c>
      <c r="E47" s="48">
        <f>Games!N15</f>
        <v>0.42</v>
      </c>
      <c r="F47" s="276">
        <f>IF($AU$5=TRUE,F39+1,"")</f>
        <v>38</v>
      </c>
      <c r="G47" s="14"/>
      <c r="H47" s="49"/>
      <c r="I47" s="265" t="str">
        <f>Games!O43</f>
        <v>Bethune-Cookman</v>
      </c>
      <c r="J47" s="259" t="e" vm="87">
        <f>_xlfn.XLOOKUP(I47,Teams!$C:$C,Teams!$E:$E,,0,1)</f>
        <v>#VALUE!</v>
      </c>
      <c r="K47" s="261">
        <f>Games!N57</f>
        <v>0.39</v>
      </c>
      <c r="L47" s="25"/>
      <c r="M47" s="25"/>
      <c r="N47" s="50"/>
      <c r="O47" s="25"/>
      <c r="P47" s="25"/>
      <c r="Q47" s="50"/>
      <c r="R47" s="25"/>
      <c r="S47" s="25"/>
      <c r="T47" s="25"/>
      <c r="U47" s="75"/>
      <c r="V47" s="25"/>
      <c r="W47" s="25"/>
      <c r="X47" s="25"/>
      <c r="Y47" s="56"/>
      <c r="AA47" s="25"/>
      <c r="AB47" s="56"/>
      <c r="AD47" s="25"/>
      <c r="AE47" s="253">
        <f>Games!N61</f>
        <v>0.49</v>
      </c>
      <c r="AF47" s="249" t="e" vm="117">
        <f>_xlfn.XLOOKUP(AG47,Teams!$C:$C,Teams!$E:$E,,0,1)</f>
        <v>#VALUE!</v>
      </c>
      <c r="AG47" s="256" t="str">
        <f>Games!O51</f>
        <v>Cleveland State</v>
      </c>
      <c r="AH47" s="55"/>
      <c r="AI47" s="51"/>
      <c r="AJ47" s="276">
        <f>IF($AU$5=TRUE,AJ39+1,"")</f>
        <v>46</v>
      </c>
      <c r="AK47" s="59">
        <f>Games!N31</f>
        <v>0.12</v>
      </c>
      <c r="AL47" s="46" t="e" vm="118">
        <f>_xlfn.XLOOKUP(AM47,Teams!$C:$C,Teams!$E:$E,,0,1)</f>
        <v>#VALUE!</v>
      </c>
      <c r="AM47" s="37" t="str">
        <f>Games!I31</f>
        <v>Coastal Carolina</v>
      </c>
      <c r="AN47" s="27">
        <v>12</v>
      </c>
      <c r="AO47" s="277"/>
    </row>
    <row r="48" spans="1:43" ht="10.5" customHeight="1" thickBot="1" x14ac:dyDescent="0.35">
      <c r="A48" s="16"/>
      <c r="B48" s="28"/>
      <c r="C48" s="38"/>
      <c r="D48" s="71"/>
      <c r="F48" s="255"/>
      <c r="G48" s="15"/>
      <c r="H48" s="50"/>
      <c r="I48" s="266"/>
      <c r="J48" s="260"/>
      <c r="K48" s="262"/>
      <c r="L48" s="25"/>
      <c r="M48" s="25"/>
      <c r="N48" s="50"/>
      <c r="O48" s="25"/>
      <c r="P48" s="25"/>
      <c r="Q48" s="50"/>
      <c r="R48" s="25"/>
      <c r="S48" s="25"/>
      <c r="T48" s="25"/>
      <c r="U48" s="75"/>
      <c r="V48" s="25"/>
      <c r="W48" s="25"/>
      <c r="X48" s="25"/>
      <c r="Y48" s="56"/>
      <c r="AA48" s="25"/>
      <c r="AB48" s="56"/>
      <c r="AD48" s="25"/>
      <c r="AE48" s="254"/>
      <c r="AF48" s="250"/>
      <c r="AG48" s="257"/>
      <c r="AH48" s="56"/>
      <c r="AJ48" s="255"/>
      <c r="AM48" s="39"/>
      <c r="AN48" s="28"/>
      <c r="AO48" s="17"/>
    </row>
    <row r="49" spans="1:41" ht="18.600000000000001" customHeight="1" thickBot="1" x14ac:dyDescent="0.35">
      <c r="A49" s="16"/>
      <c r="B49" s="27">
        <v>4</v>
      </c>
      <c r="C49" s="36" t="str">
        <f>Games!G16</f>
        <v>Bethune-Cookman</v>
      </c>
      <c r="D49" s="70" t="e" vm="87">
        <f>_xlfn.XLOOKUP(C49,Teams!$C:$C,Teams!$E:$E,,0,1)</f>
        <v>#VALUE!</v>
      </c>
      <c r="E49" s="46">
        <f>Games!L16</f>
        <v>0.51</v>
      </c>
      <c r="F49" s="256" t="str">
        <f>Games!O16</f>
        <v>Bethune-Cookman</v>
      </c>
      <c r="G49" s="259" t="e" vm="87">
        <f>_xlfn.XLOOKUP(F49,Teams!$C:$C,Teams!$E:$E,,0,1)</f>
        <v>#VALUE!</v>
      </c>
      <c r="H49" s="261">
        <f>Games!N43</f>
        <v>0.5</v>
      </c>
      <c r="I49" s="24"/>
      <c r="J49" s="24"/>
      <c r="L49" s="25"/>
      <c r="M49" s="25"/>
      <c r="N49" s="50"/>
      <c r="O49" s="25"/>
      <c r="P49" s="25"/>
      <c r="Q49" s="50"/>
      <c r="R49" s="25"/>
      <c r="S49" s="25"/>
      <c r="T49" s="25"/>
      <c r="U49" s="75"/>
      <c r="V49" s="25"/>
      <c r="W49" s="25"/>
      <c r="X49" s="25"/>
      <c r="Y49" s="56"/>
      <c r="AA49" s="25"/>
      <c r="AB49" s="56"/>
      <c r="AD49" s="25"/>
      <c r="AG49" s="24"/>
      <c r="AH49" s="253">
        <f>Games!N51</f>
        <v>0.06</v>
      </c>
      <c r="AI49" s="249" t="e" vm="119">
        <f>_xlfn.XLOOKUP(AJ49,Teams!$C:$C,Teams!$E:$E,,0,1)</f>
        <v>#VALUE!</v>
      </c>
      <c r="AJ49" s="256" t="str">
        <f>Games!O32</f>
        <v>Colgate</v>
      </c>
      <c r="AK49" s="58">
        <f>Games!L32</f>
        <v>0.84</v>
      </c>
      <c r="AL49" s="46" t="e" vm="119">
        <f>_xlfn.XLOOKUP(AM49,Teams!$C:$C,Teams!$E:$E,,0,1)</f>
        <v>#VALUE!</v>
      </c>
      <c r="AM49" s="37" t="str">
        <f>Games!G32</f>
        <v>Colgate</v>
      </c>
      <c r="AN49" s="27">
        <v>4</v>
      </c>
      <c r="AO49" s="17"/>
    </row>
    <row r="50" spans="1:41" ht="10.5" customHeight="1" thickBot="1" x14ac:dyDescent="0.35">
      <c r="A50" s="255">
        <f>IF($AU$5=TRUE,A46+1,"")</f>
        <v>12</v>
      </c>
      <c r="B50" s="28"/>
      <c r="C50" s="38"/>
      <c r="D50" s="71"/>
      <c r="E50" s="49"/>
      <c r="F50" s="257"/>
      <c r="G50" s="260"/>
      <c r="H50" s="262"/>
      <c r="I50" s="24"/>
      <c r="J50" s="24"/>
      <c r="L50" s="25"/>
      <c r="M50" s="25"/>
      <c r="N50" s="50"/>
      <c r="O50" s="25"/>
      <c r="P50" s="25"/>
      <c r="Q50" s="50"/>
      <c r="R50" s="25"/>
      <c r="S50" s="25"/>
      <c r="T50" s="25"/>
      <c r="U50" s="75"/>
      <c r="V50" s="25"/>
      <c r="W50" s="25"/>
      <c r="X50" s="25"/>
      <c r="Y50" s="56"/>
      <c r="AA50" s="25"/>
      <c r="AB50" s="56"/>
      <c r="AD50" s="25"/>
      <c r="AG50" s="24"/>
      <c r="AH50" s="254"/>
      <c r="AI50" s="250"/>
      <c r="AJ50" s="257"/>
      <c r="AK50" s="55"/>
      <c r="AM50" s="39"/>
      <c r="AN50" s="28"/>
      <c r="AO50" s="277">
        <f>IF($AU$5=TRUE,AO46+1,"")</f>
        <v>28</v>
      </c>
    </row>
    <row r="51" spans="1:41" ht="13.8" customHeight="1" thickBot="1" x14ac:dyDescent="0.45">
      <c r="A51" s="255"/>
      <c r="B51" s="27">
        <v>13</v>
      </c>
      <c r="C51" s="36" t="str">
        <f>Games!I16</f>
        <v>Binghamton</v>
      </c>
      <c r="D51" s="70" t="e" vm="88">
        <f>_xlfn.XLOOKUP(C51,Teams!$C:$C,Teams!$E:$E,,0,1)</f>
        <v>#VALUE!</v>
      </c>
      <c r="E51" s="48">
        <f>Games!N16</f>
        <v>0.49</v>
      </c>
      <c r="F51" s="24"/>
      <c r="G51" s="24"/>
      <c r="I51" s="24"/>
      <c r="J51" s="24"/>
      <c r="K51" s="258" t="s">
        <v>4</v>
      </c>
      <c r="L51" s="258"/>
      <c r="M51" s="20"/>
      <c r="N51" s="50"/>
      <c r="O51" s="265" t="str">
        <f>Games!O65</f>
        <v>Auburn</v>
      </c>
      <c r="P51" s="259" t="e" vm="81">
        <f>_xlfn.XLOOKUP(O51,Teams!$C:$C,Teams!$E:$E,,0,1)</f>
        <v>#VALUE!</v>
      </c>
      <c r="Q51" s="261">
        <f>Games!N69</f>
        <v>0.38</v>
      </c>
      <c r="R51" s="25"/>
      <c r="S51" s="25"/>
      <c r="T51" s="25"/>
      <c r="U51" s="75"/>
      <c r="V51" s="25"/>
      <c r="W51" s="25"/>
      <c r="X51" s="25"/>
      <c r="Y51" s="253">
        <f>Games!N70</f>
        <v>0.42</v>
      </c>
      <c r="Z51" s="249" t="e" vm="113">
        <f>_xlfn.XLOOKUP(AA51,Teams!$C:$C,Teams!$E:$E,,0,1)</f>
        <v>#VALUE!</v>
      </c>
      <c r="AA51" s="256" t="str">
        <f>Games!O67</f>
        <v>Chattanooga</v>
      </c>
      <c r="AB51" s="56"/>
      <c r="AD51" s="258" t="s">
        <v>14</v>
      </c>
      <c r="AE51" s="258"/>
      <c r="AF51" s="20"/>
      <c r="AG51" s="24"/>
      <c r="AJ51" s="24"/>
      <c r="AK51" s="59">
        <f>Games!N32</f>
        <v>0.16</v>
      </c>
      <c r="AL51" s="46" t="e" vm="120">
        <f>_xlfn.XLOOKUP(AM51,Teams!$C:$C,Teams!$E:$E,,0,1)</f>
        <v>#VALUE!</v>
      </c>
      <c r="AM51" s="37" t="str">
        <f>Games!I32</f>
        <v>College of Charleston</v>
      </c>
      <c r="AN51" s="27">
        <v>13</v>
      </c>
      <c r="AO51" s="277"/>
    </row>
    <row r="52" spans="1:41" ht="10.5" customHeight="1" thickBot="1" x14ac:dyDescent="0.45">
      <c r="A52" s="16"/>
      <c r="B52" s="28"/>
      <c r="C52" s="38"/>
      <c r="D52" s="71"/>
      <c r="F52" s="24"/>
      <c r="G52" s="24"/>
      <c r="I52" s="24"/>
      <c r="J52" s="24"/>
      <c r="K52" s="258"/>
      <c r="L52" s="258"/>
      <c r="M52" s="20"/>
      <c r="N52" s="50"/>
      <c r="O52" s="266"/>
      <c r="P52" s="260"/>
      <c r="Q52" s="262"/>
      <c r="R52" s="25"/>
      <c r="S52" s="25"/>
      <c r="T52" s="25"/>
      <c r="U52" s="75"/>
      <c r="V52" s="25"/>
      <c r="W52" s="25"/>
      <c r="X52" s="25"/>
      <c r="Y52" s="254"/>
      <c r="Z52" s="250"/>
      <c r="AA52" s="257"/>
      <c r="AB52" s="56"/>
      <c r="AD52" s="258"/>
      <c r="AE52" s="258"/>
      <c r="AF52" s="20"/>
      <c r="AG52" s="24"/>
      <c r="AJ52" s="24"/>
      <c r="AM52" s="39"/>
      <c r="AN52" s="28"/>
      <c r="AO52" s="17"/>
    </row>
    <row r="53" spans="1:41" ht="18.600000000000001" customHeight="1" thickBot="1" x14ac:dyDescent="0.35">
      <c r="A53" s="16"/>
      <c r="B53" s="27">
        <v>6</v>
      </c>
      <c r="C53" s="36" t="str">
        <f>Games!G17</f>
        <v>Boise State</v>
      </c>
      <c r="D53" s="70" t="e" vm="89">
        <f>_xlfn.XLOOKUP(C53,Teams!$C:$C,Teams!$E:$E,,0,1)</f>
        <v>#VALUE!</v>
      </c>
      <c r="E53" s="46">
        <f>Games!L17</f>
        <v>0.65</v>
      </c>
      <c r="F53" s="256" t="str">
        <f>Games!O17</f>
        <v>Boise State</v>
      </c>
      <c r="G53" s="259" t="e" vm="89">
        <f>_xlfn.XLOOKUP(F53,Teams!$C:$C,Teams!$E:$E,,0,1)</f>
        <v>#VALUE!</v>
      </c>
      <c r="H53" s="251">
        <f>Games!L44</f>
        <v>0.99</v>
      </c>
      <c r="I53" s="24"/>
      <c r="J53" s="24"/>
      <c r="L53" s="18">
        <f>IF($AU$5=TRUE,L21+1,"")</f>
        <v>58</v>
      </c>
      <c r="M53" s="18"/>
      <c r="N53" s="50"/>
      <c r="O53" s="25"/>
      <c r="P53" s="25"/>
      <c r="Q53" s="51"/>
      <c r="R53" s="25"/>
      <c r="S53" s="25"/>
      <c r="T53" s="25"/>
      <c r="U53" s="75"/>
      <c r="V53" s="25"/>
      <c r="W53" s="25"/>
      <c r="X53" s="25"/>
      <c r="AA53" s="25"/>
      <c r="AB53" s="56"/>
      <c r="AD53" s="16">
        <f>IF($AU$5=TRUE,AD21+1,"")</f>
        <v>60</v>
      </c>
      <c r="AG53" s="24"/>
      <c r="AH53" s="251">
        <f>Games!L52</f>
        <v>0.53</v>
      </c>
      <c r="AI53" s="249" t="e" vm="121">
        <f>_xlfn.XLOOKUP(AJ53,Teams!$C:$C,Teams!$E:$E,,0,1)</f>
        <v>#VALUE!</v>
      </c>
      <c r="AJ53" s="256" t="str">
        <f>Games!O33</f>
        <v>Colorado</v>
      </c>
      <c r="AK53" s="58">
        <f>Games!L33</f>
        <v>0.81</v>
      </c>
      <c r="AL53" s="46" t="e" vm="121">
        <f>_xlfn.XLOOKUP(AM53,Teams!$C:$C,Teams!$E:$E,,0,1)</f>
        <v>#VALUE!</v>
      </c>
      <c r="AM53" s="37" t="str">
        <f>Games!G33</f>
        <v>Colorado</v>
      </c>
      <c r="AN53" s="27">
        <v>6</v>
      </c>
      <c r="AO53" s="17"/>
    </row>
    <row r="54" spans="1:41" ht="10.5" customHeight="1" thickBot="1" x14ac:dyDescent="0.35">
      <c r="A54" s="255">
        <f>IF($AU$5=TRUE,A50+1,"")</f>
        <v>13</v>
      </c>
      <c r="B54" s="28"/>
      <c r="C54" s="38"/>
      <c r="D54" s="71"/>
      <c r="E54" s="49"/>
      <c r="F54" s="257"/>
      <c r="G54" s="260"/>
      <c r="H54" s="252"/>
      <c r="I54" s="24"/>
      <c r="J54" s="24"/>
      <c r="L54" s="25"/>
      <c r="M54" s="25"/>
      <c r="N54" s="50"/>
      <c r="O54" s="25"/>
      <c r="P54" s="25"/>
      <c r="R54" s="25"/>
      <c r="S54" s="25"/>
      <c r="T54" s="25"/>
      <c r="U54" s="75"/>
      <c r="V54" s="25"/>
      <c r="W54" s="25"/>
      <c r="X54" s="25"/>
      <c r="AA54" s="25"/>
      <c r="AB54" s="56"/>
      <c r="AD54" s="25"/>
      <c r="AG54" s="24"/>
      <c r="AH54" s="252"/>
      <c r="AI54" s="250"/>
      <c r="AJ54" s="257"/>
      <c r="AK54" s="55"/>
      <c r="AM54" s="39"/>
      <c r="AN54" s="28"/>
      <c r="AO54" s="277">
        <f>IF($AU$5=TRUE,AO50+1,"")</f>
        <v>29</v>
      </c>
    </row>
    <row r="55" spans="1:41" ht="13.8" customHeight="1" thickBot="1" x14ac:dyDescent="0.35">
      <c r="A55" s="255"/>
      <c r="B55" s="27">
        <v>11</v>
      </c>
      <c r="C55" s="36" t="str">
        <f>Games!I17</f>
        <v>Boston College</v>
      </c>
      <c r="D55" s="70" t="e" vm="90">
        <f>_xlfn.XLOOKUP(C55,Teams!$C:$C,Teams!$E:$E,,0,1)</f>
        <v>#VALUE!</v>
      </c>
      <c r="E55" s="48">
        <f>Games!N17</f>
        <v>0.35</v>
      </c>
      <c r="F55" s="276">
        <f>IF($AU$5=TRUE,F47+1,"")</f>
        <v>39</v>
      </c>
      <c r="G55" s="14"/>
      <c r="H55" s="49"/>
      <c r="I55" s="265" t="str">
        <f>Games!O44</f>
        <v>Boise State</v>
      </c>
      <c r="J55" s="259" t="e" vm="89">
        <f>_xlfn.XLOOKUP(I55,Teams!$C:$C,Teams!$E:$E,,0,1)</f>
        <v>#VALUE!</v>
      </c>
      <c r="K55" s="251">
        <f>Games!L58</f>
        <v>0.82</v>
      </c>
      <c r="L55" s="25"/>
      <c r="M55" s="25"/>
      <c r="N55" s="50"/>
      <c r="O55" s="25"/>
      <c r="P55" s="25"/>
      <c r="R55" s="25"/>
      <c r="S55" s="25"/>
      <c r="T55" s="25"/>
      <c r="U55" s="75"/>
      <c r="V55" s="25"/>
      <c r="W55" s="25"/>
      <c r="X55" s="25"/>
      <c r="AA55" s="25"/>
      <c r="AB55" s="56"/>
      <c r="AD55" s="25"/>
      <c r="AE55" s="251">
        <f>Games!L62</f>
        <v>0.97</v>
      </c>
      <c r="AF55" s="249" t="e" vm="121">
        <f>_xlfn.XLOOKUP(AG55,Teams!$C:$C,Teams!$E:$E,,0,1)</f>
        <v>#VALUE!</v>
      </c>
      <c r="AG55" s="256" t="str">
        <f>Games!O52</f>
        <v>Colorado</v>
      </c>
      <c r="AH55" s="55"/>
      <c r="AI55" s="51"/>
      <c r="AJ55" s="276">
        <f>IF($AU$5=TRUE,AJ47+1,"")</f>
        <v>47</v>
      </c>
      <c r="AK55" s="59">
        <f>Games!N33</f>
        <v>0.19</v>
      </c>
      <c r="AL55" s="46" t="e" vm="122">
        <f>_xlfn.XLOOKUP(AM55,Teams!$C:$C,Teams!$E:$E,,0,1)</f>
        <v>#VALUE!</v>
      </c>
      <c r="AM55" s="37" t="str">
        <f>Games!I33</f>
        <v>Colorado State</v>
      </c>
      <c r="AN55" s="32">
        <v>11</v>
      </c>
      <c r="AO55" s="277"/>
    </row>
    <row r="56" spans="1:41" ht="10.5" customHeight="1" thickBot="1" x14ac:dyDescent="0.35">
      <c r="A56" s="16"/>
      <c r="B56" s="28"/>
      <c r="C56" s="38"/>
      <c r="D56" s="71"/>
      <c r="F56" s="255"/>
      <c r="G56" s="15"/>
      <c r="H56" s="50"/>
      <c r="I56" s="266"/>
      <c r="J56" s="260"/>
      <c r="K56" s="252"/>
      <c r="L56" s="25"/>
      <c r="M56" s="25"/>
      <c r="N56" s="50"/>
      <c r="O56" s="25"/>
      <c r="P56" s="25"/>
      <c r="R56" s="25"/>
      <c r="S56" s="25"/>
      <c r="T56" s="25"/>
      <c r="U56" s="75"/>
      <c r="V56" s="25"/>
      <c r="W56" s="25"/>
      <c r="X56" s="25"/>
      <c r="AA56" s="25"/>
      <c r="AB56" s="56"/>
      <c r="AD56" s="25"/>
      <c r="AE56" s="252"/>
      <c r="AF56" s="250"/>
      <c r="AG56" s="257"/>
      <c r="AH56" s="56"/>
      <c r="AJ56" s="255"/>
      <c r="AM56" s="39"/>
      <c r="AN56" s="28"/>
      <c r="AO56" s="17"/>
    </row>
    <row r="57" spans="1:41" ht="18.600000000000001" customHeight="1" thickBot="1" x14ac:dyDescent="0.35">
      <c r="A57" s="16"/>
      <c r="B57" s="27">
        <v>3</v>
      </c>
      <c r="C57" s="36" t="str">
        <f>Games!G18</f>
        <v>Florida</v>
      </c>
      <c r="D57" s="70" t="e" vm="91">
        <f>_xlfn.XLOOKUP(C57,Teams!$C:$C,Teams!$E:$E,,0,1)</f>
        <v>#VALUE!</v>
      </c>
      <c r="E57" s="46">
        <f>Games!L18</f>
        <v>0.53</v>
      </c>
      <c r="F57" s="256" t="str">
        <f>Games!O18</f>
        <v>Florida</v>
      </c>
      <c r="G57" s="259" t="e" vm="91">
        <f>_xlfn.XLOOKUP(F57,Teams!$C:$C,Teams!$E:$E,,0,1)</f>
        <v>#VALUE!</v>
      </c>
      <c r="H57" s="261">
        <f>Games!N44</f>
        <v>0.01</v>
      </c>
      <c r="I57" s="24"/>
      <c r="J57" s="24"/>
      <c r="K57" s="49"/>
      <c r="L57" s="25"/>
      <c r="M57" s="25"/>
      <c r="N57" s="50"/>
      <c r="O57" s="25"/>
      <c r="P57" s="25"/>
      <c r="R57" s="25"/>
      <c r="S57" s="25"/>
      <c r="T57" s="25"/>
      <c r="U57" s="75"/>
      <c r="V57" s="25"/>
      <c r="W57" s="25"/>
      <c r="X57" s="25"/>
      <c r="AA57" s="25"/>
      <c r="AB57" s="56"/>
      <c r="AD57" s="25"/>
      <c r="AE57" s="55"/>
      <c r="AG57" s="24"/>
      <c r="AH57" s="253">
        <f>Games!N52</f>
        <v>0.47</v>
      </c>
      <c r="AI57" s="249" t="e" vm="123">
        <f>_xlfn.XLOOKUP(AJ57,Teams!$C:$C,Teams!$E:$E,,0,1)</f>
        <v>#VALUE!</v>
      </c>
      <c r="AJ57" s="256" t="str">
        <f>Games!O34</f>
        <v>Columbia</v>
      </c>
      <c r="AK57" s="58">
        <f>Games!L34</f>
        <v>0.51</v>
      </c>
      <c r="AL57" s="46" t="e" vm="123">
        <f>_xlfn.XLOOKUP(AM57,Teams!$C:$C,Teams!$E:$E,,0,1)</f>
        <v>#VALUE!</v>
      </c>
      <c r="AM57" s="37" t="str">
        <f>Games!G34</f>
        <v>Columbia</v>
      </c>
      <c r="AN57" s="27">
        <v>3</v>
      </c>
      <c r="AO57" s="17"/>
    </row>
    <row r="58" spans="1:41" ht="10.5" customHeight="1" thickBot="1" x14ac:dyDescent="0.35">
      <c r="A58" s="255">
        <f>IF($AU$5=TRUE,A54+1,"")</f>
        <v>14</v>
      </c>
      <c r="B58" s="28"/>
      <c r="C58" s="38"/>
      <c r="D58" s="71"/>
      <c r="E58" s="49"/>
      <c r="F58" s="257"/>
      <c r="G58" s="260"/>
      <c r="H58" s="262"/>
      <c r="I58" s="24"/>
      <c r="J58" s="24"/>
      <c r="K58" s="50"/>
      <c r="L58" s="25"/>
      <c r="M58" s="25"/>
      <c r="N58" s="50"/>
      <c r="O58" s="25"/>
      <c r="P58" s="25"/>
      <c r="R58" s="25"/>
      <c r="S58" s="25"/>
      <c r="T58" s="25"/>
      <c r="U58" s="75"/>
      <c r="V58" s="25"/>
      <c r="W58" s="25"/>
      <c r="X58" s="25"/>
      <c r="AA58" s="25"/>
      <c r="AB58" s="56"/>
      <c r="AD58" s="25"/>
      <c r="AE58" s="56"/>
      <c r="AG58" s="24"/>
      <c r="AH58" s="254"/>
      <c r="AI58" s="250"/>
      <c r="AJ58" s="257"/>
      <c r="AK58" s="55"/>
      <c r="AM58" s="39"/>
      <c r="AN58" s="28"/>
      <c r="AO58" s="277">
        <f>IF($AU$5=TRUE,AO54+1,"")</f>
        <v>30</v>
      </c>
    </row>
    <row r="59" spans="1:41" ht="13.8" customHeight="1" thickBot="1" x14ac:dyDescent="0.35">
      <c r="A59" s="255"/>
      <c r="B59" s="27">
        <v>14</v>
      </c>
      <c r="C59" s="36" t="str">
        <f>Games!I18</f>
        <v>Duke</v>
      </c>
      <c r="D59" s="70" t="e" vm="92">
        <f>_xlfn.XLOOKUP(C59,Teams!$C:$C,Teams!$E:$E,,0,1)</f>
        <v>#VALUE!</v>
      </c>
      <c r="E59" s="48">
        <f>Games!N18</f>
        <v>0.47</v>
      </c>
      <c r="F59" s="24"/>
      <c r="G59" s="24"/>
      <c r="I59" s="255">
        <f>IF($AU$5=TRUE,I43+1,"")</f>
        <v>52</v>
      </c>
      <c r="J59" s="15"/>
      <c r="K59" s="50"/>
      <c r="L59" s="265" t="str">
        <f>Games!O58</f>
        <v>Boise State</v>
      </c>
      <c r="M59" s="259" t="e" vm="89">
        <f>_xlfn.XLOOKUP(L59,Teams!$C:$C,Teams!$E:$E,,0,1)</f>
        <v>#VALUE!</v>
      </c>
      <c r="N59" s="261">
        <f>Games!N65</f>
        <v>0.23</v>
      </c>
      <c r="O59" s="25"/>
      <c r="P59" s="25"/>
      <c r="R59" s="25"/>
      <c r="S59" s="25"/>
      <c r="T59" s="25"/>
      <c r="U59" s="75"/>
      <c r="V59" s="25"/>
      <c r="W59" s="25"/>
      <c r="X59" s="25"/>
      <c r="AA59" s="25"/>
      <c r="AB59" s="253">
        <f>Games!N67</f>
        <v>0.3</v>
      </c>
      <c r="AC59" s="249" t="e" vm="121">
        <f>_xlfn.XLOOKUP(AD59,Teams!$C:$C,Teams!$E:$E,,0,1)</f>
        <v>#VALUE!</v>
      </c>
      <c r="AD59" s="256" t="str">
        <f>Games!O62</f>
        <v>Colorado</v>
      </c>
      <c r="AE59" s="56"/>
      <c r="AG59" s="255">
        <f>IF($AU$5=TRUE,AG43+1,"")</f>
        <v>56</v>
      </c>
      <c r="AJ59" s="24"/>
      <c r="AK59" s="59">
        <f>Games!N34</f>
        <v>0.49</v>
      </c>
      <c r="AL59" s="46" t="e" vm="124">
        <f>_xlfn.XLOOKUP(AM59,Teams!$C:$C,Teams!$E:$E,,0,1)</f>
        <v>#VALUE!</v>
      </c>
      <c r="AM59" s="37" t="str">
        <f>Games!I34</f>
        <v>Connecticut</v>
      </c>
      <c r="AN59" s="27">
        <v>14</v>
      </c>
      <c r="AO59" s="277"/>
    </row>
    <row r="60" spans="1:41" ht="10.5" customHeight="1" thickBot="1" x14ac:dyDescent="0.35">
      <c r="A60" s="16"/>
      <c r="B60" s="28"/>
      <c r="C60" s="38"/>
      <c r="D60" s="71"/>
      <c r="F60" s="24"/>
      <c r="G60" s="24"/>
      <c r="I60" s="255"/>
      <c r="J60" s="15"/>
      <c r="K60" s="50"/>
      <c r="L60" s="266"/>
      <c r="M60" s="260"/>
      <c r="N60" s="262"/>
      <c r="O60" s="25"/>
      <c r="P60" s="25"/>
      <c r="Q60" s="25"/>
      <c r="R60" s="25"/>
      <c r="S60" s="25"/>
      <c r="T60" s="25"/>
      <c r="U60" s="75"/>
      <c r="V60" s="25"/>
      <c r="W60" s="25"/>
      <c r="X60" s="25"/>
      <c r="AA60" s="25"/>
      <c r="AB60" s="254"/>
      <c r="AC60" s="250"/>
      <c r="AD60" s="257"/>
      <c r="AE60" s="56"/>
      <c r="AG60" s="255"/>
      <c r="AJ60" s="24"/>
      <c r="AM60" s="39"/>
      <c r="AN60" s="28"/>
      <c r="AO60" s="17"/>
    </row>
    <row r="61" spans="1:41" ht="18.600000000000001" customHeight="1" thickBot="1" x14ac:dyDescent="0.35">
      <c r="A61" s="16"/>
      <c r="B61" s="27">
        <v>7</v>
      </c>
      <c r="C61" s="36" t="str">
        <f>Games!G19</f>
        <v>Bradley</v>
      </c>
      <c r="D61" s="70" t="e" vm="93">
        <f>_xlfn.XLOOKUP(C61,Teams!$C:$C,Teams!$E:$E,,0,1)</f>
        <v>#VALUE!</v>
      </c>
      <c r="E61" s="46">
        <f>Games!L19</f>
        <v>0.56999999999999995</v>
      </c>
      <c r="F61" s="256" t="str">
        <f>Games!O19</f>
        <v>Bradley</v>
      </c>
      <c r="G61" s="259" t="e" vm="93">
        <f>_xlfn.XLOOKUP(F61,Teams!$C:$C,Teams!$E:$E,,0,1)</f>
        <v>#VALUE!</v>
      </c>
      <c r="H61" s="251">
        <f>Games!L45</f>
        <v>0.7</v>
      </c>
      <c r="I61" s="24"/>
      <c r="J61" s="24"/>
      <c r="K61" s="50"/>
      <c r="L61" s="25"/>
      <c r="M61" s="25"/>
      <c r="O61" s="25"/>
      <c r="P61" s="25"/>
      <c r="Q61" s="25"/>
      <c r="R61" s="25"/>
      <c r="S61" s="25"/>
      <c r="T61" s="25"/>
      <c r="U61" s="75"/>
      <c r="V61" s="25"/>
      <c r="W61" s="25"/>
      <c r="X61" s="25"/>
      <c r="AA61" s="25"/>
      <c r="AD61" s="25"/>
      <c r="AE61" s="56"/>
      <c r="AG61" s="24"/>
      <c r="AH61" s="251">
        <f>Games!L53</f>
        <v>0.95</v>
      </c>
      <c r="AI61" s="249" t="e" vm="125">
        <f>_xlfn.XLOOKUP(AJ61,Teams!$C:$C,Teams!$E:$E,,0,1)</f>
        <v>#VALUE!</v>
      </c>
      <c r="AJ61" s="256" t="str">
        <f>Games!O35</f>
        <v>Coppin State</v>
      </c>
      <c r="AK61" s="58">
        <f>Games!L35</f>
        <v>0.84</v>
      </c>
      <c r="AL61" s="46" t="e" vm="125">
        <f>_xlfn.XLOOKUP(AM61,Teams!$C:$C,Teams!$E:$E,,0,1)</f>
        <v>#VALUE!</v>
      </c>
      <c r="AM61" s="37" t="str">
        <f>Games!G35</f>
        <v>Coppin State</v>
      </c>
      <c r="AN61" s="27">
        <v>7</v>
      </c>
      <c r="AO61" s="17"/>
    </row>
    <row r="62" spans="1:41" ht="10.5" customHeight="1" thickBot="1" x14ac:dyDescent="0.35">
      <c r="A62" s="255">
        <f>IF($AU$5=TRUE,A58+1,"")</f>
        <v>15</v>
      </c>
      <c r="B62" s="28"/>
      <c r="C62" s="38"/>
      <c r="D62" s="71"/>
      <c r="E62" s="49"/>
      <c r="F62" s="257"/>
      <c r="G62" s="260"/>
      <c r="H62" s="252"/>
      <c r="I62" s="24"/>
      <c r="J62" s="24"/>
      <c r="K62" s="50"/>
      <c r="L62" s="25"/>
      <c r="M62" s="25"/>
      <c r="O62" s="25"/>
      <c r="P62" s="25"/>
      <c r="Q62" s="25"/>
      <c r="R62" s="25"/>
      <c r="S62" s="25"/>
      <c r="T62" s="25"/>
      <c r="U62" s="75"/>
      <c r="V62" s="25"/>
      <c r="W62" s="25"/>
      <c r="X62" s="25"/>
      <c r="AA62" s="25"/>
      <c r="AD62" s="25"/>
      <c r="AE62" s="56"/>
      <c r="AG62" s="24"/>
      <c r="AH62" s="252"/>
      <c r="AI62" s="250"/>
      <c r="AJ62" s="257"/>
      <c r="AK62" s="55"/>
      <c r="AM62" s="39"/>
      <c r="AN62" s="28"/>
      <c r="AO62" s="277">
        <f>IF($AU$5=TRUE,AO58+1,"")</f>
        <v>31</v>
      </c>
    </row>
    <row r="63" spans="1:41" ht="13.8" customHeight="1" thickBot="1" x14ac:dyDescent="0.35">
      <c r="A63" s="255"/>
      <c r="B63" s="27">
        <v>10</v>
      </c>
      <c r="C63" s="36" t="str">
        <f>Games!I19</f>
        <v>Brigham Young</v>
      </c>
      <c r="D63" s="70" t="e" vm="94">
        <f>_xlfn.XLOOKUP(C63,Teams!$C:$C,Teams!$E:$E,,0,1)</f>
        <v>#VALUE!</v>
      </c>
      <c r="E63" s="48">
        <f>Games!N19</f>
        <v>0.43</v>
      </c>
      <c r="F63" s="276">
        <f>IF($AU$5=TRUE,F55+1,"")</f>
        <v>40</v>
      </c>
      <c r="G63" s="14"/>
      <c r="H63" s="49"/>
      <c r="I63" s="265" t="str">
        <f>Games!O45</f>
        <v>Bradley</v>
      </c>
      <c r="J63" s="259" t="e" vm="93">
        <f>_xlfn.XLOOKUP(I63,Teams!$C:$C,Teams!$E:$E,,0,1)</f>
        <v>#VALUE!</v>
      </c>
      <c r="K63" s="261">
        <f>Games!N58</f>
        <v>0.18</v>
      </c>
      <c r="L63" s="25"/>
      <c r="M63" s="25"/>
      <c r="O63" s="25"/>
      <c r="P63" s="25"/>
      <c r="Q63" s="25"/>
      <c r="R63" s="25"/>
      <c r="S63" s="25"/>
      <c r="T63" s="25"/>
      <c r="U63" s="75"/>
      <c r="V63" s="25"/>
      <c r="W63" s="25"/>
      <c r="X63" s="25"/>
      <c r="Y63" s="57"/>
      <c r="Z63" s="57"/>
      <c r="AA63" s="25"/>
      <c r="AD63" s="25"/>
      <c r="AE63" s="253">
        <f>Games!N62</f>
        <v>0.03</v>
      </c>
      <c r="AF63" s="249" t="e" vm="125">
        <f>_xlfn.XLOOKUP(AG63,Teams!$C:$C,Teams!$E:$E,,0,1)</f>
        <v>#VALUE!</v>
      </c>
      <c r="AG63" s="256" t="str">
        <f>Games!O53</f>
        <v>Coppin State</v>
      </c>
      <c r="AH63" s="55"/>
      <c r="AI63" s="51"/>
      <c r="AJ63" s="276">
        <f>IF($AU$5=TRUE,AJ55+1,"")</f>
        <v>48</v>
      </c>
      <c r="AK63" s="59">
        <f>Games!N35</f>
        <v>0.16</v>
      </c>
      <c r="AL63" s="46" t="e" vm="126">
        <f>_xlfn.XLOOKUP(AM63,Teams!$C:$C,Teams!$E:$E,,0,1)</f>
        <v>#VALUE!</v>
      </c>
      <c r="AM63" s="37" t="str">
        <f>Games!I35</f>
        <v>Cornell</v>
      </c>
      <c r="AN63" s="27">
        <v>10</v>
      </c>
      <c r="AO63" s="277"/>
    </row>
    <row r="64" spans="1:41" ht="10.5" customHeight="1" thickBot="1" x14ac:dyDescent="0.35">
      <c r="A64" s="16"/>
      <c r="B64" s="28"/>
      <c r="C64" s="38"/>
      <c r="D64" s="71"/>
      <c r="F64" s="255"/>
      <c r="G64" s="15"/>
      <c r="H64" s="50"/>
      <c r="I64" s="266"/>
      <c r="J64" s="260"/>
      <c r="K64" s="262"/>
      <c r="L64" s="25"/>
      <c r="M64" s="25"/>
      <c r="O64" s="25"/>
      <c r="P64" s="25"/>
      <c r="R64" s="25"/>
      <c r="S64" s="25"/>
      <c r="T64" s="25"/>
      <c r="U64" s="75"/>
      <c r="V64" s="25"/>
      <c r="W64" s="25"/>
      <c r="X64" s="25"/>
      <c r="Y64" s="57"/>
      <c r="Z64" s="57"/>
      <c r="AA64" s="25"/>
      <c r="AD64" s="25"/>
      <c r="AE64" s="254"/>
      <c r="AF64" s="250"/>
      <c r="AG64" s="257"/>
      <c r="AH64" s="56"/>
      <c r="AJ64" s="255"/>
      <c r="AM64" s="39"/>
      <c r="AN64" s="28"/>
      <c r="AO64" s="17"/>
    </row>
    <row r="65" spans="1:41" ht="18.600000000000001" customHeight="1" thickBot="1" x14ac:dyDescent="0.35">
      <c r="A65" s="16"/>
      <c r="B65" s="27">
        <v>2</v>
      </c>
      <c r="C65" s="36" t="str">
        <f>Games!G20</f>
        <v>Brown</v>
      </c>
      <c r="D65" s="70" t="e" vm="95">
        <f>_xlfn.XLOOKUP(C65,Teams!$C:$C,Teams!$E:$E,,0,1)</f>
        <v>#VALUE!</v>
      </c>
      <c r="E65" s="46">
        <f>Games!L20</f>
        <v>0.69</v>
      </c>
      <c r="F65" s="256" t="str">
        <f>Games!O20</f>
        <v>Brown</v>
      </c>
      <c r="G65" s="259" t="e" vm="95">
        <f>_xlfn.XLOOKUP(F65,Teams!$C:$C,Teams!$E:$E,,0,1)</f>
        <v>#VALUE!</v>
      </c>
      <c r="H65" s="261">
        <f>Games!N45</f>
        <v>0.3</v>
      </c>
      <c r="I65" s="25"/>
      <c r="J65" s="25"/>
      <c r="L65" s="25"/>
      <c r="M65" s="25"/>
      <c r="O65" s="25"/>
      <c r="P65" s="25"/>
      <c r="R65" s="25"/>
      <c r="S65" s="25"/>
      <c r="T65" s="25"/>
      <c r="U65" s="75"/>
      <c r="V65" s="25"/>
      <c r="W65" s="25"/>
      <c r="X65" s="25"/>
      <c r="Y65" s="57"/>
      <c r="Z65" s="57"/>
      <c r="AA65" s="25"/>
      <c r="AD65" s="25"/>
      <c r="AG65" s="24"/>
      <c r="AH65" s="253">
        <f>Games!N53</f>
        <v>0.05</v>
      </c>
      <c r="AI65" s="249" t="e" vm="127">
        <f>_xlfn.XLOOKUP(AJ65,Teams!$C:$C,Teams!$E:$E,,0,1)</f>
        <v>#VALUE!</v>
      </c>
      <c r="AJ65" s="256" t="str">
        <f>Games!O36</f>
        <v>Creighton</v>
      </c>
      <c r="AK65" s="58">
        <f>Games!L36</f>
        <v>0.57999999999999996</v>
      </c>
      <c r="AL65" s="46" t="e" vm="127">
        <f>_xlfn.XLOOKUP(AM65,Teams!$C:$C,Teams!$E:$E,,0,1)</f>
        <v>#VALUE!</v>
      </c>
      <c r="AM65" s="37" t="str">
        <f>Games!G36</f>
        <v>Creighton</v>
      </c>
      <c r="AN65" s="27">
        <v>2</v>
      </c>
      <c r="AO65" s="17"/>
    </row>
    <row r="66" spans="1:41" ht="10.5" customHeight="1" thickBot="1" x14ac:dyDescent="0.35">
      <c r="A66" s="255">
        <f>IF($AU$5=TRUE,A62+1,"")</f>
        <v>16</v>
      </c>
      <c r="B66" s="28"/>
      <c r="C66" s="38"/>
      <c r="D66" s="71"/>
      <c r="E66" s="49"/>
      <c r="F66" s="257"/>
      <c r="G66" s="260"/>
      <c r="H66" s="262"/>
      <c r="I66" s="25"/>
      <c r="J66" s="25"/>
      <c r="L66" s="25"/>
      <c r="M66" s="25"/>
      <c r="O66" s="292"/>
      <c r="P66" s="292"/>
      <c r="Q66" s="292"/>
      <c r="R66" s="292"/>
      <c r="S66" s="292"/>
      <c r="T66" s="292"/>
      <c r="U66" s="292"/>
      <c r="V66" s="292"/>
      <c r="W66" s="292"/>
      <c r="X66" s="292"/>
      <c r="Y66" s="292"/>
      <c r="Z66" s="292"/>
      <c r="AA66" s="292"/>
      <c r="AD66" s="25"/>
      <c r="AG66" s="24"/>
      <c r="AH66" s="254"/>
      <c r="AI66" s="250"/>
      <c r="AJ66" s="257"/>
      <c r="AK66" s="55"/>
      <c r="AM66" s="39"/>
      <c r="AN66" s="28"/>
      <c r="AO66" s="277">
        <f>IF($AU$5=TRUE,AO62+1,"")</f>
        <v>32</v>
      </c>
    </row>
    <row r="67" spans="1:41" ht="13.8" customHeight="1" thickBot="1" x14ac:dyDescent="0.35">
      <c r="A67" s="255"/>
      <c r="B67" s="27">
        <v>15</v>
      </c>
      <c r="C67" s="36" t="str">
        <f>Games!I20</f>
        <v>Bryant</v>
      </c>
      <c r="D67" s="70" t="e" vm="96">
        <f>_xlfn.XLOOKUP(C67,Teams!$C:$C,Teams!$E:$E,,0,1)</f>
        <v>#VALUE!</v>
      </c>
      <c r="E67" s="48">
        <f>Games!N20</f>
        <v>0.31</v>
      </c>
      <c r="F67" s="25"/>
      <c r="G67" s="25"/>
      <c r="I67" s="25"/>
      <c r="J67" s="25"/>
      <c r="L67" s="25"/>
      <c r="M67" s="25"/>
      <c r="O67" s="291"/>
      <c r="P67" s="291"/>
      <c r="Q67" s="291"/>
      <c r="R67" s="291"/>
      <c r="S67" s="291"/>
      <c r="T67" s="291"/>
      <c r="U67" s="291"/>
      <c r="V67" s="291"/>
      <c r="W67" s="291"/>
      <c r="X67" s="291"/>
      <c r="Y67" s="291"/>
      <c r="Z67" s="291"/>
      <c r="AA67" s="291"/>
      <c r="AD67" s="25"/>
      <c r="AG67" s="25"/>
      <c r="AJ67" s="24"/>
      <c r="AK67" s="59">
        <f>Games!N36</f>
        <v>0.42</v>
      </c>
      <c r="AL67" s="46" t="e" vm="128">
        <f>_xlfn.XLOOKUP(AM67,Teams!$C:$C,Teams!$E:$E,,0,1)</f>
        <v>#VALUE!</v>
      </c>
      <c r="AM67" s="37" t="str">
        <f>Games!I36</f>
        <v>Dartmouth</v>
      </c>
      <c r="AN67" s="27">
        <v>15</v>
      </c>
      <c r="AO67" s="277"/>
    </row>
    <row r="68" spans="1:41" ht="15.6" x14ac:dyDescent="0.3">
      <c r="A68" s="13"/>
      <c r="B68" s="24"/>
      <c r="C68" s="42"/>
      <c r="D68" s="72"/>
      <c r="F68" s="25"/>
      <c r="G68" s="25"/>
      <c r="I68" s="25"/>
      <c r="J68" s="25"/>
      <c r="L68" s="25"/>
      <c r="M68" s="25"/>
      <c r="O68" s="25"/>
      <c r="P68" s="25"/>
      <c r="R68" s="25"/>
      <c r="S68" s="25"/>
      <c r="T68" s="53"/>
      <c r="U68" s="76"/>
      <c r="V68" s="53"/>
      <c r="W68" s="25"/>
      <c r="X68" s="25"/>
      <c r="Y68" s="57"/>
      <c r="Z68" s="57"/>
      <c r="AA68" s="25"/>
      <c r="AD68" s="25"/>
      <c r="AG68" s="25"/>
      <c r="AJ68" s="25"/>
      <c r="AM68" s="25"/>
      <c r="AN68" s="24"/>
      <c r="AO68" s="17"/>
    </row>
    <row r="69" spans="1:41" ht="15.6" x14ac:dyDescent="0.3">
      <c r="A69" s="13"/>
      <c r="C69" s="42"/>
      <c r="D69" s="72"/>
      <c r="AO69" s="17"/>
    </row>
    <row r="70" spans="1:41" x14ac:dyDescent="0.25"/>
  </sheetData>
  <mergeCells count="258">
    <mergeCell ref="M11:M12"/>
    <mergeCell ref="AC11:AC12"/>
    <mergeCell ref="T11:V19"/>
    <mergeCell ref="AF15:AF16"/>
    <mergeCell ref="O67:AA67"/>
    <mergeCell ref="O66:AA66"/>
    <mergeCell ref="F33:F34"/>
    <mergeCell ref="F21:F22"/>
    <mergeCell ref="F37:F38"/>
    <mergeCell ref="H37:H38"/>
    <mergeCell ref="K55:K56"/>
    <mergeCell ref="K51:L52"/>
    <mergeCell ref="T39:T40"/>
    <mergeCell ref="AB27:AB28"/>
    <mergeCell ref="AA19:AA20"/>
    <mergeCell ref="S32:W33"/>
    <mergeCell ref="Y19:Y20"/>
    <mergeCell ref="S31:W31"/>
    <mergeCell ref="G29:G30"/>
    <mergeCell ref="AC59:AC60"/>
    <mergeCell ref="G13:G14"/>
    <mergeCell ref="K23:K24"/>
    <mergeCell ref="K31:K32"/>
    <mergeCell ref="O19:O20"/>
    <mergeCell ref="B1:AN1"/>
    <mergeCell ref="I7:I8"/>
    <mergeCell ref="K15:K16"/>
    <mergeCell ref="I15:I16"/>
    <mergeCell ref="K7:K8"/>
    <mergeCell ref="L11:L12"/>
    <mergeCell ref="AG15:AG16"/>
    <mergeCell ref="AJ7:AJ8"/>
    <mergeCell ref="H5:H6"/>
    <mergeCell ref="F5:F6"/>
    <mergeCell ref="H9:H10"/>
    <mergeCell ref="F9:F10"/>
    <mergeCell ref="F7:F8"/>
    <mergeCell ref="F15:F16"/>
    <mergeCell ref="N11:N12"/>
    <mergeCell ref="I11:I12"/>
    <mergeCell ref="S2:W2"/>
    <mergeCell ref="AB11:AB12"/>
    <mergeCell ref="AJ5:AJ6"/>
    <mergeCell ref="AH5:AH6"/>
    <mergeCell ref="AJ9:AJ10"/>
    <mergeCell ref="AH9:AH10"/>
    <mergeCell ref="AJ13:AJ14"/>
    <mergeCell ref="AJ15:AJ16"/>
    <mergeCell ref="AJ63:AJ64"/>
    <mergeCell ref="AJ57:AJ58"/>
    <mergeCell ref="AH65:AH66"/>
    <mergeCell ref="AJ65:AJ66"/>
    <mergeCell ref="AH61:AH62"/>
    <mergeCell ref="AI41:AI42"/>
    <mergeCell ref="AI45:AI46"/>
    <mergeCell ref="AI49:AI50"/>
    <mergeCell ref="AI53:AI54"/>
    <mergeCell ref="AI57:AI58"/>
    <mergeCell ref="AI61:AI62"/>
    <mergeCell ref="AI65:AI66"/>
    <mergeCell ref="AJ45:AJ46"/>
    <mergeCell ref="AG39:AG40"/>
    <mergeCell ref="AE63:AE64"/>
    <mergeCell ref="AG63:AG64"/>
    <mergeCell ref="F63:F64"/>
    <mergeCell ref="F61:F62"/>
    <mergeCell ref="H61:H62"/>
    <mergeCell ref="J55:J56"/>
    <mergeCell ref="H33:H34"/>
    <mergeCell ref="F57:F58"/>
    <mergeCell ref="H57:H58"/>
    <mergeCell ref="H45:H46"/>
    <mergeCell ref="I43:I44"/>
    <mergeCell ref="AF63:AF64"/>
    <mergeCell ref="AF55:AF56"/>
    <mergeCell ref="AF47:AF48"/>
    <mergeCell ref="G61:G62"/>
    <mergeCell ref="M43:M44"/>
    <mergeCell ref="Y51:Y52"/>
    <mergeCell ref="AB59:AB60"/>
    <mergeCell ref="G57:G58"/>
    <mergeCell ref="G53:G54"/>
    <mergeCell ref="G49:G50"/>
    <mergeCell ref="G45:G46"/>
    <mergeCell ref="G41:G42"/>
    <mergeCell ref="H41:H42"/>
    <mergeCell ref="F29:F30"/>
    <mergeCell ref="H29:H30"/>
    <mergeCell ref="F25:F26"/>
    <mergeCell ref="H25:H26"/>
    <mergeCell ref="K19:L20"/>
    <mergeCell ref="I23:I24"/>
    <mergeCell ref="A34:A35"/>
    <mergeCell ref="F13:F14"/>
    <mergeCell ref="H17:H18"/>
    <mergeCell ref="F17:F18"/>
    <mergeCell ref="A26:A27"/>
    <mergeCell ref="A30:A31"/>
    <mergeCell ref="G21:G22"/>
    <mergeCell ref="G33:G34"/>
    <mergeCell ref="A6:A7"/>
    <mergeCell ref="A10:A11"/>
    <mergeCell ref="A14:A15"/>
    <mergeCell ref="A18:A19"/>
    <mergeCell ref="A21:A22"/>
    <mergeCell ref="G5:G6"/>
    <mergeCell ref="J7:J8"/>
    <mergeCell ref="J15:J16"/>
    <mergeCell ref="A66:A67"/>
    <mergeCell ref="F41:F42"/>
    <mergeCell ref="J63:J64"/>
    <mergeCell ref="I31:I32"/>
    <mergeCell ref="I27:I28"/>
    <mergeCell ref="I63:I64"/>
    <mergeCell ref="J23:J24"/>
    <mergeCell ref="G25:G26"/>
    <mergeCell ref="H13:H14"/>
    <mergeCell ref="G9:G10"/>
    <mergeCell ref="G17:G18"/>
    <mergeCell ref="H21:H22"/>
    <mergeCell ref="A62:A63"/>
    <mergeCell ref="A50:A51"/>
    <mergeCell ref="A54:A55"/>
    <mergeCell ref="G37:G38"/>
    <mergeCell ref="AH29:AH30"/>
    <mergeCell ref="AJ29:AJ30"/>
    <mergeCell ref="AJ37:AJ38"/>
    <mergeCell ref="A38:A39"/>
    <mergeCell ref="A42:A43"/>
    <mergeCell ref="A46:A47"/>
    <mergeCell ref="A58:A59"/>
    <mergeCell ref="I47:I48"/>
    <mergeCell ref="F53:F54"/>
    <mergeCell ref="H53:H54"/>
    <mergeCell ref="I55:I56"/>
    <mergeCell ref="F49:F50"/>
    <mergeCell ref="H49:H50"/>
    <mergeCell ref="F45:F46"/>
    <mergeCell ref="J47:J48"/>
    <mergeCell ref="I39:I40"/>
    <mergeCell ref="AH45:AH46"/>
    <mergeCell ref="AE47:AE48"/>
    <mergeCell ref="AG59:AG60"/>
    <mergeCell ref="AG55:AG56"/>
    <mergeCell ref="AH57:AH58"/>
    <mergeCell ref="I59:I60"/>
    <mergeCell ref="M59:M60"/>
    <mergeCell ref="N59:N60"/>
    <mergeCell ref="AO62:AO63"/>
    <mergeCell ref="AO66:AO67"/>
    <mergeCell ref="F23:F24"/>
    <mergeCell ref="F31:F32"/>
    <mergeCell ref="F39:F40"/>
    <mergeCell ref="F47:F48"/>
    <mergeCell ref="F55:F56"/>
    <mergeCell ref="AO26:AO27"/>
    <mergeCell ref="AO30:AO31"/>
    <mergeCell ref="AO34:AO35"/>
    <mergeCell ref="AJ61:AJ62"/>
    <mergeCell ref="AE39:AE40"/>
    <mergeCell ref="AH49:AH50"/>
    <mergeCell ref="AJ49:AJ50"/>
    <mergeCell ref="AH53:AH54"/>
    <mergeCell ref="AJ53:AJ54"/>
    <mergeCell ref="AJ47:AJ48"/>
    <mergeCell ref="AD51:AE52"/>
    <mergeCell ref="AG47:AG48"/>
    <mergeCell ref="G65:G66"/>
    <mergeCell ref="AO22:AO23"/>
    <mergeCell ref="F65:F66"/>
    <mergeCell ref="H65:H66"/>
    <mergeCell ref="L59:L60"/>
    <mergeCell ref="AO50:AO51"/>
    <mergeCell ref="AO54:AO55"/>
    <mergeCell ref="AO58:AO59"/>
    <mergeCell ref="AO38:AO39"/>
    <mergeCell ref="AO42:AO43"/>
    <mergeCell ref="AO46:AO47"/>
    <mergeCell ref="AJ41:AJ42"/>
    <mergeCell ref="AJ39:AJ40"/>
    <mergeCell ref="AH41:AH42"/>
    <mergeCell ref="AH37:AH38"/>
    <mergeCell ref="AJ55:AJ56"/>
    <mergeCell ref="AH25:AH26"/>
    <mergeCell ref="AH33:AH34"/>
    <mergeCell ref="AG43:AG44"/>
    <mergeCell ref="AF39:AF40"/>
    <mergeCell ref="AF31:AF32"/>
    <mergeCell ref="AQ3:AQ11"/>
    <mergeCell ref="AQ14:AQ19"/>
    <mergeCell ref="AQ22:AQ27"/>
    <mergeCell ref="AQ34:AQ37"/>
    <mergeCell ref="AJ31:AJ32"/>
    <mergeCell ref="AJ25:AJ26"/>
    <mergeCell ref="AO6:AO7"/>
    <mergeCell ref="AO10:AO11"/>
    <mergeCell ref="AO14:AO15"/>
    <mergeCell ref="AO18:AO19"/>
    <mergeCell ref="AJ21:AJ22"/>
    <mergeCell ref="AH21:AH22"/>
    <mergeCell ref="AH13:AH14"/>
    <mergeCell ref="AH17:AH18"/>
    <mergeCell ref="AJ17:AJ18"/>
    <mergeCell ref="AJ23:AJ24"/>
    <mergeCell ref="AG27:AG28"/>
    <mergeCell ref="AG31:AG32"/>
    <mergeCell ref="AJ33:AJ34"/>
    <mergeCell ref="AD27:AD28"/>
    <mergeCell ref="AD59:AD60"/>
    <mergeCell ref="U27:U28"/>
    <mergeCell ref="AC27:AC28"/>
    <mergeCell ref="V27:V28"/>
    <mergeCell ref="R27:T28"/>
    <mergeCell ref="J31:J32"/>
    <mergeCell ref="J39:J40"/>
    <mergeCell ref="M27:M28"/>
    <mergeCell ref="K39:K40"/>
    <mergeCell ref="N27:N28"/>
    <mergeCell ref="L27:L28"/>
    <mergeCell ref="Q51:Q52"/>
    <mergeCell ref="K47:K48"/>
    <mergeCell ref="L43:L44"/>
    <mergeCell ref="K63:K64"/>
    <mergeCell ref="AE31:AE32"/>
    <mergeCell ref="N43:N44"/>
    <mergeCell ref="T35:V35"/>
    <mergeCell ref="AE55:AE56"/>
    <mergeCell ref="AB43:AB44"/>
    <mergeCell ref="AA51:AA52"/>
    <mergeCell ref="AD43:AD44"/>
    <mergeCell ref="O51:O52"/>
    <mergeCell ref="U39:U40"/>
    <mergeCell ref="P51:P52"/>
    <mergeCell ref="Z51:Z52"/>
    <mergeCell ref="V39:X40"/>
    <mergeCell ref="AC43:AC44"/>
    <mergeCell ref="AE7:AE8"/>
    <mergeCell ref="AE15:AE16"/>
    <mergeCell ref="AG11:AG12"/>
    <mergeCell ref="AD11:AD12"/>
    <mergeCell ref="AD19:AE20"/>
    <mergeCell ref="Q19:Q20"/>
    <mergeCell ref="AG23:AG24"/>
    <mergeCell ref="AE23:AE24"/>
    <mergeCell ref="P19:P20"/>
    <mergeCell ref="Z19:Z20"/>
    <mergeCell ref="AG7:AG8"/>
    <mergeCell ref="AF23:AF24"/>
    <mergeCell ref="AF7:AF8"/>
    <mergeCell ref="AI5:AI6"/>
    <mergeCell ref="AI9:AI10"/>
    <mergeCell ref="AI13:AI14"/>
    <mergeCell ref="AI17:AI18"/>
    <mergeCell ref="AI21:AI22"/>
    <mergeCell ref="AI25:AI26"/>
    <mergeCell ref="AI29:AI30"/>
    <mergeCell ref="AI33:AI34"/>
    <mergeCell ref="AI37:AI38"/>
  </mergeCells>
  <phoneticPr fontId="0" type="noConversion"/>
  <dataValidations disablePrompts="1" count="1">
    <dataValidation type="list" allowBlank="1" showInputMessage="1" showErrorMessage="1" sqref="AP29" xr:uid="{00000000-0002-0000-0000-000000000000}">
      <formula1>$AU$3:$AU$3</formula1>
    </dataValidation>
  </dataValidations>
  <printOptions horizontalCentered="1"/>
  <pageMargins left="0.25" right="0.25" top="0.35" bottom="0.35" header="0.25" footer="0.25"/>
  <pageSetup scale="65" orientation="landscape" horizontalDpi="4294967293" r:id="rId1"/>
  <ignoredErrors>
    <ignoredError sqref="F63 F7:F8 AJ7:AJ8 F15:F16 F19:F20 F23:F24 F27:F28 F31:F32 F35:F36 F39:F40 F43:F44 F55:F56 AJ11:AJ12 AJ15:AJ16 AJ19:AJ20 AJ23:AJ24 AJ27:AJ28 AJ31:AJ32 AJ35:AJ36 AJ39:AJ40 AJ43:AJ44 AJ47:AJ48 AJ51:AJ52 AJ55:AJ56 AJ59:AJ60 AJ63:AJ64 F11:F12 F47:F48 F51:F52" formula="1"/>
  </ignoredErrors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6ADB967-3A97-4896-9960-D25CBB24DEF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Team_Links</vt:lpstr>
      <vt:lpstr>Teams</vt:lpstr>
      <vt:lpstr>Games</vt:lpstr>
      <vt:lpstr>Bracket</vt:lpstr>
      <vt:lpstr>Bracket!Print_Area</vt:lpstr>
      <vt:lpstr>Games!Print_Area</vt:lpstr>
    </vt:vector>
  </TitlesOfParts>
  <Company>Vertex42 LLC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NCAA Basketball Tournament Bracket</dc:title>
  <dc:creator>Vertex42.com</dc:creator>
  <dc:description>(c) 2012-2023 Vertex42 LLC.</dc:description>
  <cp:lastModifiedBy>Anthony Matthew Gallante</cp:lastModifiedBy>
  <cp:lastPrinted>2018-03-12T04:22:21Z</cp:lastPrinted>
  <dcterms:created xsi:type="dcterms:W3CDTF">2012-02-10T03:16:24Z</dcterms:created>
  <dcterms:modified xsi:type="dcterms:W3CDTF">2026-03-01T16:33:01Z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pyright">
    <vt:lpwstr>2012-2023 Vertex42 LLC</vt:lpwstr>
  </property>
  <property fmtid="{D5CDD505-2E9C-101B-9397-08002B2CF9AE}" pid="3" name="Version">
    <vt:lpwstr>1.1.5</vt:lpwstr>
  </property>
</Properties>
</file>