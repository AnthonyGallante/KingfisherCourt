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6A970335-5C2C-459B-B675-32B6CB7C3AB4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<sst xmlns="http://schemas.openxmlformats.org/spreadsheetml/2006/main" count="1526" uniqueCount="1194">
  <si>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</si>
  <si>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</si>
  <si>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</si>
  <si>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</si>
  <si>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</si>
  <si>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</si>
  <si>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</si>
  <si>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</si>
  <si>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</si>
  <si>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</si>
  <si>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</si>
  <si>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</si>
  <si>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</si>
  <si>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</si>
  <si>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</si>
  <si>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</si>
  <si>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</si>
  <si>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</si>
  <si>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</si>
  <si>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</si>
  <si>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</si>
  <si>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</si>
  <si>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</si>
  <si>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</si>
  <si>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</si>
  <si>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</si>
  <si>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</si>
  <si>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</si>
  <si>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</si>
  <si>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</si>
  <si>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</si>
  <si>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</si>
  <si>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</si>
  <si>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</si>
  <si>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</si>
  <si>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</si>
  <si>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</si>
  <si>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</si>
  <si>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</si>
  <si>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</si>
  <si>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</si>
  <si>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</si>
  <si>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</si>
  <si>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</si>
  <si>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</si>
  <si>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</si>
  <si>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</si>
  <si>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</si>
  <si>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</si>
  <si>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</si>
  <si>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</si>
  <si>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</si>
  <si>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</si>
  <si>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</si>
  <si>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</si>
  <si>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</si>
  <si>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</si>
  <si>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</si>
  <si>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</si>
  <si>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</si>
  <si>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</si>
  <si>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</si>
  <si>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</si>
  <si>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</si>
  <si>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</si>
  <si>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</si>
  <si>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</si>
  <si>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</si>
  <si>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</si>
  <si>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</si>
  <si>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</si>
  <si>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</si>
  <si>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</si>
  <si>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</si>
  <si>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</si>
  <si>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</si>
  <si>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</si>
  <si>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</si>
  <si>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</si>
  <si>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</si>
  <si>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</si>
  <si>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</si>
  <si>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</si>
  <si>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</si>
  <si>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</si>
  <si>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</si>
  <si>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</si>
  <si>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</si>
  <si>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</si>
  <si>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</si>
  <si>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</si>
  <si>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</si>
  <si>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</si>
  <si>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</si>
  <si>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</si>
  <si>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</si>
  <si>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</si>
  <si>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</si>
  <si>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</si>
  <si>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</si>
  <si>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</si>
  <si>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</si>
  <si>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</si>
  <si>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</si>
  <si>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</si>
  <si>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</si>
  <si>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</si>
  <si>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</si>
  <si>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</si>
  <si>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</si>
  <si>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</si>
  <si>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</si>
  <si>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</si>
  <si>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</si>
  <si>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</si>
  <si>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</si>
  <si>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</si>
  <si>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</si>
  <si>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</si>
  <si>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</si>
  <si>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</si>
  <si>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</si>
  <si>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</si>
  <si>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</si>
  <si>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</si>
  <si>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</si>
  <si>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</si>
  <si>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</si>
  <si>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</si>
  <si>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</si>
  <si>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</si>
  <si>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</si>
  <si>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</si>
  <si>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</si>
  <si>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</si>
  <si>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</si>
  <si>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</si>
  <si>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</si>
  <si>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</si>
  <si>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</si>
  <si>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</si>
  <si>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</si>
  <si>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</si>
  <si>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</si>
  <si>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</si>
  <si>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</si>
  <si>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</si>
  <si>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</si>
  <si>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</si>
  <si>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</si>
  <si>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</si>
  <si>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</si>
  <si>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</si>
  <si>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</si>
  <si>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</si>
  <si>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</si>
  <si>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</si>
  <si>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</si>
  <si>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</si>
  <si>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</si>
  <si>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</si>
  <si>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</si>
  <si>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</si>
  <si>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</si>
  <si>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</si>
  <si>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</si>
  <si>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</si>
  <si>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</si>
  <si>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</si>
  <si>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</si>
  <si>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</si>
  <si>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</si>
  <si>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</si>
  <si>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</si>
  <si>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</si>
  <si>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</si>
  <si>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</si>
  <si>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</si>
  <si>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</si>
  <si>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</si>
  <si>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</si>
  <si>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</si>
  <si>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</si>
  <si>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</si>
  <si>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</si>
  <si>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</si>
  <si>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</si>
  <si>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</si>
  <si>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</si>
  <si>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</si>
  <si>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</si>
  <si>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</si>
  <si>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</si>
  <si>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</si>
  <si>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</si>
  <si>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</si>
  <si>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</si>
  <si>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</si>
  <si>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</si>
  <si>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</si>
  <si>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</si>
  <si>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</si>
  <si>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</si>
  <si>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</si>
  <si>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</si>
  <si>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</si>
  <si>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</si>
  <si>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</si>
  <si>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</si>
  <si>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</si>
  <si>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</si>
  <si>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</si>
  <si>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</si>
  <si>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</si>
  <si>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</si>
  <si>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</si>
  <si>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</si>
  <si>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</si>
  <si>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</si>
  <si>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</si>
  <si>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</si>
  <si>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</si>
  <si>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</si>
  <si>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</si>
  <si>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</si>
  <si>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</si>
  <si>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</si>
  <si>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</si>
  <si>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</si>
  <si>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</si>
  <si>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</si>
  <si>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</si>
  <si>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</si>
  <si>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</si>
  <si>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</si>
  <si>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</si>
  <si>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</si>
  <si>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</si>
  <si>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</si>
  <si>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</si>
  <si>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</si>
  <si>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</si>
  <si>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</si>
  <si>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</si>
  <si>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</si>
  <si>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</si>
  <si>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</si>
  <si>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</si>
  <si>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</si>
  <si>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</si>
  <si>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</si>
  <si>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</si>
  <si>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</si>
  <si>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</si>
  <si>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</si>
  <si>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</si>
  <si>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</si>
  <si>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</si>
  <si>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</si>
  <si>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</si>
  <si>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</si>
  <si>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</si>
  <si>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</si>
  <si>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</si>
  <si>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</si>
  <si>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</si>
  <si>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</si>
  <si>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</si>
  <si>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</si>
  <si>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</si>
  <si>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</si>
  <si>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</si>
  <si>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</si>
  <si>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</si>
  <si>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</si>
  <si>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</si>
  <si>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</si>
  <si>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</si>
  <si>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</si>
  <si>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</si>
  <si>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</si>
  <si>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</si>
  <si>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</si>
  <si>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</si>
  <si>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</si>
  <si>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</si>
  <si>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</si>
  <si>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</si>
  <si>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</si>
  <si>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</si>
  <si>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</si>
  <si>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</si>
  <si>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</si>
  <si>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</si>
  <si>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</si>
  <si>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</si>
  <si>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</si>
  <si>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</si>
  <si>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</si>
  <si>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</si>
  <si>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</si>
  <si>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</si>
  <si>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</si>
  <si>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</si>
  <si>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</si>
  <si>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</si>
  <si>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</si>
  <si>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</si>
  <si>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</si>
  <si>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</si>
  <si>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</si>
  <si>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</si>
  <si>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</si>
  <si>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</si>
  <si>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</si>
  <si>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</si>
  <si>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</si>
  <si>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</si>
  <si>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</si>
  <si>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</si>
  <si>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</si>
  <si>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</si>
  <si>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</si>
  <si>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</si>
  <si>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</si>
  <si>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</si>
  <si>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</si>
  <si>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</si>
  <si>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</si>
  <si>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</si>
  <si>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</si>
  <si>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</si>
  <si>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</si>
  <si>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</si>
  <si>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</si>
  <si>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</si>
  <si>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</si>
  <si>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</si>
  <si>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</si>
  <si>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</si>
  <si>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</si>
  <si>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</si>
  <si>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</si>
  <si>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</si>
  <si>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</si>
  <si>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</si>
  <si>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</si>
  <si>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</si>
  <si>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</si>
  <si>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</si>
  <si>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</si>
  <si>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</si>
  <si>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</si>
  <si>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</si>
  <si>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</si>
  <si>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</si>
  <si>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</si>
  <si>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</si>
  <si>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</si>
  <si>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</si>
  <si>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</si>
  <si>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</si>
  <si>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</si>
  <si>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</si>
  <si>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</si>
  <si>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</si>
  <si>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</si>
  <si>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</si>
  <si>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</si>
  <si>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</si>
  <si>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</si>
  <si>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</si>
  <si>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</si>
  <si>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</si>
  <si>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</si>
  <si>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</si>
  <si>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</si>
  <si>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</si>
  <si>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</si>
  <si>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</si>
  <si>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</si>
  <si>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</si>
  <si>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</si>
  <si>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</si>
  <si>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</si>
  <si>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</si>
  <si>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</si>
  <si>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</si>
  <si>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</si>
  <si>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</si>
  <si>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</si>
  <si>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</si>
  <si>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</si>
  <si>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</si>
  <si>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</si>
  <si>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</si>
  <si>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</si>
  <si>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</si>
  <si>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</si>
  <si>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</si>
  <si>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</si>
  <si>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</si>
  <si>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</si>
  <si>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</si>
  <si>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</si>
  <si>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</si>
  <si>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</si>
  <si>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</si>
  <si>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</si>
  <si>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</si>
  <si>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</si>
  <si>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</si>
  <si>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</si>
  <si>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</si>
  <si>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</si>
  <si>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</si>
  <si>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</si>
  <si>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</si>
  <si>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</si>
  <si>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</si>
  <si>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</si>
  <si>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</si>
  <si>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</si>
  <si>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</si>
  <si>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</si>
  <si>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</si>
  <si>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</si>
  <si>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</si>
  <si>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</si>
  <si>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</si>
  <si>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</si>
  <si>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</si>
  <si>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</si>
  <si>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</si>
  <si>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</si>
  <si>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</si>
  <si>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</si>
  <si>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</si>
  <si>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</si>
  <si>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</si>
  <si>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</si>
  <si>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</si>
  <si>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</si>
  <si>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</si>
  <si>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</si>
  <si>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</si>
  <si>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</si>
  <si>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</si>
  <si>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</si>
  <si>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</si>
  <si>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</si>
  <si>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</si>
  <si>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</si>
  <si>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</si>
  <si>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</si>
  <si>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</si>
  <si>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</si>
  <si>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</si>
  <si>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</si>
  <si>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</si>
  <si>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</si>
  <si>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</si>
  <si>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</si>
  <si>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</si>
  <si>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</si>
  <si>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</si>
  <si>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</si>
  <si>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</si>
  <si>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</si>
  <si>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</si>
  <si>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</si>
  <si>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</si>
  <si>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</si>
  <si>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</si>
  <si>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</si>
  <si>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</si>
  <si>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</si>
  <si>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</si>
  <si>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</si>
  <si>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</si>
  <si>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</si>
  <si>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</si>
  <si>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</si>
  <si>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</si>
  <si>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</si>
  <si>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</si>
  <si>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</si>
  <si>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</si>
  <si>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</si>
  <si>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</si>
  <si>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</si>
  <si>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</si>
  <si>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</si>
  <si>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</si>
  <si>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</si>
  <si>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</si>
  <si>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</si>
  <si>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</si>
  <si>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</si>
  <si>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</si>
  <si>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</si>
  <si>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</si>
  <si>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</si>
  <si>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</si>
  <si>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</si>
  <si>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</si>
  <si>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</si>
  <si>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</si>
  <si>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</si>
  <si>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</si>
  <si>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</si>
  <si>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</si>
  <si>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</si>
  <si>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</si>
  <si>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</si>
  <si>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</si>
  <si>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</si>
  <si>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</si>
  <si>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</si>
  <si>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</si>
  <si>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</si>
  <si>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</si>
  <si>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</si>
  <si>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</si>
  <si>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</si>
  <si>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</si>
  <si>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</si>
  <si>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</si>
  <si>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</si>
  <si>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</si>
  <si>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</si>
  <si>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</si>
  <si>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</si>
  <si>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</si>
  <si>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</si>
  <si>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</si>
  <si>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</si>
  <si>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</si>
  <si>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</si>
  <si>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</si>
  <si>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</si>
  <si>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</si>
  <si>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</si>
  <si>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</si>
  <si>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</si>
  <si>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</si>
  <si>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</si>
  <si>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</si>
  <si>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</si>
  <si>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</si>
  <si>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</si>
  <si>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</si>
  <si>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</si>
  <si>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</si>
  <si>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</si>
  <si>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</si>
  <si>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</si>
  <si>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</si>
  <si>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</si>
  <si>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</si>
  <si>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</si>
  <si>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</si>
  <si>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</si>
  <si>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</si>
  <si>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</si>
  <si>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</si>
  <si>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</si>
  <si>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</si>
  <si>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</si>
  <si>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</si>
  <si>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</si>
  <si>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</si>
  <si>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</si>
  <si>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</si>
  <si>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</si>
  <si>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</si>
  <si>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</si>
  <si>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</si>
  <si>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</si>
  <si>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</si>
  <si>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</si>
  <si>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</si>
  <si>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</si>
  <si>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</si>
  <si>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</si>
  <si>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</si>
  <si>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</si>
  <si>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</si>
  <si>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</si>
  <si>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</si>
  <si>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</si>
  <si>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</si>
  <si>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</si>
  <si>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</si>
  <si>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</si>
  <si>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</si>
  <si>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</si>
  <si>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</si>
  <si>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</si>
  <si>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</si>
  <si>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</si>
  <si>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</si>
  <si>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</si>
  <si>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</si>
  <si>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</si>
  <si>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</si>
  <si>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</si>
  <si>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</si>
  <si>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</si>
  <si>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</si>
  <si>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</si>
  <si>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</si>
  <si>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</si>
  <si>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</si>
  <si>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</si>
  <si>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</si>
  <si>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</si>
  <si>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</si>
  <si>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</si>
  <si>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</si>
  <si>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</si>
  <si>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</si>
  <si>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</si>
  <si>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</si>
  <si>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</si>
  <si>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</si>
  <si>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</si>
  <si>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</si>
  <si>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</si>
  <si>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</si>
  <si>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</si>
  <si>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</si>
  <si>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</si>
  <si>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</si>
  <si>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</si>
  <si>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</si>
  <si>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</si>
  <si>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</si>
  <si>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</si>
  <si>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</si>
  <si>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</si>
  <si>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</si>
  <si>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</si>
  <si>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</si>
  <si>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</si>
  <si>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</si>
  <si>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</si>
  <si>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</si>
  <si>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</si>
  <si>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</si>
  <si>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</si>
  <si>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</si>
  <si>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</si>
  <si>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</si>
  <si>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</si>
  <si>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</si>
  <si>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</si>
  <si>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</si>
  <si>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</si>
  <si>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</si>
  <si>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</si>
  <si>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</si>
  <si>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</si>
  <si>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</si>
  <si>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</si>
  <si>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</si>
  <si>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</si>
  <si>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</si>
  <si>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</si>
  <si>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</si>
  <si>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</si>
  <si>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</si>
  <si>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</si>
  <si>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</si>
  <si>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</si>
  <si>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</si>
  <si>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</si>
  <si>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</si>
  <si>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</si>
  <si>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</si>
  <si>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</si>
  <si>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</si>
  <si>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</si>
  <si>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</si>
  <si>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</si>
  <si>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</si>
  <si>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</si>
  <si>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</si>
  <si>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</si>
  <si>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</si>
  <si>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</si>
  <si>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</si>
  <si>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</si>
  <si>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</si>
  <si>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</si>
  <si>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</si>
  <si>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</si>
  <si>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</si>
  <si>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</si>
  <si>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</si>
  <si>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</si>
  <si>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</si>
  <si>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</si>
  <si>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</si>
  <si>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</si>
  <si>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</si>
  <si>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</si>
  <si>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</si>
  <si>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</si>
  <si>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</si>
  <si>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</si>
  <si>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</si>
  <si>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</si>
  <si>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</si>
  <si>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</si>
  <si>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</si>
  <si>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</si>
  <si>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</si>
  <si>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</si>
  <si>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</si>
  <si>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</si>
  <si>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</si>
  <si>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</si>
  <si>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</si>
  <si>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</si>
  <si>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</si>
  <si>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</si>
  <si>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</si>
  <si>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</si>
  <si>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</si>
  <si>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</si>
  <si>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</si>
  <si>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</si>
  <si>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</si>
  <si>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</si>
  <si>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</si>
  <si>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</si>
  <si>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</si>
  <si>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</si>
  <si>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</si>
  <si>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</si>
  <si>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</si>
  <si>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</si>
  <si>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</si>
  <si>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</si>
  <si>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</si>
  <si>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</si>
  <si>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</si>
  <si>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</si>
  <si>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</si>
  <si>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</si>
  <si>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</si>
  <si>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</si>
  <si>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</si>
  <si>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</si>
  <si>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</si>
  <si>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</si>
  <si>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</si>
  <si>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</si>
  <si>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</si>
  <si>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</si>
  <si>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</si>
  <si>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</si>
  <si>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</si>
  <si>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</si>
  <si>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</si>
  <si>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</si>
  <si>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</si>
  <si>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</si>
  <si>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</si>
  <si>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</si>
  <si>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</si>
  <si>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</si>
  <si>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</si>
  <si>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</si>
  <si>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</si>
  <si>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</si>
  <si>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</si>
  <si>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</si>
  <si>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</si>
  <si>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</si>
  <si>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</si>
  <si>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</si>
  <si>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</si>
  <si>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</si>
  <si>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</si>
  <si>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</si>
  <si>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</si>
  <si>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</si>
  <si>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</si>
  <si>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</si>
  <si>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</si>
  <si>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</si>
  <si>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</si>
  <si>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</si>
  <si>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</si>
  <si>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</si>
  <si>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</si>
  <si>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</si>
  <si>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</si>
  <si>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</si>
  <si>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</si>
  <si>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</si>
  <si>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</si>
  <si>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</si>
  <si>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</si>
  <si>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</si>
  <si>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</si>
  <si>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</si>
  <si>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</si>
  <si>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</si>
  <si>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</si>
  <si>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</si>
  <si>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</si>
  <si>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</si>
  <si>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</si>
  <si>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</si>
  <si>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</si>
  <si>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</si>
  <si>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</si>
  <si>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</si>
  <si>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</si>
  <si>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</si>
  <si>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</si>
  <si>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</si>
  <si>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</si>
  <si>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</si>
  <si>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</si>
  <si>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</si>
  <si>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</si>
  <si>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</si>
  <si>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</si>
  <si>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</si>
  <si>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</si>
  <si>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</si>
  <si>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</si>
  <si>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</si>
  <si>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</si>
  <si>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</si>
  <si>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</si>
  <si>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</si>
  <si>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</si>
  <si>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</si>
  <si>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</si>
  <si>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</si>
  <si>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</si>
  <si>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</si>
  <si>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</si>
  <si>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</si>
  <si>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</si>
  <si>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</si>
  <si>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</si>
  <si>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</si>
  <si>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</si>
  <si>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</si>
  <si>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</si>
  <si>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</si>
  <si>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</si>
  <si>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</si>
  <si>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</si>
  <si>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</si>
  <si>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</si>
  <si>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</si>
  <si>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</si>
  <si>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</si>
  <si>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</si>
  <si>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</si>
  <si>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</si>
  <si>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</si>
  <si>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</si>
  <si>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</si>
  <si>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</si>
  <si>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</si>
  <si>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</si>
  <si>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</si>
  <si>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</si>
  <si>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</si>
  <si>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</si>
  <si>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</si>
  <si>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</si>
  <si>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</si>
  <si>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</si>
  <si>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</si>
  <si>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</si>
  <si>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</si>
  <si>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</si>
  <si>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</si>
  <si>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</si>
  <si>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</si>
  <si>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</si>
  <si>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</si>
  <si>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</si>
  <si>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</si>
  <si>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</si>
  <si>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</si>
  <si>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</si>
  <si>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</si>
  <si>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</si>
  <si>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</si>
  <si>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</si>
  <si>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</si>
  <si>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</si>
  <si>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</si>
  <si>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</si>
  <si>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</si>
  <si>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</si>
  <si>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</si>
  <si>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</si>
  <si>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</si>
  <si>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</si>
  <si>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</si>
  <si>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</si>
  <si>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</si>
  <si>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</si>
  <si>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</si>
  <si>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</si>
  <si>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</si>
  <si>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</si>
  <si>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</si>
  <si>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</si>
  <si>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</si>
  <si>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</si>
  <si>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</si>
  <si>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</si>
  <si>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</si>
  <si>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</si>
  <si>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</si>
  <si>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</si>
  <si>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</si>
  <si>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</si>
  <si>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</si>
  <si>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</si>
  <si>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</si>
  <si>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</si>
  <si>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</si>
  <si>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</si>
  <si>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</si>
  <si>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</si>
  <si>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</si>
  <si>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</si>
  <si>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</si>
  <si>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</si>
  <si>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</si>
  <si>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</si>
  <si>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</si>
  <si>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</si>
  <si>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</si>
  <si>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</si>
  <si>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</si>
  <si>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</si>
  <si>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</si>
  <si>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</si>
  <si>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</si>
  <si>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</si>
  <si>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</si>
  <si>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</si>
  <si>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</si>
  <si>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</si>
  <si>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</si>
  <si>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</si>
  <si>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</si>
  <si>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</si>
  <si>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</si>
  <si>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</si>
  <si>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</si>
  <si>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</si>
  <si>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</si>
  <si>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</si>
  <si>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</si>
  <si>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</si>
  <si>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</si>
  <si>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</si>
  <si>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</si>
  <si>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</si>
  <si>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</si>
  <si>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</si>
  <si>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</si>
  <si>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</si>
  <si>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</si>
  <si>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</si>
  <si>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</si>
  <si>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</si>
  <si>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</si>
  <si>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</si>
  <si>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</si>
  <si>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</si>
  <si>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</si>
  <si>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</si>
  <si>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</si>
  <si>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</si>
  <si>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</si>
  <si>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</si>
  <si>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</si>
  <si>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</si>
  <si>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</si>
  <si>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</si>
  <si>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</si>
  <si>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</si>
  <si>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</si>
  <si>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</si>
  <si>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</si>
  <si>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</si>
  <si>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</si>
  <si>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</si>
  <si>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</si>
  <si>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</si>
  <si>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</si>
  <si>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</si>
  <si>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</si>
  <si>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</si>
  <si>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</si>
  <si>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</si>
  <si>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</si>
  <si>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</si>
  <si>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</si>
  <si>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</si>
  <si>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</si>
  <si>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</si>
  <si>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</si>
  <si>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</si>
  <si>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</si>
  <si>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</si>
  <si>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</si>
  <si>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</si>
  <si>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</si>
  <si>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</si>
  <si>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</si>
  <si>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</si>
  <si>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</si>
  <si>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</si>
  <si>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</si>
  <si>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</si>
  <si>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</si>
  <si>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</si>
  <si>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</si>
  <si>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</si>
  <si>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</si>
  <si>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</si>
  <si>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</si>
  <si>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</si>
  <si>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</si>
  <si>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</si>
  <si>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</si>
  <si>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</si>
  <si>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</si>
  <si>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</si>
  <si>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</si>
  <si>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</si>
  <si>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</si>
  <si>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</si>
  <si>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</si>
  <si>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</si>
  <si>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</si>
  <si>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</si>
  <si>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</si>
  <si>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</si>
  <si>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</si>
  <si>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</si>
  <si>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</si>
  <si>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</si>
  <si>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</si>
  <si>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</si>
  <si>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</si>
  <si>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</si>
  <si>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</si>
  <si>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</si>
  <si>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</si>
  <si>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</si>
  <si>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</si>
  <si>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</si>
  <si>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</si>
  <si>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</si>
  <si>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</si>
  <si>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</si>
  <si>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</si>
  <si>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</si>
  <si>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</si>
  <si>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</si>
  <si>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</si>
  <si>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</si>
  <si>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</si>
  <si>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</si>
  <si>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</si>
  <si>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</si>
  <si>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</si>
  <si>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</si>
  <si>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</si>
  <si>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</si>
  <si>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</si>
  <si>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</si>
  <si>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</si>
  <si>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</si>
  <si>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</si>
  <si>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</si>
  <si>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</si>
  <si>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</si>
  <si>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</si>
  <si>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</si>
  <si>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</si>
  <si>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</si>
  <si>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</si>
  <si>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</si>
  <si>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</si>
  <si>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</si>
  <si>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</si>
  <si>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</si>
  <si>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</si>
  <si>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</si>
  <si>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</si>
  <si>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</si>
  <si>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</si>
  <si>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</si>
  <si>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</si>
  <si>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</si>
  <si>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</si>
  <si>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</si>
  <si>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</si>
  <si>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</si>
  <si>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</si>
  <si>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</si>
  <si>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</si>
  <si>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</si>
  <si>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</si>
  <si>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</si>
  <si>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</si>
  <si>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</si>
  <si>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</si>
  <si>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</si>
  <si>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</si>
  <si>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</si>
  <si>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</si>
  <si>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</si>
  <si>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UPSET! Normal winner is TCU</t>
  </si>
  <si>
    <t>St. John's (NY): 470 - 31 :Northern Iowa</t>
  </si>
  <si>
    <t>Kansas: 475 - 26 :California Baptist</t>
  </si>
  <si>
    <t>Louisville: 236 - 265 :South Florida</t>
  </si>
  <si>
    <t>UPSET! Normal winner is Michigan State</t>
  </si>
  <si>
    <t>UCLA: 250 - 251 :UCF</t>
  </si>
  <si>
    <t>Connecticut: 415 - 86 :Furman</t>
  </si>
  <si>
    <t>Florida: 494 - 7 :Lehigh</t>
  </si>
  <si>
    <t>UPSET! Normal winner is Iowa</t>
  </si>
  <si>
    <t>UPSET! Normal winner is Vanderbilt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</si>
  <si>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</si>
  <si>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</si>
  <si>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</si>
  <si>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</si>
  <si>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</si>
  <si>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</si>
  <si>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</si>
  <si>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UPSET! Normal winner is Wisconsin</t>
  </si>
  <si>
    <t>Arkansas: 454 - 47 :Hawaii</t>
  </si>
  <si>
    <t>UPSET! Normal winner is Brigham Young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</si>
  <si>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</si>
  <si>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</si>
  <si>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</si>
  <si>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</si>
  <si>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</si>
  <si>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</si>
  <si>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</si>
  <si>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Tennessee: 174 - 327 :Miami (OH)</t>
  </si>
  <si>
    <t>UPSET! Normal winner is Virginia</t>
  </si>
  <si>
    <t>Kentucky: 278 - 223 :Santa Clara</t>
  </si>
  <si>
    <t>Iowa State: 463 - 38 :Tennessee State</t>
  </si>
  <si>
    <t>Duke: 446 - 55 :Ohio State</t>
  </si>
  <si>
    <t>St. John's (NY): 205 - 296 :Kansas</t>
  </si>
  <si>
    <t>South Florida: 310 - 191 :North Dakota State</t>
  </si>
  <si>
    <t>UPSET! Normal winner is Connecticut</t>
  </si>
  <si>
    <t>Florida: 487 - 14 :Clemson</t>
  </si>
  <si>
    <t>McNeese State: 105 - 396 :Nebraska</t>
  </si>
  <si>
    <t>UPSET! Normal winner is Illinois</t>
  </si>
  <si>
    <t>Saint Mary's (CA): 301 - 200 :Houston</t>
  </si>
  <si>
    <t>Arizona: 403 - 98 :Villanova</t>
  </si>
  <si>
    <t>UPSET! Normal winner is Arkansas</t>
  </si>
  <si>
    <t>Texas: 177 - 324 :Gonzaga</t>
  </si>
  <si>
    <t>UPSET! Normal winner is Purdue</t>
  </si>
  <si>
    <t>Michigan: 381 - 120 :Saint Louis</t>
  </si>
  <si>
    <t>Texas Tech: 345 - 156 :Alabama</t>
  </si>
  <si>
    <t>Miami (OH): 420 - 81 :Wright State</t>
  </si>
  <si>
    <t>Kentucky: 126 - 375 :Iowa State</t>
  </si>
  <si>
    <t>Duke: 303 - 198 :Kansas</t>
  </si>
  <si>
    <t>South Florida: 239 - 262 :UCF</t>
  </si>
  <si>
    <t>Florida: 394 - 107 :Nebraska</t>
  </si>
  <si>
    <t>North Carolina: 202 - 299 :Saint Mary's (CA)</t>
  </si>
  <si>
    <t>Arizona: 455 - 46 :High Point</t>
  </si>
  <si>
    <t>Gonzaga: 299 - 202 :Miami (FL)</t>
  </si>
  <si>
    <t>Michigan: 177 - 324 :Texas Tech</t>
  </si>
  <si>
    <t>Miami (OH): 227 - 274 :Iowa State</t>
  </si>
  <si>
    <t>Duke: 423 - 78 :UCF</t>
  </si>
  <si>
    <t>Florida: 344 - 157 :Saint Mary's (CA)</t>
  </si>
  <si>
    <t>Arizona: 378 - 123 :Gonzaga</t>
  </si>
  <si>
    <t>Texas Tech: 365 - 136 :Iowa State</t>
  </si>
  <si>
    <t>Duke: 215 - 286 :Florida</t>
  </si>
  <si>
    <t>Arizona: 316 - 185 :Texas Tech</t>
  </si>
  <si>
    <t>UPSET! Normal winner is 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</si>
</sst>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TCU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</v>
      </c>
      <c r="M6" s="82" t="e" vm="68">
        <f>_xlfn.XLOOKUP(I6,Teams!$C:$C,Teams!$E:$E,,0,1)</f>
        <v>#VALUE!</v>
      </c>
      <c r="N6" s="82">
        <v>0.4</v>
      </c>
      <c r="O6" s="189" t="str">
        <f t="shared" si="3"/>
        <v>Ohio State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Michigan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0.3</v>
      </c>
      <c r="M10" s="82" t="e" vm="76">
        <f>_xlfn.XLOOKUP(I10,Teams!$C:$C,Teams!$E:$E,,0,1)</f>
        <v>#VALUE!</v>
      </c>
      <c r="N10" s="82">
        <v>0.7</v>
      </c>
      <c r="O10" s="189" t="str">
        <f t="shared" si="3"/>
        <v>North Dakota State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Iowa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0.55000000000000004</v>
      </c>
      <c r="M14" s="83" t="e" vm="84">
        <f>_xlfn.XLOOKUP(I14,Teams!$C:$C,Teams!$E:$E,,0,1)</f>
        <v>#VALUE!</v>
      </c>
      <c r="N14" s="83">
        <v>0.45</v>
      </c>
      <c r="O14" s="192" t="str">
        <f t="shared" si="3"/>
        <v>Clemson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Vanderbilt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0.41</v>
      </c>
      <c r="M15" s="83" t="e" vm="86">
        <f>_xlfn.XLOOKUP(I15,Teams!$C:$C,Teams!$E:$E,,0,1)</f>
        <v>#VALUE!</v>
      </c>
      <c r="N15" s="83">
        <v>0.59</v>
      </c>
      <c r="O15" s="192" t="str">
        <f t="shared" si="3"/>
        <v>McNeese State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Wisconsin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0.49</v>
      </c>
      <c r="M23" s="82" t="e" vm="102">
        <f>_xlfn.XLOOKUP(I23,Teams!$C:$C,Teams!$E:$E,,0,1)</f>
        <v>#VALUE!</v>
      </c>
      <c r="N23" s="82">
        <v>0.51</v>
      </c>
      <c r="O23" s="189" t="str">
        <f t="shared" si="3"/>
        <v>High Point</v>
      </c>
      <c r="P23" s="204" t="e" vm="102">
        <f>_xlfn.XLOOKUP(O23,Teams!$C:$C,Teams!$E:$E,,0,1)</f>
        <v>#VALUE!</v>
      </c>
      <c r="Q23" s="223" t="s">
        <v>1149</v>
      </c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Brigham Young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0.46</v>
      </c>
      <c r="M25" s="82" t="e" vm="106">
        <f>_xlfn.XLOOKUP(I25,Teams!$C:$C,Teams!$E:$E,,0,1)</f>
        <v>#VALUE!</v>
      </c>
      <c r="N25" s="82">
        <v>0.54</v>
      </c>
      <c r="O25" s="189" t="str">
        <f t="shared" si="3"/>
        <v>Texas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Virginia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0.2</v>
      </c>
      <c r="M34" s="83" t="e" vm="124">
        <f>_xlfn.XLOOKUP(I34,Teams!$C:$C,Teams!$E:$E,,0,1)</f>
        <v>#VALUE!</v>
      </c>
      <c r="N34" s="83">
        <v>0.8</v>
      </c>
      <c r="O34" s="192" t="str">
        <f t="shared" si="3"/>
        <v>Wright State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Ohio State</v>
      </c>
      <c r="C38" s="91" t="str">
        <f t="shared" ref="C38:C53" si="7">IF(O38="","",IF(A38=O38,B38,A38))</f>
        <v>Ohio State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732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0.89</v>
      </c>
      <c r="M38" s="84" t="e" vm="67">
        <f>_xlfn.XLOOKUP(I38,Teams!$C:$C,Teams!$E:$E,,0,1)</f>
        <v>#VALUE!</v>
      </c>
      <c r="N38" s="84">
        <v>0.11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North Dakota State</v>
      </c>
      <c r="C40" s="91" t="str">
        <f t="shared" si="7"/>
        <v>North Dakota State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690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0.62</v>
      </c>
      <c r="M40" s="82" t="e" vm="76">
        <f>_xlfn.XLOOKUP(I40,Teams!$C:$C,Teams!$E:$E,,0,1)</f>
        <v>#VALUE!</v>
      </c>
      <c r="N40" s="82">
        <v>0.38</v>
      </c>
      <c r="O40" s="189" t="str">
        <f t="shared" si="9"/>
        <v>South Florida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Connecticut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0.61</v>
      </c>
      <c r="M41" s="139" t="e" vm="79">
        <f>_xlfn.XLOOKUP(I41,Teams!$C:$C,Teams!$E:$E,,0,1)</f>
        <v>#VALUE!</v>
      </c>
      <c r="N41" s="139">
        <v>0.39</v>
      </c>
      <c r="O41" s="195" t="str">
        <f t="shared" si="9"/>
        <v>UCF</v>
      </c>
      <c r="P41" s="210" t="e" vm="78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Clemson</v>
      </c>
      <c r="C42" s="91" t="str">
        <f t="shared" si="7"/>
        <v>Clemson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80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0.97</v>
      </c>
      <c r="M42" s="145" t="e" vm="83">
        <f>_xlfn.XLOOKUP(I42,Teams!$C:$C,Teams!$E:$E,,0,1)</f>
        <v>#VALUE!</v>
      </c>
      <c r="N42" s="145">
        <v>0.03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McNeese State</v>
      </c>
      <c r="B43" s="91" t="str">
        <f t="shared" si="11"/>
        <v>Nebraska</v>
      </c>
      <c r="C43" s="91" t="str">
        <f t="shared" si="7"/>
        <v>McNeese State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571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6">
        <f>_xlfn.XLOOKUP(G43,Teams!$C:$C,Teams!$E:$E,,0,1)</f>
        <v>#VALUE!</v>
      </c>
      <c r="L43" s="83">
        <v>0.21</v>
      </c>
      <c r="M43" s="83" t="e" vm="87">
        <f>_xlfn.XLOOKUP(I43,Teams!$C:$C,Teams!$E:$E,,0,1)</f>
        <v>#VALUE!</v>
      </c>
      <c r="N43" s="83">
        <v>0.79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Illinois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0.56000000000000005</v>
      </c>
      <c r="M44" s="83" t="e" vm="91">
        <f>_xlfn.XLOOKUP(I44,Teams!$C:$C,Teams!$E:$E,,0,1)</f>
        <v>#VALUE!</v>
      </c>
      <c r="N44" s="83">
        <v>0.44</v>
      </c>
      <c r="O44" s="192" t="str">
        <f t="shared" si="9"/>
        <v>North Carolina</v>
      </c>
      <c r="P44" s="207" t="e" vm="89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High Point</v>
      </c>
      <c r="B47" s="152" t="str">
        <f t="shared" si="11"/>
        <v>Arkansas</v>
      </c>
      <c r="C47" s="152" t="str">
        <f t="shared" si="7"/>
        <v>Arkansas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12</v>
      </c>
      <c r="G47" s="101" t="s">
        <v>140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2">
        <f>_xlfn.XLOOKUP(G47,Teams!$C:$C,Teams!$E:$E,,0,1)</f>
        <v>#VALUE!</v>
      </c>
      <c r="L47" s="82">
        <v>0.66</v>
      </c>
      <c r="M47" s="82" t="e" vm="103">
        <f>_xlfn.XLOOKUP(I47,Teams!$C:$C,Teams!$E:$E,,0,1)</f>
        <v>#VALUE!</v>
      </c>
      <c r="N47" s="82">
        <v>0.34</v>
      </c>
      <c r="O47" s="189" t="str">
        <f t="shared" si="9"/>
        <v>High Point</v>
      </c>
      <c r="P47" s="204" t="e" vm="102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Texas</v>
      </c>
      <c r="B48" s="152" t="str">
        <f t="shared" si="11"/>
        <v>Gonzaga</v>
      </c>
      <c r="C48" s="152" t="str">
        <f t="shared" si="7"/>
        <v>Texas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138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0.35</v>
      </c>
      <c r="M48" s="82" t="e" vm="107">
        <f>_xlfn.XLOOKUP(I48,Teams!$C:$C,Teams!$E:$E,,0,1)</f>
        <v>#VALUE!</v>
      </c>
      <c r="N48" s="82">
        <v>0.65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Purdue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0.53</v>
      </c>
      <c r="M49" s="139" t="e" vm="111">
        <f>_xlfn.XLOOKUP(I49,Teams!$C:$C,Teams!$E:$E,,0,1)</f>
        <v>#VALUE!</v>
      </c>
      <c r="N49" s="139">
        <v>0.47</v>
      </c>
      <c r="O49" s="195" t="str">
        <f t="shared" si="9"/>
        <v>Miami (FL)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Wright State</v>
      </c>
      <c r="C52" s="91" t="str">
        <f t="shared" si="7"/>
        <v>Wright State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1117</v>
      </c>
      <c r="J52" s="120" cm="1">
        <f t="array" ref="J52">_xlfn.XLOOKUP(I52,Teams[[#All],[Team]],Teams[[#All],[Seed]],0,0,1)</f>
        <v>14</v>
      </c>
      <c r="K52" s="83" t="e" vm="122">
        <f>_xlfn.XLOOKUP(G52,Teams!$C:$C,Teams!$E:$E,,0,1)</f>
        <v>#VALUE!</v>
      </c>
      <c r="L52" s="83">
        <v>0.84</v>
      </c>
      <c r="M52" s="83" t="e" vm="124">
        <f>_xlfn.XLOOKUP(I52,Teams!$C:$C,Teams!$E:$E,,0,1)</f>
        <v>#VALUE!</v>
      </c>
      <c r="N52" s="83">
        <v>0.16</v>
      </c>
      <c r="O52" s="192" t="str">
        <f t="shared" si="9"/>
        <v>Miami (OH)</v>
      </c>
      <c r="P52" s="207" t="e" vm="122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South Florida</v>
      </c>
      <c r="B56" s="91" t="str">
        <f t="shared" ref="B56:B62" si="16">I56</f>
        <v>UCF</v>
      </c>
      <c r="C56" s="91" t="str">
        <f t="shared" si="12"/>
        <v>South Florida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885</v>
      </c>
      <c r="H56" s="182" t="s">
        <v>9</v>
      </c>
      <c r="I56" s="137" t="s">
        <v>1015</v>
      </c>
      <c r="J56" s="138" cm="1">
        <f t="array" ref="J56">_xlfn.XLOOKUP(I56,Teams[[#All],[Team]],Teams[[#All],[Seed]],0,0,1)</f>
        <v>10</v>
      </c>
      <c r="K56" s="139" t="e" vm="74">
        <f>_xlfn.XLOOKUP(G56,Teams!$C:$C,Teams!$E:$E,,0,1)</f>
        <v>#VALUE!</v>
      </c>
      <c r="L56" s="139">
        <v>0.48</v>
      </c>
      <c r="M56" s="139" t="e" vm="78">
        <f>_xlfn.XLOOKUP(I56,Teams!$C:$C,Teams!$E:$E,,0,1)</f>
        <v>#VALUE!</v>
      </c>
      <c r="N56" s="139">
        <v>0.52</v>
      </c>
      <c r="O56" s="195" t="str">
        <f t="shared" si="14"/>
        <v>UCF</v>
      </c>
      <c r="P56" s="210" t="e" vm="78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North Carolina</v>
      </c>
      <c r="B58" s="91" t="str">
        <f t="shared" si="16"/>
        <v>Saint Mary's (CA)</v>
      </c>
      <c r="C58" s="91" t="str">
        <f t="shared" si="12"/>
        <v>North Carolina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125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89">
        <f>_xlfn.XLOOKUP(G58,Teams!$C:$C,Teams!$E:$E,,0,1)</f>
        <v>#VALUE!</v>
      </c>
      <c r="L58" s="151">
        <v>0.4</v>
      </c>
      <c r="M58" s="151" t="e" vm="93">
        <f>_xlfn.XLOOKUP(I58,Teams!$C:$C,Teams!$E:$E,,0,1)</f>
        <v>#VALUE!</v>
      </c>
      <c r="N58" s="151">
        <v>0.6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High Point</v>
      </c>
      <c r="C59" s="152" t="str">
        <f t="shared" si="12"/>
        <v>High Point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140</v>
      </c>
      <c r="J59" s="133" cm="1">
        <f t="array" ref="J59">_xlfn.XLOOKUP(I59,Teams[[#All],[Team]],Teams[[#All],[Seed]],0,0,1)</f>
        <v>12</v>
      </c>
      <c r="K59" s="84" t="e" vm="97">
        <f>_xlfn.XLOOKUP(G59,Teams!$C:$C,Teams!$E:$E,,0,1)</f>
        <v>#VALUE!</v>
      </c>
      <c r="L59" s="84">
        <v>0.91</v>
      </c>
      <c r="M59" s="84" t="e" vm="102">
        <f>_xlfn.XLOOKUP(I59,Teams!$C:$C,Teams!$E:$E,,0,1)</f>
        <v>#VALUE!</v>
      </c>
      <c r="N59" s="84">
        <v>0.09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Miami (FL)</v>
      </c>
      <c r="C60" s="152" t="str">
        <f t="shared" si="12"/>
        <v>Miami (FL)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585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0.6</v>
      </c>
      <c r="M60" s="139" t="e" vm="109">
        <f>_xlfn.XLOOKUP(I60,Teams!$C:$C,Teams!$E:$E,,0,1)</f>
        <v>#VALUE!</v>
      </c>
      <c r="N60" s="139">
        <v>0.4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0.35</v>
      </c>
      <c r="M61" s="145" t="e" vm="117">
        <f>_xlfn.XLOOKUP(I61,Teams!$C:$C,Teams!$E:$E,,0,1)</f>
        <v>#VALUE!</v>
      </c>
      <c r="N61" s="145">
        <v>0.65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Miami (OH)</v>
      </c>
      <c r="B62" s="91" t="str">
        <f t="shared" si="16"/>
        <v>Iowa State</v>
      </c>
      <c r="C62" s="91" t="str">
        <f t="shared" si="12"/>
        <v>Miami (OH)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11</v>
      </c>
      <c r="G62" s="148" t="s">
        <v>588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2">
        <f>_xlfn.XLOOKUP(G62,Teams!$C:$C,Teams!$E:$E,,0,1)</f>
        <v>#VALUE!</v>
      </c>
      <c r="L62" s="151">
        <v>0.45</v>
      </c>
      <c r="M62" s="151" t="e" vm="127">
        <f>_xlfn.XLOOKUP(I62,Teams!$C:$C,Teams!$E:$E,,0,1)</f>
        <v>#VALUE!</v>
      </c>
      <c r="N62" s="151">
        <v>0.55000000000000004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UCF</v>
      </c>
      <c r="C64" s="91" t="str">
        <f>IF(O64="","",IF(A64=O64,B64,A64))</f>
        <v>UCF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1015</v>
      </c>
      <c r="J64" s="157" cm="1">
        <f t="array" ref="J64">_xlfn.XLOOKUP(I64,Teams[[#All],[Team]],Teams[[#All],[Seed]],0,0,1)</f>
        <v>10</v>
      </c>
      <c r="K64" s="158" t="e" vm="65">
        <f>_xlfn.XLOOKUP(G64,Teams!$C:$C,Teams!$E:$E,,0,1)</f>
        <v>#VALUE!</v>
      </c>
      <c r="L64" s="158">
        <v>0.84</v>
      </c>
      <c r="M64" s="158" t="e" vm="78">
        <f>_xlfn.XLOOKUP(I64,Teams!$C:$C,Teams!$E:$E,,0,1)</f>
        <v>#VALUE!</v>
      </c>
      <c r="N64" s="158">
        <v>0.16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Saint Mary's (CA)</v>
      </c>
      <c r="C65" s="91" t="str">
        <f>IF(O65="","",IF(A65=O65,B65,A65))</f>
        <v>Saint Mary's (CA)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0.69</v>
      </c>
      <c r="M65" s="164" t="e" vm="93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Gonzaga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0.75</v>
      </c>
      <c r="M66" s="158" t="e" vm="107">
        <f>_xlfn.XLOOKUP(I66,Teams!$C:$C,Teams!$E:$E,,0,1)</f>
        <v>#VALUE!</v>
      </c>
      <c r="N66" s="158">
        <v>0.25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0.73</v>
      </c>
      <c r="M67" s="164" t="e" vm="127">
        <f>_xlfn.XLOOKUP(I67,Teams!$C:$C,Teams!$E:$E,,0,1)</f>
        <v>#VALUE!</v>
      </c>
      <c r="N67" s="164">
        <v>0.27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0.43</v>
      </c>
      <c r="M69" s="170" t="e" vm="81">
        <f>_xlfn.XLOOKUP(I69,Teams!$C:$C,Teams!$E:$E,,0,1)</f>
        <v>#VALUE!</v>
      </c>
      <c r="N69" s="170">
        <v>0.56999999999999995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Texas Tech</v>
      </c>
      <c r="C70" s="91" t="str">
        <f>IF(O70="","",IF(A70=O70,B70,A70))</f>
        <v>Texas Tech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97">
        <f>_xlfn.XLOOKUP(G70,Teams!$C:$C,Teams!$E:$E,,0,1)</f>
        <v>#VALUE!</v>
      </c>
      <c r="L70" s="164">
        <v>0.63</v>
      </c>
      <c r="M70" s="164" t="e" vm="117">
        <f>_xlfn.XLOOKUP(I70,Teams!$C:$C,Teams!$E:$E,,0,1)</f>
        <v>#VALUE!</v>
      </c>
      <c r="N70" s="164">
        <v>0.37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Arizona</v>
      </c>
      <c r="C72" s="91" t="str">
        <f>IF(O72="","",IF(A72=O72,B72,A72))</f>
        <v>Arizona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81">
        <f>_xlfn.XLOOKUP(G72,Teams!$C:$C,Teams!$E:$E,,0,1)</f>
        <v>#VALUE!</v>
      </c>
      <c r="L72" s="158">
        <v>0.56999999999999995</v>
      </c>
      <c r="M72" s="158" t="e" vm="97">
        <f>_xlfn.XLOOKUP(I72,Teams!$C:$C,Teams!$E:$E,,0,1)</f>
        <v>#VALUE!</v>
      </c>
      <c r="N72" s="158">
        <v>0.43</v>
      </c>
      <c r="O72" s="198" t="str">
        <f>IF(L72&gt;N72,G72,I72)</f>
        <v>Florida</v>
      </c>
      <c r="P72" s="205" t="e" vm="8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0.8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0.91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0.6</v>
      </c>
      <c r="F9" s="262" t="str">
        <f>Games!O6</f>
        <v>Ohio State</v>
      </c>
      <c r="G9" s="247" t="e" vm="67">
        <f>_xlfn.XLOOKUP(F9,Teams!$C:$C,Teams!$E:$E,,0,1)</f>
        <v>#VALUE!</v>
      </c>
      <c r="H9" s="277">
        <f>Games!N38</f>
        <v>0.11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0.2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0.4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0.84</v>
      </c>
      <c r="O11" s="25"/>
      <c r="P11" s="25"/>
      <c r="R11" s="25"/>
      <c r="S11" s="25"/>
      <c r="T11" s="251" t="e" vm="81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0.75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0.66</v>
      </c>
      <c r="AI13" s="249" t="e" vm="102">
        <f>_xlfn.XLOOKUP(AJ13,Teams!$C:$C,Teams!$E:$E,,0,1)</f>
        <v>#VALUE!</v>
      </c>
      <c r="AJ13" s="262" t="str">
        <f>Games!O23</f>
        <v>High Point</v>
      </c>
      <c r="AK13" s="58">
        <f>Games!L23</f>
        <v>0.49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0.4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0.09</v>
      </c>
      <c r="AF15" s="249" t="e" vm="102">
        <f>_xlfn.XLOOKUP(AG15,Teams!$C:$C,Teams!$E:$E,,0,1)</f>
        <v>#VALUE!</v>
      </c>
      <c r="AG15" s="262" t="str">
        <f>Games!O47</f>
        <v>High Point</v>
      </c>
      <c r="AH15" s="55"/>
      <c r="AI15" s="51"/>
      <c r="AJ15" s="282">
        <f>IF($AU$5=TRUE,AJ7+1,"")</f>
        <v>42</v>
      </c>
      <c r="AK15" s="59">
        <f>Games!N23</f>
        <v>0.51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0.34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Duke</v>
      </c>
      <c r="P19" s="247" t="e" vm="65">
        <f>_xlfn.XLOOKUP(O19,Teams!$C:$C,Teams!$E:$E,,0,1)</f>
        <v>#VALUE!</v>
      </c>
      <c r="Q19" s="264">
        <f>Games!L69</f>
        <v>0.43</v>
      </c>
      <c r="R19" s="25"/>
      <c r="S19" s="25"/>
      <c r="T19" s="257"/>
      <c r="U19" s="258"/>
      <c r="V19" s="259"/>
      <c r="W19" s="25"/>
      <c r="X19" s="25"/>
      <c r="Y19" s="264">
        <f>Games!L70</f>
        <v>0.63</v>
      </c>
      <c r="Z19" s="249" t="e" vm="97">
        <f>_xlfn.XLOOKUP(AA19,Teams!$C:$C,Teams!$E:$E,,0,1)</f>
        <v>#VALUE!</v>
      </c>
      <c r="AA19" s="262" t="str">
        <f>Games!O66</f>
        <v>Arizona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0.62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0.35</v>
      </c>
      <c r="AI21" s="249" t="e" vm="106">
        <f>_xlfn.XLOOKUP(AJ21,Teams!$C:$C,Teams!$E:$E,,0,1)</f>
        <v>#VALUE!</v>
      </c>
      <c r="AJ21" s="262" t="str">
        <f>Games!O25</f>
        <v>Texas</v>
      </c>
      <c r="AK21" s="58">
        <f>Games!L25</f>
        <v>0.46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South Florida</v>
      </c>
      <c r="J23" s="247" t="e" vm="74">
        <f>_xlfn.XLOOKUP(I23,Teams!$C:$C,Teams!$E:$E,,0,1)</f>
        <v>#VALUE!</v>
      </c>
      <c r="K23" s="264">
        <f>Games!L56</f>
        <v>0.48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0.6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0.54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0.3</v>
      </c>
      <c r="F25" s="262" t="str">
        <f>Games!O10</f>
        <v>North Dakota State</v>
      </c>
      <c r="G25" s="247" t="e" vm="76">
        <f>_xlfn.XLOOKUP(F25,Teams!$C:$C,Teams!$E:$E,,0,1)</f>
        <v>#VALUE!</v>
      </c>
      <c r="H25" s="277">
        <f>Games!N40</f>
        <v>0.38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0.65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0.7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UCF</v>
      </c>
      <c r="M27" s="247" t="e" vm="78">
        <f>_xlfn.XLOOKUP(L27,Teams!$C:$C,Teams!$E:$E,,0,1)</f>
        <v>#VALUE!</v>
      </c>
      <c r="N27" s="277">
        <f>Games!N64</f>
        <v>0.16</v>
      </c>
      <c r="O27" s="25"/>
      <c r="P27" s="25"/>
      <c r="Q27" s="50"/>
      <c r="R27" s="279" t="str">
        <f>Games!O69</f>
        <v>Florida</v>
      </c>
      <c r="S27" s="262"/>
      <c r="T27" s="262"/>
      <c r="U27" s="289" t="e" vm="81">
        <f>_xlfn.XLOOKUP(R27,Teams!$C:$C,Teams!$E:$E,,0,1)</f>
        <v>#VALUE!</v>
      </c>
      <c r="V27" s="267">
        <f>Games!L72</f>
        <v>0.56999999999999995</v>
      </c>
      <c r="W27" s="24"/>
      <c r="X27" s="25"/>
      <c r="Y27" s="56"/>
      <c r="AA27" s="25"/>
      <c r="AB27" s="269">
        <f>Games!N66</f>
        <v>0.25</v>
      </c>
      <c r="AC27" s="249" t="e" vm="107">
        <f>_xlfn.XLOOKUP(AD27,Teams!$C:$C,Teams!$E:$E,,0,1)</f>
        <v>#VALUE!</v>
      </c>
      <c r="AD27" s="262" t="str">
        <f>Games!O60</f>
        <v>Gonzaga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0.61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0.53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UCF</v>
      </c>
      <c r="J31" s="247" t="e" vm="78">
        <f>_xlfn.XLOOKUP(I31,Teams!$C:$C,Teams!$E:$E,,0,1)</f>
        <v>#VALUE!</v>
      </c>
      <c r="K31" s="277">
        <f>Games!N56</f>
        <v>0.52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</v>
      </c>
      <c r="AF31" s="249" t="e" vm="109">
        <f>_xlfn.XLOOKUP(AG31,Teams!$C:$C,Teams!$E:$E,,0,1)</f>
        <v>#VALUE!</v>
      </c>
      <c r="AG31" s="262" t="str">
        <f>Games!O49</f>
        <v>Miami (FL)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Florida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0.39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0.47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0.97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0.76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0.43</v>
      </c>
      <c r="U39" s="293" t="e" vm="9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0.35</v>
      </c>
      <c r="AF39" s="249" t="e" vm="113">
        <f>_xlfn.XLOOKUP(AG39,Teams!$C:$C,Teams!$E:$E,,0,1)</f>
        <v>#VALUE!</v>
      </c>
      <c r="AG39" s="262" t="str">
        <f>Games!O50</f>
        <v>Michigan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0.55000000000000004</v>
      </c>
      <c r="F41" s="262" t="str">
        <f>Games!O14</f>
        <v>Clemson</v>
      </c>
      <c r="G41" s="247" t="e" vm="83">
        <f>_xlfn.XLOOKUP(F41,Teams!$C:$C,Teams!$E:$E,,0,1)</f>
        <v>#VALUE!</v>
      </c>
      <c r="H41" s="277">
        <f>Games!N42</f>
        <v>0.03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0.24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0.45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0.73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0.41</v>
      </c>
      <c r="F45" s="262" t="str">
        <f>Games!O15</f>
        <v>McNeese State</v>
      </c>
      <c r="G45" s="247" t="e" vm="86">
        <f>_xlfn.XLOOKUP(F45,Teams!$C:$C,Teams!$E:$E,,0,1)</f>
        <v>#VALUE!</v>
      </c>
      <c r="H45" s="264">
        <f>Games!L43</f>
        <v>0.21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0.59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0.65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0.79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0.56999999999999995</v>
      </c>
      <c r="R51" s="25"/>
      <c r="S51" s="25"/>
      <c r="T51" s="25"/>
      <c r="U51" s="75"/>
      <c r="V51" s="25"/>
      <c r="W51" s="25"/>
      <c r="X51" s="25"/>
      <c r="Y51" s="269">
        <f>Games!N70</f>
        <v>0.37</v>
      </c>
      <c r="Z51" s="249" t="e" vm="117">
        <f>_xlfn.XLOOKUP(AA51,Teams!$C:$C,Teams!$E:$E,,0,1)</f>
        <v>#VALUE!</v>
      </c>
      <c r="AA51" s="262" t="str">
        <f>Games!O67</f>
        <v>Texas Tech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0.56000000000000005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0.84</v>
      </c>
      <c r="AI53" s="249" t="e" vm="122">
        <f>_xlfn.XLOOKUP(AJ53,Teams!$C:$C,Teams!$E:$E,,0,1)</f>
        <v>#VALUE!</v>
      </c>
      <c r="AJ53" s="262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North Carolina</v>
      </c>
      <c r="J55" s="247" t="e" vm="89">
        <f>_xlfn.XLOOKUP(I55,Teams!$C:$C,Teams!$E:$E,,0,1)</f>
        <v>#VALUE!</v>
      </c>
      <c r="K55" s="264">
        <f>Games!L58</f>
        <v>0.4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0.45</v>
      </c>
      <c r="AF55" s="249" t="e" vm="122">
        <f>_xlfn.XLOOKUP(AG55,Teams!$C:$C,Teams!$E:$E,,0,1)</f>
        <v>#VALUE!</v>
      </c>
      <c r="AG55" s="262" t="str">
        <f>Games!O52</f>
        <v>Miami (OH)</v>
      </c>
      <c r="AH55" s="55"/>
      <c r="AI55" s="51"/>
      <c r="AJ55" s="282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0.44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0.16</v>
      </c>
      <c r="AI57" s="249" t="e" vm="124">
        <f>_xlfn.XLOOKUP(AJ57,Teams!$C:$C,Teams!$E:$E,,0,1)</f>
        <v>#VALUE!</v>
      </c>
      <c r="AJ57" s="262" t="str">
        <f>Games!O34</f>
        <v>Wright State</v>
      </c>
      <c r="AK57" s="58">
        <f>Games!L34</f>
        <v>0.2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Saint Mary's (CA)</v>
      </c>
      <c r="M59" s="247" t="e" vm="93">
        <f>_xlfn.XLOOKUP(L59,Teams!$C:$C,Teams!$E:$E,,0,1)</f>
        <v>#VALUE!</v>
      </c>
      <c r="N59" s="277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0.27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0.8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5">
        <f>_xlfn.XLOOKUP(AJ61,Teams!$C:$C,Teams!$E:$E,,0,1)</f>
        <v>#VALUE!</v>
      </c>
      <c r="AJ61" s="262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0.6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0.55000000000000004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