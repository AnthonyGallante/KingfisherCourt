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42FFA84A-EB11-462C-BFFC-33461BFC58A9}" xr6:coauthVersionLast="47" xr6:coauthVersionMax="47" xr10:uidLastSave="{00000000-0000-0000-0000-000000000000}"/>
  <bookViews>
    <workbookView xWindow="3072" yWindow="3072" windowWidth="23040" windowHeight="12120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5" i="2" l="1"/>
  <c r="C14" i="2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<sst xmlns="http://schemas.openxmlformats.org/spreadsheetml/2006/main" count="1526" uniqueCount="1194">
  <si>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</si>
  <si>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</si>
  <si>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</si>
  <si>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</si>
  <si>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</si>
  <si>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</si>
  <si>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</si>
  <si>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</si>
  <si>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</si>
  <si>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</si>
  <si>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</si>
  <si>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</si>
  <si>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</si>
  <si>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</si>
  <si>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</si>
  <si>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</si>
  <si>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</si>
  <si>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</si>
  <si>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</si>
  <si>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</si>
  <si>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</si>
  <si>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</si>
  <si>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</si>
  <si>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</si>
  <si>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</si>
  <si>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</si>
  <si>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</si>
  <si>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</si>
  <si>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</si>
  <si>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</si>
  <si>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</si>
  <si>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</si>
  <si>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</si>
  <si>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</si>
  <si>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</si>
  <si>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</si>
  <si>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</si>
  <si>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</si>
  <si>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</si>
  <si>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</si>
  <si>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</si>
  <si>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</si>
  <si>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</si>
  <si>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</si>
  <si>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</si>
  <si>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</si>
  <si>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</si>
  <si>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</si>
  <si>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</si>
  <si>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</si>
  <si>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</si>
  <si>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</si>
  <si>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</si>
  <si>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</si>
  <si>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</si>
  <si>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</si>
  <si>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</si>
  <si>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</si>
  <si>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</si>
  <si>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</si>
  <si>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</si>
  <si>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</si>
  <si>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</si>
  <si>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</si>
  <si>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</si>
  <si>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</si>
  <si>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</si>
  <si>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</si>
  <si>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</si>
  <si>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</si>
  <si>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</si>
  <si>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</si>
  <si>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</si>
  <si>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</si>
  <si>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</si>
  <si>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</si>
  <si>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</si>
  <si>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</si>
  <si>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</si>
  <si>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</si>
  <si>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</si>
  <si>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</si>
  <si>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</si>
  <si>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</si>
  <si>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</si>
  <si>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</si>
  <si>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</si>
  <si>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</si>
  <si>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</si>
  <si>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</si>
  <si>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</si>
  <si>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</si>
  <si>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</si>
  <si>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</si>
  <si>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</si>
  <si>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</si>
  <si>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</si>
  <si>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</si>
  <si>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</si>
  <si>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</si>
  <si>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</si>
  <si>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</si>
  <si>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</si>
  <si>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</si>
  <si>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</si>
  <si>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</si>
  <si>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</si>
  <si>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</si>
  <si>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</si>
  <si>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</si>
  <si>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</si>
  <si>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</si>
  <si>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</si>
  <si>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</si>
  <si>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</si>
  <si>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</si>
  <si>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</si>
  <si>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</si>
  <si>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</si>
  <si>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</si>
  <si>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</si>
  <si>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</si>
  <si>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</si>
  <si>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</si>
  <si>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</si>
  <si>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</si>
  <si>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</si>
  <si>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</si>
  <si>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</si>
  <si>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</si>
  <si>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</si>
  <si>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</si>
  <si>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</si>
  <si>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</si>
  <si>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</si>
  <si>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</si>
  <si>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</si>
  <si>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</si>
  <si>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</si>
  <si>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</si>
  <si>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</si>
  <si>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</si>
  <si>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</si>
  <si>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</si>
  <si>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</si>
  <si>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</si>
  <si>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</si>
  <si>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</si>
  <si>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</si>
  <si>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</si>
  <si>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</si>
  <si>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</si>
  <si>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</si>
  <si>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</si>
  <si>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</si>
  <si>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</si>
  <si>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</si>
  <si>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</si>
  <si>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</si>
  <si>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</si>
  <si>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</si>
  <si>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</si>
  <si>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</si>
  <si>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</si>
  <si>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</si>
  <si>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</si>
  <si>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</si>
  <si>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</si>
  <si>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</si>
  <si>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</si>
  <si>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</si>
  <si>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</si>
  <si>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</si>
  <si>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</si>
  <si>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</si>
  <si>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</si>
  <si>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</si>
  <si>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</si>
  <si>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</si>
  <si>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</si>
  <si>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</si>
  <si>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</si>
  <si>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</si>
  <si>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</si>
  <si>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</si>
  <si>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</si>
  <si>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</si>
  <si>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</si>
  <si>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</si>
  <si>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</si>
  <si>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</si>
  <si>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</si>
  <si>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</si>
  <si>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</si>
  <si>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</si>
  <si>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</si>
  <si>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</si>
  <si>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</si>
  <si>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</si>
  <si>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</si>
  <si>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</si>
  <si>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</si>
  <si>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</si>
  <si>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</si>
  <si>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</si>
  <si>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</si>
  <si>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</si>
  <si>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</si>
  <si>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</si>
  <si>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</si>
  <si>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</si>
  <si>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</si>
  <si>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</si>
  <si>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</si>
  <si>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</si>
  <si>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</si>
  <si>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</si>
  <si>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</si>
  <si>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</si>
  <si>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</si>
  <si>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</si>
  <si>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</si>
  <si>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</si>
  <si>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</si>
  <si>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</si>
  <si>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</si>
  <si>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</si>
  <si>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</si>
  <si>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</si>
  <si>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</si>
  <si>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</si>
  <si>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</si>
  <si>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</si>
  <si>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</si>
  <si>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</si>
  <si>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</si>
  <si>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</si>
  <si>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</si>
  <si>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</si>
  <si>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</si>
  <si>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</si>
  <si>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</si>
  <si>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</si>
  <si>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</si>
  <si>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</si>
  <si>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</si>
  <si>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</si>
  <si>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</si>
  <si>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</si>
  <si>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</si>
  <si>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</si>
  <si>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</si>
  <si>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</si>
  <si>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</si>
  <si>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</si>
  <si>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</si>
  <si>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</si>
  <si>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</si>
  <si>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</si>
  <si>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</si>
  <si>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</si>
  <si>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</si>
  <si>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</si>
  <si>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</si>
  <si>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</si>
  <si>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</si>
  <si>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</si>
  <si>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</si>
  <si>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</si>
  <si>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</si>
  <si>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</si>
  <si>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</si>
  <si>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</si>
  <si>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</si>
  <si>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</si>
  <si>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</si>
  <si>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</si>
  <si>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</si>
  <si>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</si>
  <si>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</si>
  <si>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</si>
  <si>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</si>
  <si>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</si>
  <si>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</si>
  <si>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</si>
  <si>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</si>
  <si>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</si>
  <si>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</si>
  <si>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</si>
  <si>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</si>
  <si>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</si>
  <si>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</si>
  <si>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</si>
  <si>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</si>
  <si>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</si>
  <si>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</si>
  <si>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</si>
  <si>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</si>
  <si>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</si>
  <si>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</si>
  <si>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</si>
  <si>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</si>
  <si>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</si>
  <si>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</si>
  <si>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</si>
  <si>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</si>
  <si>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</si>
  <si>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</si>
  <si>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</si>
  <si>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</si>
  <si>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</si>
  <si>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</si>
  <si>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</si>
  <si>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</si>
  <si>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</si>
  <si>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</si>
  <si>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</si>
  <si>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</si>
  <si>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</si>
  <si>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</si>
  <si>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</si>
  <si>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</si>
  <si>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</si>
  <si>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</si>
  <si>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</si>
  <si>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</si>
  <si>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</si>
  <si>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</si>
  <si>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</si>
  <si>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</si>
  <si>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</si>
  <si>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</si>
  <si>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</si>
  <si>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</si>
  <si>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</si>
  <si>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</si>
  <si>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</si>
  <si>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</si>
  <si>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</si>
  <si>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</si>
  <si>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</si>
  <si>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</si>
  <si>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</si>
  <si>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</si>
  <si>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</si>
  <si>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</si>
  <si>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</si>
  <si>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</si>
  <si>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</si>
  <si>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</si>
  <si>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</si>
  <si>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</si>
  <si>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</si>
  <si>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</si>
  <si>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</si>
  <si>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</si>
  <si>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</si>
  <si>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</si>
  <si>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</si>
  <si>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</si>
  <si>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</si>
  <si>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</si>
  <si>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</si>
  <si>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</si>
  <si>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</si>
  <si>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</si>
  <si>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</si>
  <si>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</si>
  <si>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</si>
  <si>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</si>
  <si>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</si>
  <si>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</si>
  <si>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</si>
  <si>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</si>
  <si>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</si>
  <si>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</si>
  <si>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</si>
  <si>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</si>
  <si>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</si>
  <si>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</si>
  <si>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</si>
  <si>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</si>
  <si>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</si>
  <si>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</si>
  <si>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</si>
  <si>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</si>
  <si>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</si>
  <si>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</si>
  <si>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</si>
  <si>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</si>
  <si>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</si>
  <si>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</si>
  <si>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</si>
  <si>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</si>
  <si>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</si>
  <si>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</si>
  <si>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</si>
  <si>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</si>
  <si>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</si>
  <si>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</si>
  <si>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</si>
  <si>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</si>
  <si>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</si>
  <si>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</si>
  <si>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</si>
  <si>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</si>
  <si>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</si>
  <si>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</si>
  <si>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</si>
  <si>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</si>
  <si>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</si>
  <si>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</si>
  <si>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</si>
  <si>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</si>
  <si>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</si>
  <si>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</si>
  <si>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</si>
  <si>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</si>
  <si>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</si>
  <si>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</si>
  <si>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</si>
  <si>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</si>
  <si>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</si>
  <si>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</si>
  <si>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</si>
  <si>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</si>
  <si>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</si>
  <si>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</si>
  <si>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</si>
  <si>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</si>
  <si>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</si>
  <si>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</si>
  <si>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</si>
  <si>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</si>
  <si>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</si>
  <si>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</si>
  <si>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</si>
  <si>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</si>
  <si>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</si>
  <si>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</si>
  <si>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</si>
  <si>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</si>
  <si>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</si>
  <si>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</si>
  <si>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</si>
  <si>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</si>
  <si>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</si>
  <si>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</si>
  <si>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</si>
  <si>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</si>
  <si>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</si>
  <si>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</si>
  <si>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</si>
  <si>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</si>
  <si>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</si>
  <si>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</si>
  <si>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</si>
  <si>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</si>
  <si>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</si>
  <si>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</si>
  <si>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</si>
  <si>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</si>
  <si>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</si>
  <si>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</si>
  <si>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</si>
  <si>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</si>
  <si>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</si>
  <si>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</si>
  <si>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</si>
  <si>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</si>
  <si>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</si>
  <si>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</si>
  <si>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</si>
  <si>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</si>
  <si>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</si>
  <si>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</si>
  <si>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</si>
  <si>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</si>
  <si>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</si>
  <si>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</si>
  <si>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</si>
  <si>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</si>
  <si>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</si>
  <si>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</si>
  <si>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</si>
  <si>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</si>
  <si>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</si>
  <si>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</si>
  <si>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</si>
  <si>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</si>
  <si>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</si>
  <si>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</si>
  <si>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</si>
  <si>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</si>
  <si>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</si>
  <si>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</si>
  <si>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</si>
  <si>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</si>
  <si>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</si>
  <si>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</si>
  <si>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</si>
  <si>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</si>
  <si>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</si>
  <si>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</si>
  <si>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</si>
  <si>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</si>
  <si>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</si>
  <si>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</si>
  <si>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</si>
  <si>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</si>
  <si>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</si>
  <si>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</si>
  <si>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</si>
  <si>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</si>
  <si>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</si>
  <si>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</si>
  <si>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</si>
  <si>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</si>
  <si>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</si>
  <si>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</si>
  <si>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</si>
  <si>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</si>
  <si>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</si>
  <si>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</si>
  <si>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</si>
  <si>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</si>
  <si>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</si>
  <si>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</si>
  <si>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</si>
  <si>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</si>
  <si>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</si>
  <si>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</si>
  <si>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</si>
  <si>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</si>
  <si>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</si>
  <si>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</si>
  <si>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</si>
  <si>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</si>
  <si>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</si>
  <si>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</si>
  <si>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</si>
  <si>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</si>
  <si>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</si>
  <si>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</si>
  <si>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</si>
  <si>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</si>
  <si>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</si>
  <si>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</si>
  <si>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</si>
  <si>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</si>
  <si>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</si>
  <si>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</si>
  <si>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</si>
  <si>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</si>
  <si>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</si>
  <si>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</si>
  <si>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</si>
  <si>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</si>
  <si>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</si>
  <si>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</si>
  <si>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</si>
  <si>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</si>
  <si>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</si>
  <si>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</si>
  <si>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</si>
  <si>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</si>
  <si>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</si>
  <si>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</si>
  <si>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</si>
  <si>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</si>
  <si>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</si>
  <si>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</si>
  <si>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</si>
  <si>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</si>
  <si>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</si>
  <si>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</si>
  <si>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</si>
  <si>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</si>
  <si>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</si>
  <si>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</si>
  <si>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</si>
  <si>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</si>
  <si>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</si>
  <si>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</si>
  <si>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</si>
  <si>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</si>
  <si>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</si>
  <si>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</si>
  <si>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</si>
  <si>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</si>
  <si>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</si>
  <si>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</si>
  <si>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</si>
  <si>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</si>
  <si>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</si>
  <si>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</si>
  <si>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</si>
  <si>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</si>
  <si>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</si>
  <si>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</si>
  <si>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</si>
  <si>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</si>
  <si>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</si>
  <si>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</si>
  <si>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</si>
  <si>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</si>
  <si>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</si>
  <si>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</si>
  <si>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</si>
  <si>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</si>
  <si>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</si>
  <si>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</si>
  <si>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</si>
  <si>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</si>
  <si>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</si>
  <si>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</si>
  <si>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</si>
  <si>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</si>
  <si>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</si>
  <si>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</si>
  <si>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</si>
  <si>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</si>
  <si>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</si>
  <si>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</si>
  <si>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</si>
  <si>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</si>
  <si>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</si>
  <si>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</si>
  <si>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</si>
  <si>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</si>
  <si>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</si>
  <si>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</si>
  <si>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</si>
  <si>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</si>
  <si>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</si>
  <si>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</si>
  <si>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</si>
  <si>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</si>
  <si>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</si>
  <si>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</si>
  <si>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</si>
  <si>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</si>
  <si>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</si>
  <si>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</si>
  <si>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</si>
  <si>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</si>
  <si>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</si>
  <si>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</si>
  <si>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</si>
  <si>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</si>
  <si>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</si>
  <si>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</si>
  <si>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</si>
  <si>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</si>
  <si>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</si>
  <si>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</si>
  <si>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</si>
  <si>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</si>
  <si>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</si>
  <si>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</si>
  <si>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</si>
  <si>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</si>
  <si>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</si>
  <si>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</si>
  <si>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</si>
  <si>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</si>
  <si>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</si>
  <si>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</si>
  <si>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</si>
  <si>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</si>
  <si>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</si>
  <si>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</si>
  <si>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</si>
  <si>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</si>
  <si>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</si>
  <si>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</si>
  <si>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</si>
  <si>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</si>
  <si>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</si>
  <si>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</si>
  <si>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</si>
  <si>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</si>
  <si>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</si>
  <si>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</si>
  <si>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</si>
  <si>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</si>
  <si>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</si>
  <si>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</si>
  <si>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</si>
  <si>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</si>
  <si>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</si>
  <si>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</si>
  <si>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</si>
  <si>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</si>
  <si>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</si>
  <si>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</si>
  <si>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</si>
  <si>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</si>
  <si>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</si>
  <si>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</si>
  <si>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</si>
  <si>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</si>
  <si>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</si>
  <si>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</si>
  <si>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</si>
  <si>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</si>
  <si>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</si>
  <si>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</si>
  <si>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</si>
  <si>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</si>
  <si>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</si>
  <si>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</si>
  <si>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</si>
  <si>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</si>
  <si>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</si>
  <si>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</si>
  <si>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</si>
  <si>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</si>
  <si>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</si>
  <si>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</si>
  <si>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</si>
  <si>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</si>
  <si>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</si>
  <si>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</si>
  <si>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</si>
  <si>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</si>
  <si>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</si>
  <si>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</si>
  <si>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</si>
  <si>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</si>
  <si>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</si>
  <si>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</si>
  <si>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</si>
  <si>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</si>
  <si>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</si>
  <si>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</si>
  <si>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</si>
  <si>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</si>
  <si>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</si>
  <si>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</si>
  <si>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</si>
  <si>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</si>
  <si>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</si>
  <si>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</si>
  <si>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</si>
  <si>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</si>
  <si>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</si>
  <si>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</si>
  <si>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</si>
  <si>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</si>
  <si>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</si>
  <si>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</si>
  <si>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</si>
  <si>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</si>
  <si>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</si>
  <si>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</si>
  <si>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</si>
  <si>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</si>
  <si>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</si>
  <si>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</si>
  <si>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</si>
  <si>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</si>
  <si>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</si>
  <si>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</si>
  <si>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</si>
  <si>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</si>
  <si>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</si>
  <si>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</si>
  <si>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</si>
  <si>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</si>
  <si>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</si>
  <si>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</si>
  <si>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</si>
  <si>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</si>
  <si>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</si>
  <si>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</si>
  <si>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</si>
  <si>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</si>
  <si>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</si>
  <si>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</si>
  <si>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</si>
  <si>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</si>
  <si>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</si>
  <si>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</si>
  <si>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</si>
  <si>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</si>
  <si>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</si>
  <si>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</si>
  <si>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</si>
  <si>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</si>
  <si>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</si>
  <si>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</si>
  <si>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</si>
  <si>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</si>
  <si>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</si>
  <si>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</si>
  <si>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</si>
  <si>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</si>
  <si>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</si>
  <si>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</si>
  <si>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</si>
  <si>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</si>
  <si>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</si>
  <si>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</si>
  <si>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</si>
  <si>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</si>
  <si>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</si>
  <si>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</si>
  <si>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</si>
  <si>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</si>
  <si>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</si>
  <si>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</si>
  <si>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</si>
  <si>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</si>
  <si>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</si>
  <si>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</si>
  <si>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</si>
  <si>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</si>
  <si>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</si>
  <si>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</si>
  <si>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</si>
  <si>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</si>
  <si>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</si>
  <si>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</si>
  <si>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</si>
  <si>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</si>
  <si>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</si>
  <si>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</si>
  <si>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</si>
  <si>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</si>
  <si>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</si>
  <si>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</si>
  <si>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</si>
  <si>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</si>
  <si>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</si>
  <si>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</si>
  <si>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</si>
  <si>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</si>
  <si>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</si>
  <si>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</si>
  <si>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</si>
  <si>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</si>
  <si>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</si>
  <si>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</si>
  <si>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</si>
  <si>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</si>
  <si>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</si>
  <si>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</si>
  <si>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</si>
  <si>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</si>
  <si>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</si>
  <si>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</si>
  <si>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</si>
  <si>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</si>
  <si>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</si>
  <si>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</si>
  <si>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</si>
  <si>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</si>
  <si>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</si>
  <si>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</si>
  <si>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</si>
  <si>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</si>
  <si>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</si>
  <si>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</si>
  <si>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</si>
  <si>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</si>
  <si>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</si>
  <si>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</si>
  <si>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</si>
  <si>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</si>
  <si>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</si>
  <si>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</si>
  <si>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</si>
  <si>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</si>
  <si>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</si>
  <si>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</si>
  <si>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</si>
  <si>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</si>
  <si>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</si>
  <si>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</si>
  <si>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</si>
  <si>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</si>
  <si>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</si>
  <si>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</si>
  <si>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</si>
  <si>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</si>
  <si>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</si>
  <si>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</si>
  <si>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</si>
  <si>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</si>
  <si>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</si>
  <si>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</si>
  <si>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</si>
  <si>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</si>
  <si>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</si>
  <si>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</si>
  <si>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</si>
  <si>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</si>
  <si>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</si>
  <si>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</si>
  <si>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</si>
  <si>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</si>
  <si>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</si>
  <si>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</si>
  <si>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</si>
  <si>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</si>
  <si>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</si>
  <si>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</si>
  <si>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</si>
  <si>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</si>
  <si>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</si>
  <si>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</si>
  <si>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</si>
  <si>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</si>
  <si>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</si>
  <si>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</si>
  <si>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</si>
  <si>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</si>
  <si>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</si>
  <si>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</si>
  <si>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</si>
  <si>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</si>
  <si>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</si>
  <si>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</si>
  <si>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</si>
  <si>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</si>
  <si>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</si>
  <si>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</si>
  <si>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</si>
  <si>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</si>
  <si>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</si>
  <si>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</si>
  <si>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</si>
  <si>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</si>
  <si>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</si>
  <si>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</si>
  <si>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</si>
  <si>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</si>
  <si>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</si>
  <si>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</si>
  <si>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</si>
  <si>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</si>
  <si>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</si>
  <si>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</si>
  <si>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</si>
  <si>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</si>
  <si>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</si>
  <si>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</si>
  <si>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</si>
  <si>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</si>
  <si>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</si>
  <si>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</si>
  <si>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</si>
  <si>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</si>
  <si>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</si>
  <si>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</si>
  <si>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</si>
  <si>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</si>
  <si>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</si>
  <si>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</si>
  <si>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</si>
  <si>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</si>
  <si>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</si>
  <si>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</si>
  <si>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</si>
  <si>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</si>
  <si>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</si>
  <si>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</si>
  <si>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</si>
  <si>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</si>
  <si>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</si>
  <si>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</si>
  <si>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</si>
  <si>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</si>
  <si>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</si>
  <si>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</si>
  <si>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</si>
  <si>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</si>
  <si>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</si>
  <si>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</si>
  <si>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</si>
  <si>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</si>
  <si>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</si>
  <si>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</si>
  <si>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</si>
  <si>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</si>
  <si>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</si>
  <si>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</si>
  <si>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</si>
  <si>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</si>
  <si>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</si>
  <si>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</si>
  <si>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</si>
  <si>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</si>
  <si>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</si>
  <si>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</si>
  <si>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</si>
  <si>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</si>
  <si>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</si>
  <si>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</si>
  <si>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</si>
  <si>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</si>
  <si>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</si>
  <si>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</si>
  <si>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</si>
  <si>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</si>
  <si>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</si>
  <si>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</si>
  <si>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</si>
  <si>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</si>
  <si>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</si>
  <si>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</si>
  <si>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</si>
  <si>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</si>
  <si>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</si>
  <si>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</si>
  <si>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</si>
  <si>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</si>
  <si>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</si>
  <si>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</si>
  <si>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</si>
  <si>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</si>
  <si>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</si>
  <si>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</si>
  <si>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</si>
  <si>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</si>
  <si>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</si>
  <si>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</si>
  <si>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</si>
  <si>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</si>
  <si>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</si>
  <si>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</si>
  <si>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</si>
  <si>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</si>
  <si>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</si>
  <si>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</si>
  <si>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</si>
  <si>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</si>
  <si>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</si>
  <si>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</si>
  <si>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</si>
  <si>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</si>
  <si>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</si>
  <si>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</si>
  <si>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</si>
  <si>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</si>
  <si>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</si>
  <si>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</si>
  <si>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</si>
  <si>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</si>
  <si>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</si>
  <si>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</si>
  <si>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</si>
  <si>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</si>
  <si>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</si>
  <si>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</si>
  <si>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</si>
  <si>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</si>
  <si>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</si>
  <si>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</si>
  <si>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</si>
  <si>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</si>
  <si>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</si>
  <si>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</si>
  <si>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</si>
  <si>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</si>
  <si>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</si>
  <si>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</si>
  <si>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</si>
  <si>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</si>
  <si>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</si>
  <si>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</si>
  <si>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</si>
  <si>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</si>
  <si>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</si>
  <si>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</si>
  <si>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</si>
  <si>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</si>
  <si>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</si>
  <si>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</si>
  <si>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</si>
  <si>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</si>
  <si>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</si>
  <si>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</si>
  <si>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</si>
  <si>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</si>
  <si>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</si>
  <si>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</si>
  <si>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</si>
  <si>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</si>
  <si>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</si>
  <si>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</si>
  <si>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</si>
  <si>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</si>
  <si>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</si>
  <si>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</si>
  <si>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</si>
  <si>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</si>
  <si>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</si>
  <si>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</si>
  <si>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</si>
  <si>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</si>
  <si>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</si>
  <si>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</si>
  <si>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</si>
  <si>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</si>
  <si>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</si>
  <si>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</si>
  <si>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</si>
  <si>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</si>
  <si>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</si>
  <si>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</si>
  <si>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</si>
  <si>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</si>
  <si>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</si>
  <si>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</si>
  <si>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</si>
  <si>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</si>
  <si>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</si>
  <si>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</si>
  <si>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</si>
  <si>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</si>
  <si>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</si>
  <si>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</si>
  <si>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</si>
  <si>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</si>
  <si>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</si>
  <si>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</si>
  <si>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</si>
  <si>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</si>
  <si>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</si>
  <si>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</si>
  <si>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</si>
  <si>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Cal State Bakersfield: 98 - 403 :Cal State Fullerton</t>
  </si>
  <si>
    <t>Cal State Northridge: 260 - 241 :California</t>
  </si>
  <si>
    <t>California Baptist: 178 - 323 :Campbell</t>
  </si>
  <si>
    <t>Canisius: 19 - 482 :Central Arkansas</t>
  </si>
  <si>
    <t>Central Connecticut State: 211 - 290 :Central Michigan</t>
  </si>
  <si>
    <t>Charleston Southern: 278 - 223 :Charlotte</t>
  </si>
  <si>
    <t>Auburn: 273 - 228 :Austin Peay</t>
  </si>
  <si>
    <t>Ball State: 69 - 432 :Baylor</t>
  </si>
  <si>
    <t>UPSET! Normal winner is Belmont</t>
  </si>
  <si>
    <t>Bethune-Cookman: 418 - 83 :Binghamton</t>
  </si>
  <si>
    <t>Boise State: 409 - 92 :Boston College</t>
  </si>
  <si>
    <t>Drake: 4 - 497 :Duke</t>
  </si>
  <si>
    <t>UPSET! Normal winner is Brigham Young</t>
  </si>
  <si>
    <t>Brown: 301 - 200 :Bryant</t>
  </si>
  <si>
    <t>Abilene Christian: 442 - 59 :Air Force</t>
  </si>
  <si>
    <t>Akron: 154 - 347 :Alabama</t>
  </si>
  <si>
    <t>Alabama A&amp;M: 328 - 173 :Alabama State</t>
  </si>
  <si>
    <t>UPSET! Normal winner is Albany (NY)</t>
  </si>
  <si>
    <t>American: 42 - 459 :Appalachian State</t>
  </si>
  <si>
    <t>Arizona: 491 - 10 :Arizona State</t>
  </si>
  <si>
    <t>UPSET! Normal winner is Arkansas</t>
  </si>
  <si>
    <t>Arkansas-Pine Bluff: 371 - 130 :Army</t>
  </si>
  <si>
    <t>Chattanooga: 375 - 126 :Chicago State</t>
  </si>
  <si>
    <t>UPSET! Normal winner is Cincinnati</t>
  </si>
  <si>
    <t>Cleveland State: 59 - 442 :Coastal Carolina</t>
  </si>
  <si>
    <t>Colgate: 92 - 409 :College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</si>
  <si>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</si>
  <si>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</si>
  <si>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</si>
  <si>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</si>
  <si>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Buffalo: 246 - 255 :Butler</t>
  </si>
  <si>
    <t>Cal State Fullerton: 127 - 374 :Cal State Northridge</t>
  </si>
  <si>
    <t>UPSET! Normal winner is Central Arkansas</t>
  </si>
  <si>
    <t>Central Michigan: 210 - 291 :Charleston Southern</t>
  </si>
  <si>
    <t>UPSET! Normal winner is Auburn</t>
  </si>
  <si>
    <t>Bellarmine: 121 - 380 :Bethune-Cookman</t>
  </si>
  <si>
    <t>Boise State: 34 - 467 :Duke</t>
  </si>
  <si>
    <t>Bradley: 424 - 77 :Brown</t>
  </si>
  <si>
    <t>Abilene Christian: 1 - 500 :Alabama</t>
  </si>
  <si>
    <t>Alabama A&amp;M: 272 - 229 :Alcorn State</t>
  </si>
  <si>
    <t>Appalachian State: 23 - 478 :Arizona</t>
  </si>
  <si>
    <t>UPSET! Normal winner is Arkansas State</t>
  </si>
  <si>
    <t>UPSET! Normal winner is Clemson</t>
  </si>
  <si>
    <t>Coastal Carolina: 202 - 299 :College of Charleston</t>
  </si>
  <si>
    <t>Colorado: 91 - 410 :Connecticut</t>
  </si>
  <si>
    <t>Cornell: 181 - 320 :Creighton</t>
  </si>
  <si>
    <t>Butler: 221 - 280 :Cal State Northridge</t>
  </si>
  <si>
    <t>UPSET! Normal winner is Campbell</t>
  </si>
  <si>
    <t>Baylor: 328 - 173 :Bethune-Cookman</t>
  </si>
  <si>
    <t>Duke: 463 - 38 :Bradley</t>
  </si>
  <si>
    <t>Alabama: 494 - 7 :Alabama A&amp;M</t>
  </si>
  <si>
    <t>Arizona: 498 - 3 :Arkansas-Pine Bluff</t>
  </si>
  <si>
    <t>Chattanooga: 42 - 459 :College of Charleston</t>
  </si>
  <si>
    <t>Connecticut: 437 - 64 :Creighton</t>
  </si>
  <si>
    <t>Cal State Northridge: 369 - 132 :Charleston Southern</t>
  </si>
  <si>
    <t>Baylor: 75 - 426 :Duke</t>
  </si>
  <si>
    <t>Alabama: 116 - 385 :Arizona</t>
  </si>
  <si>
    <t>College of Charleston: 188 - 313 :Connecticut</t>
  </si>
  <si>
    <t>Duke: 438 - 63 :Cal State Northridge</t>
  </si>
  <si>
    <t>Arizona: 440 - 61 :Connecticut</t>
  </si>
  <si>
    <t>Arizona: 327 - 174 :Duke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</si>
</sst>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0.84</v>
      </c>
      <c r="M15" s="83" t="e" vm="86">
        <f>_xlfn.XLOOKUP(I15,Teams!$C:$C,Teams!$E:$E,,0,1)</f>
        <v>#VALUE!</v>
      </c>
      <c r="N15" s="83">
        <v>0.16</v>
      </c>
      <c r="O15" s="192" t="str">
        <f t="shared" si="3"/>
        <v>Bellarmine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Brigham Young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0.83</v>
      </c>
      <c r="M19" s="83" t="e" vm="94">
        <f>_xlfn.XLOOKUP(I19,Teams!$C:$C,Teams!$E:$E,,0,1)</f>
        <v>#VALUE!</v>
      </c>
      <c r="N19" s="83">
        <v>0.17</v>
      </c>
      <c r="O19" s="192" t="str">
        <f t="shared" si="3"/>
        <v>Bradley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0.34</v>
      </c>
      <c r="M24" s="82" t="e" vm="104">
        <f>_xlfn.XLOOKUP(I24,Teams!$C:$C,Teams!$E:$E,,0,1)</f>
        <v>#VALUE!</v>
      </c>
      <c r="N24" s="82">
        <v>0.66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</v>
      </c>
      <c r="M27" s="82" t="e" vm="110">
        <f>_xlfn.XLOOKUP(I27,Teams!$C:$C,Teams!$E:$E,,0,1)</f>
        <v>#VALUE!</v>
      </c>
      <c r="N27" s="82">
        <v>0.9</v>
      </c>
      <c r="O27" s="189" t="str">
        <f t="shared" si="3"/>
        <v>Arkansas State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Cincinnati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Clemson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Buffalo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0.49</v>
      </c>
      <c r="M38" s="84" t="e" vm="67">
        <f>_xlfn.XLOOKUP(I38,Teams!$C:$C,Teams!$E:$E,,0,1)</f>
        <v>#VALUE!</v>
      </c>
      <c r="N38" s="84">
        <v>0.51</v>
      </c>
      <c r="O38" s="194" t="str">
        <f t="shared" ref="O38:O53" si="9">IF(L38&gt;N38,G38,I38)</f>
        <v>Butler</v>
      </c>
      <c r="P38" s="209" t="e" vm="67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 State Northridge</v>
      </c>
      <c r="C39" s="91" t="str">
        <f t="shared" si="7"/>
        <v>Cal State Fullerton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0.25</v>
      </c>
      <c r="M39" s="82" t="e" vm="71">
        <f>_xlfn.XLOOKUP(I39,Teams!$C:$C,Teams!$E:$E,,0,1)</f>
        <v>#VALUE!</v>
      </c>
      <c r="N39" s="82">
        <v>0.75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Central Arkansas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0.67</v>
      </c>
      <c r="M40" s="82" t="e" vm="76">
        <f>_xlfn.XLOOKUP(I40,Teams!$C:$C,Teams!$E:$E,,0,1)</f>
        <v>#VALUE!</v>
      </c>
      <c r="N40" s="82">
        <v>0.33</v>
      </c>
      <c r="O40" s="189" t="str">
        <f t="shared" si="9"/>
        <v>Campbell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Charleston Southern</v>
      </c>
      <c r="C41" s="91" t="str">
        <f t="shared" si="7"/>
        <v>Central Michigan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0.42</v>
      </c>
      <c r="M41" s="139" t="e" vm="79">
        <f>_xlfn.XLOOKUP(I41,Teams!$C:$C,Teams!$E:$E,,0,1)</f>
        <v>#VALUE!</v>
      </c>
      <c r="N41" s="139">
        <v>0.57999999999999996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Baylor</v>
      </c>
      <c r="C42" s="91" t="str">
        <f t="shared" si="7"/>
        <v>Auburn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0.44</v>
      </c>
      <c r="M42" s="145" t="e" vm="84">
        <f>_xlfn.XLOOKUP(I42,Teams!$C:$C,Teams!$E:$E,,0,1)</f>
        <v>#VALUE!</v>
      </c>
      <c r="N42" s="145">
        <v>0.56000000000000005</v>
      </c>
      <c r="O42" s="196" t="str">
        <f t="shared" si="9"/>
        <v>Baylor</v>
      </c>
      <c r="P42" s="211" t="e" vm="84">
        <f>_xlfn.XLOOKUP(O42,Teams!$C:$C,Teams!$E:$E,,0,1)</f>
        <v>#VALUE!</v>
      </c>
      <c r="Q42" s="225" t="s">
        <v>1167</v>
      </c>
      <c r="R42" s="6" t="b">
        <f t="shared" si="5"/>
        <v>1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Bethune-Cookman</v>
      </c>
      <c r="C43" s="91" t="str">
        <f t="shared" si="7"/>
        <v>Bellarmine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0.24</v>
      </c>
      <c r="M43" s="83" t="e" vm="87">
        <f>_xlfn.XLOOKUP(I43,Teams!$C:$C,Teams!$E:$E,,0,1)</f>
        <v>#VALUE!</v>
      </c>
      <c r="N43" s="83">
        <v>0.76</v>
      </c>
      <c r="O43" s="192" t="str">
        <f t="shared" si="9"/>
        <v>Bethune-Cookman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0.85</v>
      </c>
      <c r="M45" s="151" t="e" vm="95">
        <f>_xlfn.XLOOKUP(I45,Teams!$C:$C,Teams!$E:$E,,0,1)</f>
        <v>#VALUE!</v>
      </c>
      <c r="N45" s="151">
        <v>0.15</v>
      </c>
      <c r="O45" s="197" t="str">
        <f t="shared" si="9"/>
        <v>Bradley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Alabama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Alcorn State</v>
      </c>
      <c r="C47" s="152" t="str">
        <f t="shared" si="7"/>
        <v>Alcorn State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36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0.54</v>
      </c>
      <c r="M47" s="82" t="e" vm="104">
        <f>_xlfn.XLOOKUP(I47,Teams!$C:$C,Teams!$E:$E,,0,1)</f>
        <v>#VALUE!</v>
      </c>
      <c r="N47" s="82">
        <v>0.46</v>
      </c>
      <c r="O47" s="189" t="str">
        <f t="shared" si="9"/>
        <v>Alabama A&amp;M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 State</v>
      </c>
      <c r="B49" s="152" t="str">
        <f t="shared" si="11"/>
        <v>Arkansas-Pine Bluff</v>
      </c>
      <c r="C49" s="152" t="str">
        <f t="shared" si="7"/>
        <v>Arkansas State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42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0.26</v>
      </c>
      <c r="M49" s="139" t="e" vm="111">
        <f>_xlfn.XLOOKUP(I49,Teams!$C:$C,Teams!$E:$E,,0,1)</f>
        <v>#VALUE!</v>
      </c>
      <c r="N49" s="139">
        <v>0.74</v>
      </c>
      <c r="O49" s="195" t="str">
        <f t="shared" si="9"/>
        <v>Arkansas-Pine Bluff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Clemson</v>
      </c>
      <c r="C50" s="91" t="str">
        <f t="shared" si="7"/>
        <v>Clemson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80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0.85</v>
      </c>
      <c r="M50" s="145" t="e" vm="116">
        <f>_xlfn.XLOOKUP(I50,Teams!$C:$C,Teams!$E:$E,,0,1)</f>
        <v>#VALUE!</v>
      </c>
      <c r="N50" s="145">
        <v>0.15</v>
      </c>
      <c r="O50" s="196" t="str">
        <f t="shared" si="9"/>
        <v>Chattanooga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College of Charleston</v>
      </c>
      <c r="C51" s="91" t="str">
        <f t="shared" si="7"/>
        <v>Coastal Carolina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0.4</v>
      </c>
      <c r="M51" s="83" t="e" vm="120">
        <f>_xlfn.XLOOKUP(I51,Teams!$C:$C,Teams!$E:$E,,0,1)</f>
        <v>#VALUE!</v>
      </c>
      <c r="N51" s="83">
        <v>0.6</v>
      </c>
      <c r="O51" s="192" t="str">
        <f t="shared" si="9"/>
        <v>College of Charleston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Butler</v>
      </c>
      <c r="B55" s="91" t="str">
        <f>I55</f>
        <v>Cal State Northridge</v>
      </c>
      <c r="C55" s="91" t="str">
        <f t="shared" ref="C55:C62" si="12">IF(O55="","",IF(A55=O55,B55,A55))</f>
        <v>Butler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8</v>
      </c>
      <c r="G55" s="94" t="s">
        <v>63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7">
        <f>_xlfn.XLOOKUP(G55,Teams!$C:$C,Teams!$E:$E,,0,1)</f>
        <v>#VALUE!</v>
      </c>
      <c r="L55" s="97">
        <v>0.44</v>
      </c>
      <c r="M55" s="97" t="e" vm="71">
        <f>_xlfn.XLOOKUP(I55,Teams!$C:$C,Teams!$E:$E,,0,1)</f>
        <v>#VALUE!</v>
      </c>
      <c r="N55" s="97">
        <v>0.56000000000000005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Campbell</v>
      </c>
      <c r="B56" s="91" t="str">
        <f t="shared" ref="B56:B62" si="16">I56</f>
        <v>Charleston Southern</v>
      </c>
      <c r="C56" s="91" t="str">
        <f t="shared" si="12"/>
        <v>Campbell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70</v>
      </c>
      <c r="H56" s="182" t="s">
        <v>9</v>
      </c>
      <c r="I56" s="137" t="s">
        <v>75</v>
      </c>
      <c r="J56" s="138" cm="1">
        <f t="array" ref="J56">_xlfn.XLOOKUP(I56,Teams[[#All],[Team]],Teams[[#All],[Seed]],0,0,1)</f>
        <v>2</v>
      </c>
      <c r="K56" s="139" t="e" vm="74">
        <f>_xlfn.XLOOKUP(G56,Teams!$C:$C,Teams!$E:$E,,0,1)</f>
        <v>#VALUE!</v>
      </c>
      <c r="L56" s="139">
        <v>0.24</v>
      </c>
      <c r="M56" s="139" t="e" vm="79">
        <f>_xlfn.XLOOKUP(I56,Teams!$C:$C,Teams!$E:$E,,0,1)</f>
        <v>#VALUE!</v>
      </c>
      <c r="N56" s="139">
        <v>0.76</v>
      </c>
      <c r="O56" s="195" t="str">
        <f t="shared" si="14"/>
        <v>Charleston Southern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Baylor</v>
      </c>
      <c r="B57" s="91" t="str">
        <f t="shared" si="16"/>
        <v>Bethune-Cookman</v>
      </c>
      <c r="C57" s="91" t="str">
        <f t="shared" si="12"/>
        <v>Bethune-Cookman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9</v>
      </c>
      <c r="G57" s="142" t="s">
        <v>48</v>
      </c>
      <c r="H57" s="183" t="s">
        <v>9</v>
      </c>
      <c r="I57" s="143" t="s">
        <v>51</v>
      </c>
      <c r="J57" s="144" cm="1">
        <f t="array" ref="J57">_xlfn.XLOOKUP(I57,Teams[[#All],[Team]],Teams[[#All],[Seed]],0,0,1)</f>
        <v>4</v>
      </c>
      <c r="K57" s="145" t="e" vm="84">
        <f>_xlfn.XLOOKUP(G57,Teams!$C:$C,Teams!$E:$E,,0,1)</f>
        <v>#VALUE!</v>
      </c>
      <c r="L57" s="145">
        <v>0.65</v>
      </c>
      <c r="M57" s="145" t="e" vm="87">
        <f>_xlfn.XLOOKUP(I57,Teams!$C:$C,Teams!$E:$E,,0,1)</f>
        <v>#VALUE!</v>
      </c>
      <c r="N57" s="145">
        <v>0.35</v>
      </c>
      <c r="O57" s="196" t="str">
        <f t="shared" si="14"/>
        <v>Baylor</v>
      </c>
      <c r="P57" s="211" t="e" vm="84">
        <f>_xlfn.XLOOKUP(O57,Teams!$C:$C,Teams!$E:$E,,0,1)</f>
        <v>#VALUE!</v>
      </c>
      <c r="Q57" s="225" t="s">
        <v>1181</v>
      </c>
      <c r="R57" s="6" t="b">
        <f t="shared" si="5"/>
        <v>1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Bradley</v>
      </c>
      <c r="C58" s="91" t="str">
        <f t="shared" si="12"/>
        <v>Bradley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92">
        <f>_xlfn.XLOOKUP(G58,Teams!$C:$C,Teams!$E:$E,,0,1)</f>
        <v>#VALUE!</v>
      </c>
      <c r="L58" s="151">
        <v>0.92</v>
      </c>
      <c r="M58" s="151" t="e" vm="93">
        <f>_xlfn.XLOOKUP(I58,Teams!$C:$C,Teams!$E:$E,,0,1)</f>
        <v>#VALUE!</v>
      </c>
      <c r="N58" s="151">
        <v>0.08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Alabama A&amp;M</v>
      </c>
      <c r="C59" s="152" t="str">
        <f t="shared" si="12"/>
        <v>Alabama A&amp;M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100">
        <f>_xlfn.XLOOKUP(G59,Teams!$C:$C,Teams!$E:$E,,0,1)</f>
        <v>#VALUE!</v>
      </c>
      <c r="L59" s="84">
        <v>0.99</v>
      </c>
      <c r="M59" s="84" t="e" vm="101">
        <f>_xlfn.XLOOKUP(I59,Teams!$C:$C,Teams!$E:$E,,0,1)</f>
        <v>#VALUE!</v>
      </c>
      <c r="N59" s="84">
        <v>0.01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Arkansas-Pine Bluff</v>
      </c>
      <c r="C60" s="152" t="str">
        <f t="shared" si="12"/>
        <v>Arkansas-Pine Bluff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43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0.99</v>
      </c>
      <c r="M60" s="139" t="e" vm="111">
        <f>_xlfn.XLOOKUP(I60,Teams!$C:$C,Teams!$E:$E,,0,1)</f>
        <v>#VALUE!</v>
      </c>
      <c r="N60" s="139">
        <v>0.01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College of Charleston</v>
      </c>
      <c r="C61" s="91" t="str">
        <f t="shared" si="12"/>
        <v>Chattanooga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84</v>
      </c>
      <c r="J61" s="144" cm="1">
        <f t="array" ref="J61">_xlfn.XLOOKUP(I61,Teams[[#All],[Team]],Teams[[#All],[Seed]],0,0,1)</f>
        <v>13</v>
      </c>
      <c r="K61" s="145" t="e" vm="113">
        <f>_xlfn.XLOOKUP(G61,Teams!$C:$C,Teams!$E:$E,,0,1)</f>
        <v>#VALUE!</v>
      </c>
      <c r="L61" s="145">
        <v>0.08</v>
      </c>
      <c r="M61" s="145" t="e" vm="120">
        <f>_xlfn.XLOOKUP(I61,Teams!$C:$C,Teams!$E:$E,,0,1)</f>
        <v>#VALUE!</v>
      </c>
      <c r="N61" s="145">
        <v>0.92</v>
      </c>
      <c r="O61" s="196" t="str">
        <f t="shared" si="14"/>
        <v>College of Charleston</v>
      </c>
      <c r="P61" s="211" t="e" vm="120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Creighton</v>
      </c>
      <c r="C62" s="91" t="str">
        <f t="shared" si="12"/>
        <v>Creighton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4">
        <f>_xlfn.XLOOKUP(G62,Teams!$C:$C,Teams!$E:$E,,0,1)</f>
        <v>#VALUE!</v>
      </c>
      <c r="L62" s="151">
        <v>0.87</v>
      </c>
      <c r="M62" s="151" t="e" vm="127">
        <f>_xlfn.XLOOKUP(I62,Teams!$C:$C,Teams!$E:$E,,0,1)</f>
        <v>#VALUE!</v>
      </c>
      <c r="N62" s="151">
        <v>0.13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Charleston Southern</v>
      </c>
      <c r="C64" s="91" t="str">
        <f>IF(O64="","",IF(A64=O64,B64,A64))</f>
        <v>Charleston Southern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75</v>
      </c>
      <c r="J64" s="157" cm="1">
        <f t="array" ref="J64">_xlfn.XLOOKUP(I64,Teams[[#All],[Team]],Teams[[#All],[Seed]],0,0,1)</f>
        <v>2</v>
      </c>
      <c r="K64" s="158" t="e" vm="71">
        <f>_xlfn.XLOOKUP(G64,Teams!$C:$C,Teams!$E:$E,,0,1)</f>
        <v>#VALUE!</v>
      </c>
      <c r="L64" s="158">
        <v>0.74</v>
      </c>
      <c r="M64" s="158" t="e" vm="79">
        <f>_xlfn.XLOOKUP(I64,Teams!$C:$C,Teams!$E:$E,,0,1)</f>
        <v>#VALUE!</v>
      </c>
      <c r="N64" s="158">
        <v>0.26</v>
      </c>
      <c r="O64" s="198" t="str">
        <f>IF(L64&gt;N64,G64,I64)</f>
        <v>Cal State Northridge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Baylor</v>
      </c>
      <c r="B65" s="91" t="str">
        <f>I65</f>
        <v>Duke</v>
      </c>
      <c r="C65" s="91" t="str">
        <f>IF(O65="","",IF(A65=O65,B65,A65))</f>
        <v>Baylor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9</v>
      </c>
      <c r="G65" s="161" t="s">
        <v>48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4">
        <f>_xlfn.XLOOKUP(G65,Teams!$C:$C,Teams!$E:$E,,0,1)</f>
        <v>#VALUE!</v>
      </c>
      <c r="L65" s="164">
        <v>0.15</v>
      </c>
      <c r="M65" s="164" t="e" vm="92">
        <f>_xlfn.XLOOKUP(I65,Teams!$C:$C,Teams!$E:$E,,0,1)</f>
        <v>#VALUE!</v>
      </c>
      <c r="N65" s="164">
        <v>0.85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Alabama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0.23</v>
      </c>
      <c r="M66" s="158" t="e" vm="107">
        <f>_xlfn.XLOOKUP(I66,Teams!$C:$C,Teams!$E:$E,,0,1)</f>
        <v>#VALUE!</v>
      </c>
      <c r="N66" s="158">
        <v>0.77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College of Charleston</v>
      </c>
      <c r="B67" s="91" t="str">
        <f>I67</f>
        <v>Connecticut</v>
      </c>
      <c r="C67" s="91" t="str">
        <f>IF(O67="","",IF(A67=O67,B67,A67))</f>
        <v>College of Charleston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13</v>
      </c>
      <c r="G67" s="161" t="s">
        <v>84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20">
        <f>_xlfn.XLOOKUP(G67,Teams!$C:$C,Teams!$E:$E,,0,1)</f>
        <v>#VALUE!</v>
      </c>
      <c r="L67" s="164">
        <v>0.38</v>
      </c>
      <c r="M67" s="164" t="e" vm="124">
        <f>_xlfn.XLOOKUP(I67,Teams!$C:$C,Teams!$E:$E,,0,1)</f>
        <v>#VALUE!</v>
      </c>
      <c r="N67" s="164">
        <v>0.62</v>
      </c>
      <c r="O67" s="199" t="str">
        <f>IF(L67&gt;N67,G67,I67)</f>
        <v>Connecticut</v>
      </c>
      <c r="P67" s="207" t="e" vm="124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Cal State Northridge</v>
      </c>
      <c r="B69" s="91" t="str">
        <f>I69</f>
        <v>Duke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67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1">
        <f>_xlfn.XLOOKUP(G69,Teams!$C:$C,Teams!$E:$E,,0,1)</f>
        <v>#VALUE!</v>
      </c>
      <c r="L69" s="170">
        <v>0.87</v>
      </c>
      <c r="M69" s="170" t="e" vm="92">
        <f>_xlfn.XLOOKUP(I69,Teams!$C:$C,Teams!$E:$E,,0,1)</f>
        <v>#VALUE!</v>
      </c>
      <c r="N69" s="170">
        <v>0.13</v>
      </c>
      <c r="O69" s="200" t="str">
        <f>IF(L69&gt;N69,G69,I69)</f>
        <v>Cal State Northridge</v>
      </c>
      <c r="P69" s="210" t="e" vm="7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Connecticut</v>
      </c>
      <c r="C70" s="91" t="str">
        <f>IF(O70="","",IF(A70=O70,B70,A70))</f>
        <v>Connecticut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88</v>
      </c>
      <c r="J70" s="163" cm="1">
        <f t="array" ref="J70">_xlfn.XLOOKUP(I70,Teams[[#All],[Team]],Teams[[#All],[Seed]],0,0,1)</f>
        <v>14</v>
      </c>
      <c r="K70" s="164" t="e" vm="107">
        <f>_xlfn.XLOOKUP(G70,Teams!$C:$C,Teams!$E:$E,,0,1)</f>
        <v>#VALUE!</v>
      </c>
      <c r="L70" s="164">
        <v>0.88</v>
      </c>
      <c r="M70" s="164" t="e" vm="124">
        <f>_xlfn.XLOOKUP(I70,Teams!$C:$C,Teams!$E:$E,,0,1)</f>
        <v>#VALUE!</v>
      </c>
      <c r="N70" s="164">
        <v>0.12</v>
      </c>
      <c r="O70" s="199" t="str">
        <f>IF(L70&gt;N70,G70,I70)</f>
        <v>Arizona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3</v>
      </c>
      <c r="K72" s="158" t="e" vm="92">
        <f>_xlfn.XLOOKUP(G72,Teams!$C:$C,Teams!$E:$E,,0,1)</f>
        <v>#VALUE!</v>
      </c>
      <c r="L72" s="158">
        <v>0.65</v>
      </c>
      <c r="M72" s="158" t="e" vm="107">
        <f>_xlfn.XLOOKUP(I72,Teams!$C:$C,Teams!$E:$E,,0,1)</f>
        <v>#VALUE!</v>
      </c>
      <c r="N72" s="158">
        <v>0.35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0.49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Butler</v>
      </c>
      <c r="J7" s="247" t="e" vm="67">
        <f>_xlfn.XLOOKUP(I7,Teams!$C:$C,Teams!$E:$E,,0,1)</f>
        <v>#VALUE!</v>
      </c>
      <c r="K7" s="264">
        <f>Games!L55</f>
        <v>0.44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0.99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0.51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0.74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0.23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0.25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0.54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0.56000000000000005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0.01</v>
      </c>
      <c r="AF15" s="249" t="e" vm="101">
        <f>_xlfn.XLOOKUP(AG15,Teams!$C:$C,Teams!$E:$E,,0,1)</f>
        <v>#VALUE!</v>
      </c>
      <c r="AG15" s="262" t="str">
        <f>Games!O47</f>
        <v>Alabama A&amp;M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0.75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0.46</v>
      </c>
      <c r="AI17" s="249" t="e" vm="104">
        <f>_xlfn.XLOOKUP(AJ17,Teams!$C:$C,Teams!$E:$E,,0,1)</f>
        <v>#VALUE!</v>
      </c>
      <c r="AJ17" s="262" t="str">
        <f>Games!O24</f>
        <v>Alcorn State</v>
      </c>
      <c r="AK17" s="58">
        <f>Games!L24</f>
        <v>0.34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Cal State Northridge</v>
      </c>
      <c r="P19" s="247" t="e" vm="71">
        <f>_xlfn.XLOOKUP(O19,Teams!$C:$C,Teams!$E:$E,,0,1)</f>
        <v>#VALUE!</v>
      </c>
      <c r="Q19" s="264">
        <f>Games!L69</f>
        <v>0.87</v>
      </c>
      <c r="R19" s="25"/>
      <c r="S19" s="25"/>
      <c r="T19" s="257"/>
      <c r="U19" s="258"/>
      <c r="V19" s="259"/>
      <c r="W19" s="25"/>
      <c r="X19" s="25"/>
      <c r="Y19" s="264">
        <f>Games!L70</f>
        <v>0.88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0.66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0.67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Campbell</v>
      </c>
      <c r="J23" s="247" t="e" vm="74">
        <f>_xlfn.XLOOKUP(I23,Teams!$C:$C,Teams!$E:$E,,0,1)</f>
        <v>#VALUE!</v>
      </c>
      <c r="K23" s="264">
        <f>Games!L56</f>
        <v>0.24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0.99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0.33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Charleston Southern</v>
      </c>
      <c r="M27" s="247" t="e" vm="79">
        <f>_xlfn.XLOOKUP(L27,Teams!$C:$C,Teams!$E:$E,,0,1)</f>
        <v>#VALUE!</v>
      </c>
      <c r="N27" s="277">
        <f>Games!N64</f>
        <v>0.26</v>
      </c>
      <c r="O27" s="25"/>
      <c r="P27" s="25"/>
      <c r="Q27" s="50"/>
      <c r="R27" s="279" t="str">
        <f>Games!O69</f>
        <v>Cal State Northridge</v>
      </c>
      <c r="S27" s="262"/>
      <c r="T27" s="262"/>
      <c r="U27" s="289" t="e" vm="71">
        <f>_xlfn.XLOOKUP(R27,Teams!$C:$C,Teams!$E:$E,,0,1)</f>
        <v>#VALUE!</v>
      </c>
      <c r="V27" s="267">
        <f>Games!L72</f>
        <v>0.65</v>
      </c>
      <c r="W27" s="24"/>
      <c r="X27" s="25"/>
      <c r="Y27" s="56"/>
      <c r="AA27" s="25"/>
      <c r="AB27" s="269">
        <f>Games!N66</f>
        <v>0.77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0.42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0.26</v>
      </c>
      <c r="AI29" s="249" t="e" vm="110">
        <f>_xlfn.XLOOKUP(AJ29,Teams!$C:$C,Teams!$E:$E,,0,1)</f>
        <v>#VALUE!</v>
      </c>
      <c r="AJ29" s="262" t="str">
        <f>Games!O27</f>
        <v>Arkansas State</v>
      </c>
      <c r="AK29" s="58">
        <f>Games!L27</f>
        <v>0.1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Charleston Southern</v>
      </c>
      <c r="J31" s="247" t="e" vm="79">
        <f>_xlfn.XLOOKUP(I31,Teams!$C:$C,Teams!$E:$E,,0,1)</f>
        <v>#VALUE!</v>
      </c>
      <c r="K31" s="277">
        <f>Games!N56</f>
        <v>0.76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0.01</v>
      </c>
      <c r="AF31" s="249" t="e" vm="111">
        <f>_xlfn.XLOOKUP(AG31,Teams!$C:$C,Teams!$E:$E,,0,1)</f>
        <v>#VALUE!</v>
      </c>
      <c r="AG31" s="262" t="str">
        <f>Games!O49</f>
        <v>Arkansas-Pine Bluff</v>
      </c>
      <c r="AH31" s="55"/>
      <c r="AI31" s="51"/>
      <c r="AJ31" s="282">
        <f>IF($AU$5=TRUE,AJ23+1,"")</f>
        <v>44</v>
      </c>
      <c r="AK31" s="59">
        <f>Games!N27</f>
        <v>0.9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0.57999999999999996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0.74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0.44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0.85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Baylor</v>
      </c>
      <c r="J39" s="247" t="e" vm="84">
        <f>_xlfn.XLOOKUP(I39,Teams!$C:$C,Teams!$E:$E,,0,1)</f>
        <v>#VALUE!</v>
      </c>
      <c r="K39" s="264">
        <f>Games!L57</f>
        <v>0.65</v>
      </c>
      <c r="L39" s="25"/>
      <c r="M39" s="25"/>
      <c r="O39" s="25"/>
      <c r="P39" s="25"/>
      <c r="Q39" s="50"/>
      <c r="R39" s="25"/>
      <c r="S39" s="25"/>
      <c r="T39" s="267">
        <f>Games!N72</f>
        <v>0.35</v>
      </c>
      <c r="U39" s="293" t="e" vm="10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0.08</v>
      </c>
      <c r="AF39" s="249" t="e" vm="113">
        <f>_xlfn.XLOOKUP(AG39,Teams!$C:$C,Teams!$E:$E,,0,1)</f>
        <v>#VALUE!</v>
      </c>
      <c r="AG39" s="262" t="str">
        <f>Games!O50</f>
        <v>Chattanooga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0.56000000000000005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0.15</v>
      </c>
      <c r="AI41" s="249" t="e" vm="116">
        <f>_xlfn.XLOOKUP(AJ41,Teams!$C:$C,Teams!$E:$E,,0,1)</f>
        <v>#VALUE!</v>
      </c>
      <c r="AJ41" s="262" t="str">
        <f>Games!O30</f>
        <v>Clemson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Baylor</v>
      </c>
      <c r="M43" s="247" t="e" vm="84">
        <f>_xlfn.XLOOKUP(L43,Teams!$C:$C,Teams!$E:$E,,0,1)</f>
        <v>#VALUE!</v>
      </c>
      <c r="N43" s="264">
        <f>Games!L65</f>
        <v>0.15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0.38</v>
      </c>
      <c r="AC43" s="249" t="e" vm="120">
        <f>_xlfn.XLOOKUP(AD43,Teams!$C:$C,Teams!$E:$E,,0,1)</f>
        <v>#VALUE!</v>
      </c>
      <c r="AD43" s="291" t="str">
        <f>Games!O61</f>
        <v>College of Charleston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0.84</v>
      </c>
      <c r="F45" s="262" t="str">
        <f>Games!O15</f>
        <v>Bellarmine</v>
      </c>
      <c r="G45" s="247" t="e" vm="85">
        <f>_xlfn.XLOOKUP(F45,Teams!$C:$C,Teams!$E:$E,,0,1)</f>
        <v>#VALUE!</v>
      </c>
      <c r="H45" s="264">
        <f>Games!L43</f>
        <v>0.24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0.4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0.16</v>
      </c>
      <c r="F47" s="282">
        <f>IF($AU$5=TRUE,F39+1,"")</f>
        <v>38</v>
      </c>
      <c r="G47" s="14"/>
      <c r="H47" s="49"/>
      <c r="I47" s="279" t="str">
        <f>Games!O43</f>
        <v>Bethune-Cookman</v>
      </c>
      <c r="J47" s="247" t="e" vm="87">
        <f>_xlfn.XLOOKUP(I47,Teams!$C:$C,Teams!$E:$E,,0,1)</f>
        <v>#VALUE!</v>
      </c>
      <c r="K47" s="277">
        <f>Games!N57</f>
        <v>0.35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0.92</v>
      </c>
      <c r="AF47" s="249" t="e" vm="120">
        <f>_xlfn.XLOOKUP(AG47,Teams!$C:$C,Teams!$E:$E,,0,1)</f>
        <v>#VALUE!</v>
      </c>
      <c r="AG47" s="262" t="str">
        <f>Games!O51</f>
        <v>College of Charleston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0.76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0.6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0.13</v>
      </c>
      <c r="R51" s="25"/>
      <c r="S51" s="25"/>
      <c r="T51" s="25"/>
      <c r="U51" s="75"/>
      <c r="V51" s="25"/>
      <c r="W51" s="25"/>
      <c r="X51" s="25"/>
      <c r="Y51" s="269">
        <f>Games!N70</f>
        <v>0.12</v>
      </c>
      <c r="Z51" s="249" t="e" vm="124">
        <f>_xlfn.XLOOKUP(AA51,Teams!$C:$C,Teams!$E:$E,,0,1)</f>
        <v>#VALUE!</v>
      </c>
      <c r="AA51" s="262" t="str">
        <f>Games!O67</f>
        <v>Connecticut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0.92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0.87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0.85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0.62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0.83</v>
      </c>
      <c r="F61" s="262" t="str">
        <f>Games!O19</f>
        <v>Bradley</v>
      </c>
      <c r="G61" s="247" t="e" vm="93">
        <f>_xlfn.XLOOKUP(F61,Teams!$C:$C,Teams!$E:$E,,0,1)</f>
        <v>#VALUE!</v>
      </c>
      <c r="H61" s="264">
        <f>Games!L45</f>
        <v>0.85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0.17</v>
      </c>
      <c r="F63" s="282">
        <f>IF($AU$5=TRUE,F55+1,"")</f>
        <v>40</v>
      </c>
      <c r="G63" s="14"/>
      <c r="H63" s="49"/>
      <c r="I63" s="279" t="str">
        <f>Games!O45</f>
        <v>Bradley</v>
      </c>
      <c r="J63" s="247" t="e" vm="93">
        <f>_xlfn.XLOOKUP(I63,Teams!$C:$C,Teams!$E:$E,,0,1)</f>
        <v>#VALUE!</v>
      </c>
      <c r="K63" s="277">
        <f>Games!N58</f>
        <v>0.08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0.13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0.15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2026-03-06T05:27:34Z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