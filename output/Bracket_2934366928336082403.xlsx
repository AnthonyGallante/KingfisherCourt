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688E67ED-B8A4-469E-801E-C035AA03B1D3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/>
  <c r="E89" i="6" a="1"/>
  <c r="E89" i="6"/>
  <c r="E90" i="6" a="1"/>
  <c r="E90" i="6"/>
  <c r="E91" i="6" a="1"/>
  <c r="E91" i="6"/>
  <c r="E92" i="6" a="1"/>
  <c r="E92" i="6"/>
  <c r="E93" i="6" a="1"/>
  <c r="E93" i="6"/>
  <c r="E94" i="6" a="1"/>
  <c r="E94" i="6" s="1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/>
  <c r="E134" i="6" a="1"/>
  <c r="E134" i="6"/>
  <c r="E135" i="6" a="1"/>
  <c r="E135" i="6"/>
  <c r="E136" i="6" a="1"/>
  <c r="E136" i="6"/>
  <c r="E137" i="6" a="1"/>
  <c r="E137" i="6"/>
  <c r="E138" i="6" a="1"/>
  <c r="E138" i="6"/>
  <c r="E139" i="6" a="1"/>
  <c r="E139" i="6"/>
  <c r="E140" i="6" a="1"/>
  <c r="E140" i="6"/>
  <c r="E141" i="6" a="1"/>
  <c r="E141" i="6"/>
  <c r="E142" i="6" a="1"/>
  <c r="E142" i="6"/>
  <c r="E143" i="6" a="1"/>
  <c r="E143" i="6"/>
  <c r="E144" i="6" a="1"/>
  <c r="E144" i="6"/>
  <c r="E145" i="6" a="1"/>
  <c r="E145" i="6"/>
  <c r="E146" i="6" a="1"/>
  <c r="E146" i="6"/>
  <c r="E147" i="6" a="1"/>
  <c r="E147" i="6"/>
  <c r="E148" i="6" a="1"/>
  <c r="E148" i="6"/>
  <c r="E149" i="6" a="1"/>
  <c r="E149" i="6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/>
  <c r="E157" i="6" a="1"/>
  <c r="E157" i="6"/>
  <c r="E158" i="6" a="1"/>
  <c r="E158" i="6"/>
  <c r="E159" i="6" a="1"/>
  <c r="E159" i="6"/>
  <c r="E160" i="6" a="1"/>
  <c r="E160" i="6"/>
  <c r="E161" i="6" a="1"/>
  <c r="E161" i="6"/>
  <c r="E162" i="6" a="1"/>
  <c r="E162" i="6"/>
  <c r="E163" i="6" a="1"/>
  <c r="E163" i="6"/>
  <c r="E164" i="6" a="1"/>
  <c r="E164" i="6"/>
  <c r="E165" i="6" a="1"/>
  <c r="E165" i="6"/>
  <c r="E166" i="6" a="1"/>
  <c r="E166" i="6"/>
  <c r="E167" i="6" a="1"/>
  <c r="E167" i="6"/>
  <c r="E168" i="6" a="1"/>
  <c r="E168" i="6"/>
  <c r="E169" i="6" a="1"/>
  <c r="E169" i="6"/>
  <c r="E170" i="6" a="1"/>
  <c r="E170" i="6"/>
  <c r="E171" i="6" a="1"/>
  <c r="E171" i="6"/>
  <c r="E172" i="6" a="1"/>
  <c r="E172" i="6"/>
  <c r="E173" i="6" a="1"/>
  <c r="E173" i="6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<sst xmlns="http://schemas.openxmlformats.org/spreadsheetml/2006/main" count="1474" uniqueCount="1132">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</sst>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0.02</v>
      </c>
      <c r="M5" s="84" t="e" vm="66">
        <f>_xlfn.XLOOKUP(I5,Teams!$C:$C,Teams!$E:$E,,0,1)</f>
        <v>#VALUE!</v>
      </c>
      <c r="N5" s="84">
        <v>0.98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/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0.25</v>
      </c>
      <c r="M7" s="82" t="e" vm="70">
        <f>_xlfn.XLOOKUP(I7,Teams!$C:$C,Teams!$E:$E,,0,1)</f>
        <v>#VALUE!</v>
      </c>
      <c r="N7" s="82">
        <v>0.75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/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</v>
      </c>
      <c r="M9" s="82" t="e" vm="74">
        <f>_xlfn.XLOOKUP(I9,Teams!$C:$C,Teams!$E:$E,,0,1)</f>
        <v>#VALUE!</v>
      </c>
      <c r="N9" s="82">
        <v>1</v>
      </c>
      <c r="O9" s="189" t="str">
        <f t="shared" si="3"/>
        <v>Campbell</v>
      </c>
      <c r="P9" s="204" t="e" vm="74">
        <f>_xlfn.XLOOKUP(O9,Teams!$C:$C,Teams!$E:$E,,0,1)</f>
        <v>#VALUE!</v>
      </c>
      <c r="Q9" s="223"/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0.08</v>
      </c>
      <c r="M10" s="82" t="e" vm="76">
        <f>_xlfn.XLOOKUP(I10,Teams!$C:$C,Teams!$E:$E,,0,1)</f>
        <v>#VALUE!</v>
      </c>
      <c r="N10" s="82">
        <v>0.92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/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0.06</v>
      </c>
      <c r="M11" s="82" t="e" vm="78">
        <f>_xlfn.XLOOKUP(I11,Teams!$C:$C,Teams!$E:$E,,0,1)</f>
        <v>#VALUE!</v>
      </c>
      <c r="N11" s="82">
        <v>0.94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/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0.28999999999999998</v>
      </c>
      <c r="M13" s="115" t="e" vm="82">
        <f>_xlfn.XLOOKUP(I13,Teams!$C:$C,Teams!$E:$E,,0,1)</f>
        <v>#VALUE!</v>
      </c>
      <c r="N13" s="115">
        <v>0.71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/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0.34</v>
      </c>
      <c r="M14" s="83" t="e" vm="84">
        <f>_xlfn.XLOOKUP(I14,Teams!$C:$C,Teams!$E:$E,,0,1)</f>
        <v>#VALUE!</v>
      </c>
      <c r="N14" s="83">
        <v>0.66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1131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0.49</v>
      </c>
      <c r="M16" s="83" t="e" vm="88">
        <f>_xlfn.XLOOKUP(I16,Teams!$C:$C,Teams!$E:$E,,0,1)</f>
        <v>#VALUE!</v>
      </c>
      <c r="N16" s="83">
        <v>0.51</v>
      </c>
      <c r="O16" s="192" t="str">
        <f t="shared" si="3"/>
        <v>Binghamton</v>
      </c>
      <c r="P16" s="207" t="e" vm="88">
        <f>_xlfn.XLOOKUP(O16,Teams!$C:$C,Teams!$E:$E,,0,1)</f>
        <v>#VALUE!</v>
      </c>
      <c r="Q16" s="226" t="s">
        <v>1131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0.35</v>
      </c>
      <c r="M17" s="83" t="e" vm="90">
        <f>_xlfn.XLOOKUP(I17,Teams!$C:$C,Teams!$E:$E,,0,1)</f>
        <v>#VALUE!</v>
      </c>
      <c r="N17" s="83">
        <v>0.65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/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Florida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0.47</v>
      </c>
      <c r="M18" s="83" t="e" vm="92">
        <f>_xlfn.XLOOKUP(I18,Teams!$C:$C,Teams!$E:$E,,0,1)</f>
        <v>#VALUE!</v>
      </c>
      <c r="N18" s="83">
        <v>0.53</v>
      </c>
      <c r="O18" s="192" t="str">
        <f t="shared" si="3"/>
        <v>Duke</v>
      </c>
      <c r="P18" s="207" t="e" vm="92">
        <f>_xlfn.XLOOKUP(O18,Teams!$C:$C,Teams!$E:$E,,0,1)</f>
        <v>#VALUE!</v>
      </c>
      <c r="Q18" s="226"/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0.43</v>
      </c>
      <c r="M19" s="83" t="e" vm="94">
        <f>_xlfn.XLOOKUP(I19,Teams!$C:$C,Teams!$E:$E,,0,1)</f>
        <v>#VALUE!</v>
      </c>
      <c r="N19" s="83">
        <v>0.56999999999999995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/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A&amp;M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0.14000000000000001</v>
      </c>
      <c r="M23" s="82" t="e" vm="102">
        <f>_xlfn.XLOOKUP(I23,Teams!$C:$C,Teams!$E:$E,,0,1)</f>
        <v>#VALUE!</v>
      </c>
      <c r="N23" s="82">
        <v>0.86</v>
      </c>
      <c r="O23" s="189" t="str">
        <f t="shared" si="3"/>
        <v>Alabama State</v>
      </c>
      <c r="P23" s="204" t="e" vm="102">
        <f>_xlfn.XLOOKUP(O23,Teams!$C:$C,Teams!$E:$E,,0,1)</f>
        <v>#VALUE!</v>
      </c>
      <c r="Q23" s="223" t="s">
        <v>1131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/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1131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0.45</v>
      </c>
      <c r="M29" s="115" t="e" vm="114">
        <f>_xlfn.XLOOKUP(I29,Teams!$C:$C,Teams!$E:$E,,0,1)</f>
        <v>#VALUE!</v>
      </c>
      <c r="N29" s="115">
        <v>0.55000000000000004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/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0.33</v>
      </c>
      <c r="M30" s="83" t="e" vm="116">
        <f>_xlfn.XLOOKUP(I30,Teams!$C:$C,Teams!$E:$E,,0,1)</f>
        <v>#VALUE!</v>
      </c>
      <c r="N30" s="83">
        <v>0.67</v>
      </c>
      <c r="O30" s="192" t="str">
        <f t="shared" si="3"/>
        <v>Clemson</v>
      </c>
      <c r="P30" s="207" t="e" vm="116">
        <f>_xlfn.XLOOKUP(O30,Teams!$C:$C,Teams!$E:$E,,0,1)</f>
        <v>#VALUE!</v>
      </c>
      <c r="Q30" s="226" t="s">
        <v>1131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/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0.49</v>
      </c>
      <c r="M34" s="83" t="e" vm="124">
        <f>_xlfn.XLOOKUP(I34,Teams!$C:$C,Teams!$E:$E,,0,1)</f>
        <v>#VALUE!</v>
      </c>
      <c r="N34" s="83">
        <v>0.51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/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0.16</v>
      </c>
      <c r="M35" s="83" t="e" vm="126">
        <f>_xlfn.XLOOKUP(I35,Teams!$C:$C,Teams!$E:$E,,0,1)</f>
        <v>#VALUE!</v>
      </c>
      <c r="N35" s="83">
        <v>0.84</v>
      </c>
      <c r="O35" s="192" t="str">
        <f t="shared" si="3"/>
        <v>Cornell</v>
      </c>
      <c r="P35" s="207" t="e" vm="126">
        <f>_xlfn.XLOOKUP(O35,Teams!$C:$C,Teams!$E:$E,,0,1)</f>
        <v>#VALUE!</v>
      </c>
      <c r="Q35" s="226"/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 t="s">
        <v>1131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0.18</v>
      </c>
      <c r="M39" s="82" t="e" vm="71">
        <f>_xlfn.XLOOKUP(I39,Teams!$C:$C,Teams!$E:$E,,0,1)</f>
        <v>#VALUE!</v>
      </c>
      <c r="N39" s="82">
        <v>0.82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1131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California Baptist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0.1</v>
      </c>
      <c r="M40" s="82" t="e" vm="75">
        <f>_xlfn.XLOOKUP(I40,Teams!$C:$C,Teams!$E:$E,,0,1)</f>
        <v>#VALUE!</v>
      </c>
      <c r="N40" s="82">
        <v>0.9</v>
      </c>
      <c r="O40" s="189" t="str">
        <f t="shared" si="9"/>
        <v>Canisius</v>
      </c>
      <c r="P40" s="204" t="e" vm="75">
        <f>_xlfn.XLOOKUP(O40,Teams!$C:$C,Teams!$E:$E,,0,1)</f>
        <v>#VALUE!</v>
      </c>
      <c r="Q40" s="223"/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0.01</v>
      </c>
      <c r="M41" s="139" t="e" vm="79">
        <f>_xlfn.XLOOKUP(I41,Teams!$C:$C,Teams!$E:$E,,0,1)</f>
        <v>#VALUE!</v>
      </c>
      <c r="N41" s="139">
        <v>0.99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/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0.01</v>
      </c>
      <c r="M44" s="83" t="e" vm="91">
        <f>_xlfn.XLOOKUP(I44,Teams!$C:$C,Teams!$E:$E,,0,1)</f>
        <v>#VALUE!</v>
      </c>
      <c r="N44" s="83">
        <v>0.99</v>
      </c>
      <c r="O44" s="192" t="str">
        <f t="shared" si="9"/>
        <v>Florida</v>
      </c>
      <c r="P44" s="207" t="e" vm="91">
        <f>_xlfn.XLOOKUP(O44,Teams!$C:$C,Teams!$E:$E,,0,1)</f>
        <v>#VALUE!</v>
      </c>
      <c r="Q44" s="226"/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 t="s">
        <v>1131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0.01</v>
      </c>
      <c r="M46" s="84" t="e" vm="99">
        <f>_xlfn.XLOOKUP(I46,Teams!$C:$C,Teams!$E:$E,,0,1)</f>
        <v>#VALUE!</v>
      </c>
      <c r="N46" s="84">
        <v>0.99</v>
      </c>
      <c r="O46" s="194" t="str">
        <f t="shared" si="9"/>
        <v>Akron</v>
      </c>
      <c r="P46" s="209" t="e" vm="99">
        <f>_xlfn.XLOOKUP(O46,Teams!$C:$C,Teams!$E:$E,,0,1)</f>
        <v>#VALUE!</v>
      </c>
      <c r="Q46" s="228"/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0.15</v>
      </c>
      <c r="M47" s="82" t="e" vm="103">
        <f>_xlfn.XLOOKUP(I47,Teams!$C:$C,Teams!$E:$E,,0,1)</f>
        <v>#VALUE!</v>
      </c>
      <c r="N47" s="82">
        <v>0.85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1131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American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0.01</v>
      </c>
      <c r="M48" s="82" t="e" vm="107">
        <f>_xlfn.XLOOKUP(I48,Teams!$C:$C,Teams!$E:$E,,0,1)</f>
        <v>#VALUE!</v>
      </c>
      <c r="N48" s="82">
        <v>0.99</v>
      </c>
      <c r="O48" s="189" t="str">
        <f t="shared" si="9"/>
        <v>Arizona</v>
      </c>
      <c r="P48" s="204" t="e" vm="107">
        <f>_xlfn.XLOOKUP(O48,Teams!$C:$C,Teams!$E:$E,,0,1)</f>
        <v>#VALUE!</v>
      </c>
      <c r="Q48" s="223"/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1131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0.24</v>
      </c>
      <c r="M50" s="145" t="e" vm="115">
        <f>_xlfn.XLOOKUP(I50,Teams!$C:$C,Teams!$E:$E,,0,1)</f>
        <v>#VALUE!</v>
      </c>
      <c r="N50" s="145">
        <v>0.76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/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0.06</v>
      </c>
      <c r="M51" s="83" t="e" vm="119">
        <f>_xlfn.XLOOKUP(I51,Teams!$C:$C,Teams!$E:$E,,0,1)</f>
        <v>#VALUE!</v>
      </c>
      <c r="N51" s="83">
        <v>0.94</v>
      </c>
      <c r="O51" s="192" t="str">
        <f t="shared" si="9"/>
        <v>Colgate</v>
      </c>
      <c r="P51" s="207" t="e" vm="119">
        <f>_xlfn.XLOOKUP(O51,Teams!$C:$C,Teams!$E:$E,,0,1)</f>
        <v>#VALUE!</v>
      </c>
      <c r="Q51" s="226"/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0.47</v>
      </c>
      <c r="M52" s="83" t="e" vm="123">
        <f>_xlfn.XLOOKUP(I52,Teams!$C:$C,Teams!$E:$E,,0,1)</f>
        <v>#VALUE!</v>
      </c>
      <c r="N52" s="83">
        <v>0.53</v>
      </c>
      <c r="O52" s="192" t="str">
        <f t="shared" si="9"/>
        <v>Columbia</v>
      </c>
      <c r="P52" s="207" t="e" vm="123">
        <f>_xlfn.XLOOKUP(O52,Teams!$C:$C,Teams!$E:$E,,0,1)</f>
        <v>#VALUE!</v>
      </c>
      <c r="Q52" s="226"/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Coppin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0.05</v>
      </c>
      <c r="M53" s="151" t="e" vm="127">
        <f>_xlfn.XLOOKUP(I53,Teams!$C:$C,Teams!$E:$E,,0,1)</f>
        <v>#VALUE!</v>
      </c>
      <c r="N53" s="151">
        <v>0.95</v>
      </c>
      <c r="O53" s="197" t="str">
        <f t="shared" si="9"/>
        <v>Creighton</v>
      </c>
      <c r="P53" s="212" t="e" vm="127">
        <f>_xlfn.XLOOKUP(O53,Teams!$C:$C,Teams!$E:$E,,0,1)</f>
        <v>#VALUE!</v>
      </c>
      <c r="Q53" s="227"/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California Baptist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0.25</v>
      </c>
      <c r="M56" s="139" t="e" vm="77">
        <f>_xlfn.XLOOKUP(I56,Teams!$C:$C,Teams!$E:$E,,0,1)</f>
        <v>#VALUE!</v>
      </c>
      <c r="N56" s="139">
        <v>0.75</v>
      </c>
      <c r="O56" s="195" t="str">
        <f t="shared" si="14"/>
        <v>Central Connecticut State</v>
      </c>
      <c r="P56" s="210" t="e" vm="77">
        <f>_xlfn.XLOOKUP(O56,Teams!$C:$C,Teams!$E:$E,,0,1)</f>
        <v>#VALUE!</v>
      </c>
      <c r="Q56" s="224"/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Boise State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0.18</v>
      </c>
      <c r="M58" s="151" t="e" vm="93">
        <f>_xlfn.XLOOKUP(I58,Teams!$C:$C,Teams!$E:$E,,0,1)</f>
        <v>#VALUE!</v>
      </c>
      <c r="N58" s="151">
        <v>0.82</v>
      </c>
      <c r="O58" s="197" t="str">
        <f t="shared" si="14"/>
        <v>Bradley</v>
      </c>
      <c r="P58" s="212" t="e" vm="93">
        <f>_xlfn.XLOOKUP(O58,Teams!$C:$C,Teams!$E:$E,,0,1)</f>
        <v>#VALUE!</v>
      </c>
      <c r="Q58" s="227"/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Abilene Christian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0.42</v>
      </c>
      <c r="M59" s="84" t="e" vm="101">
        <f>_xlfn.XLOOKUP(I59,Teams!$C:$C,Teams!$E:$E,,0,1)</f>
        <v>#VALUE!</v>
      </c>
      <c r="N59" s="84">
        <v>0.57999999999999996</v>
      </c>
      <c r="O59" s="194" t="str">
        <f t="shared" si="14"/>
        <v>Alabama A&amp;M</v>
      </c>
      <c r="P59" s="209" t="e" vm="101">
        <f>_xlfn.XLOOKUP(O59,Teams!$C:$C,Teams!$E:$E,,0,1)</f>
        <v>#VALUE!</v>
      </c>
      <c r="Q59" s="228" t="s">
        <v>1131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American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0.09</v>
      </c>
      <c r="M60" s="139" t="e" vm="109">
        <f>_xlfn.XLOOKUP(I60,Teams!$C:$C,Teams!$E:$E,,0,1)</f>
        <v>#VALUE!</v>
      </c>
      <c r="N60" s="139">
        <v>0.91</v>
      </c>
      <c r="O60" s="195" t="str">
        <f t="shared" si="14"/>
        <v>Arkansas</v>
      </c>
      <c r="P60" s="210" t="e" vm="109">
        <f>_xlfn.XLOOKUP(O60,Teams!$C:$C,Teams!$E:$E,,0,1)</f>
        <v>#VALUE!</v>
      </c>
      <c r="Q60" s="224"/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0.51</v>
      </c>
      <c r="M61" s="145" t="e" vm="117">
        <f>_xlfn.XLOOKUP(I61,Teams!$C:$C,Teams!$E:$E,,0,1)</f>
        <v>#VALUE!</v>
      </c>
      <c r="N61" s="145">
        <v>0.49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/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Abilene Christian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0.17</v>
      </c>
      <c r="M66" s="158" t="e" vm="105">
        <f>_xlfn.XLOOKUP(I66,Teams!$C:$C,Teams!$E:$E,,0,1)</f>
        <v>#VALUE!</v>
      </c>
      <c r="N66" s="158">
        <v>0.83</v>
      </c>
      <c r="O66" s="198" t="str">
        <f>IF(L66&gt;N66,G66,I66)</f>
        <v>American</v>
      </c>
      <c r="P66" s="204" t="e" vm="105">
        <f>_xlfn.XLOOKUP(O66,Teams!$C:$C,Teams!$E:$E,,0,1)</f>
        <v>#VALUE!</v>
      </c>
      <c r="Q66" s="232"/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Chattanooga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0.3</v>
      </c>
      <c r="M67" s="164" t="e" vm="121">
        <f>_xlfn.XLOOKUP(I67,Teams!$C:$C,Teams!$E:$E,,0,1)</f>
        <v>#VALUE!</v>
      </c>
      <c r="N67" s="164">
        <v>0.7</v>
      </c>
      <c r="O67" s="199" t="str">
        <f>IF(L67&gt;N67,G67,I67)</f>
        <v>Colorado</v>
      </c>
      <c r="P67" s="207" t="e" vm="121">
        <f>_xlfn.XLOOKUP(O67,Teams!$C:$C,Teams!$E:$E,,0,1)</f>
        <v>#VALUE!</v>
      </c>
      <c r="Q67" s="231"/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Bucknell</v>
      </c>
      <c r="B69" s="91" t="str">
        <f>I69</f>
        <v>Auburn</v>
      </c>
      <c r="C69" s="91" t="str">
        <f>IF(O69="","",IF(A69=O69,B69,A69))</f>
        <v>Auburn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61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0.62</v>
      </c>
      <c r="M69" s="170" t="e" vm="81">
        <f>_xlfn.XLOOKUP(I69,Teams!$C:$C,Teams!$E:$E,,0,1)</f>
        <v>#VALUE!</v>
      </c>
      <c r="N69" s="170">
        <v>0.38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105">
        <f>_xlfn.XLOOKUP(G70,Teams!$C:$C,Teams!$E:$E,,0,1)</f>
        <v>#VALUE!</v>
      </c>
      <c r="L70" s="164">
        <v>0.57999999999999996</v>
      </c>
      <c r="M70" s="164" t="e" vm="121">
        <f>_xlfn.XLOOKUP(I70,Teams!$C:$C,Teams!$E:$E,,0,1)</f>
        <v>#VALUE!</v>
      </c>
      <c r="N70" s="164">
        <v>0.42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American</v>
      </c>
      <c r="C72" s="91" t="str">
        <f>IF(O72="","",IF(A72=O72,B72,A72))</f>
        <v>Auburn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37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0.35</v>
      </c>
      <c r="M72" s="158" t="e" vm="105">
        <f>_xlfn.XLOOKUP(I72,Teams!$C:$C,Teams!$E:$E,,0,1)</f>
        <v>#VALUE!</v>
      </c>
      <c r="N72" s="158">
        <v>0.65</v>
      </c>
      <c r="O72" s="198" t="str">
        <f>IF(L72&gt;N72,G72,I72)</f>
        <v>American</v>
      </c>
      <c r="P72" s="205" t="e" vm="105">
        <f>_xlfn.XLOOKUP(O72,Teams!$C:$C,Teams!$E:$E,,0,1)</f>
        <v>#VALUE!</v>
      </c>
      <c r="Q72" s="233"/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0.02</v>
      </c>
      <c r="F5" s="256" t="str">
        <f>Games!O5</f>
        <v>Buffalo</v>
      </c>
      <c r="G5" s="259" t="e" vm="66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0.01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0.98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0.42</v>
      </c>
      <c r="AF7" s="247" t="e" vm="99">
        <f>_xlfn.XLOOKUP(AG7,Teams!$C:$C,Teams!$E:$E,,0,1)</f>
        <v>#VALUE!</v>
      </c>
      <c r="AG7" s="256" t="str">
        <f>Games!O46</f>
        <v>Akron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0.99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105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0.17</v>
      </c>
      <c r="AC11" s="249" t="e" vm="101">
        <f>_xlfn.XLOOKUP(AD11,Teams!$C:$C,Teams!$E:$E,,0,1)</f>
        <v>#VALUE!</v>
      </c>
      <c r="AD11" s="256" t="str">
        <f>Games!O59</f>
        <v>Alabama A&amp;M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0.25</v>
      </c>
      <c r="F13" s="256" t="str">
        <f>Games!O7</f>
        <v>Cal State Fullerton</v>
      </c>
      <c r="G13" s="259" t="e" vm="70">
        <f>_xlfn.XLOOKUP(F13,Teams!$C:$C,Teams!$E:$E,,0,1)</f>
        <v>#VALUE!</v>
      </c>
      <c r="H13" s="251">
        <f>Games!L39</f>
        <v>0.18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0.15</v>
      </c>
      <c r="AI13" s="249" t="e" vm="102">
        <f>_xlfn.XLOOKUP(AJ13,Teams!$C:$C,Teams!$E:$E,,0,1)</f>
        <v>#VALUE!</v>
      </c>
      <c r="AJ13" s="256" t="str">
        <f>Games!O23</f>
        <v>Alabama State</v>
      </c>
      <c r="AK13" s="58">
        <f>Games!L23</f>
        <v>0.14000000000000001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0.75</v>
      </c>
      <c r="F15" s="276">
        <f>IF($AU$5=TRUE,F7+1,"")</f>
        <v>34</v>
      </c>
      <c r="G15" s="14"/>
      <c r="H15" s="49"/>
      <c r="I15" s="265" t="str">
        <f>Games!O39</f>
        <v>Cal State Northridge</v>
      </c>
      <c r="J15" s="259" t="e" vm="71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0.57999999999999996</v>
      </c>
      <c r="AF15" s="249" t="e" vm="103">
        <f>_xlfn.XLOOKUP(AG15,Teams!$C:$C,Teams!$E:$E,,0,1)</f>
        <v>#VALUE!</v>
      </c>
      <c r="AG15" s="256" t="str">
        <f>Games!O47</f>
        <v>Albany (NY)</v>
      </c>
      <c r="AH15" s="55"/>
      <c r="AI15" s="51"/>
      <c r="AJ15" s="276">
        <f>IF($AU$5=TRUE,AJ7+1,"")</f>
        <v>42</v>
      </c>
      <c r="AK15" s="59">
        <f>Games!N23</f>
        <v>0.86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0.82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0.85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0.62</v>
      </c>
      <c r="R19" s="25"/>
      <c r="S19" s="25"/>
      <c r="T19" s="288"/>
      <c r="U19" s="289"/>
      <c r="V19" s="290"/>
      <c r="W19" s="25"/>
      <c r="X19" s="25"/>
      <c r="Y19" s="251">
        <f>Games!L70</f>
        <v>0.57999999999999996</v>
      </c>
      <c r="Z19" s="249" t="e" vm="105">
        <f>_xlfn.XLOOKUP(AA19,Teams!$C:$C,Teams!$E:$E,,0,1)</f>
        <v>#VALUE!</v>
      </c>
      <c r="AA19" s="256" t="str">
        <f>Games!O66</f>
        <v>American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</v>
      </c>
      <c r="F21" s="256" t="str">
        <f>Games!O9</f>
        <v>Campbell</v>
      </c>
      <c r="G21" s="259" t="e" vm="74">
        <f>_xlfn.XLOOKUP(F21,Teams!$C:$C,Teams!$E:$E,,0,1)</f>
        <v>#VALUE!</v>
      </c>
      <c r="H21" s="251">
        <f>Games!L40</f>
        <v>0.1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0.01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1</v>
      </c>
      <c r="F23" s="276">
        <f>IF($AU$5=TRUE,F15+1,"")</f>
        <v>35</v>
      </c>
      <c r="G23" s="14"/>
      <c r="H23" s="49"/>
      <c r="I23" s="265" t="str">
        <f>Games!O40</f>
        <v>Canisius</v>
      </c>
      <c r="J23" s="259" t="e" vm="75">
        <f>_xlfn.XLOOKUP(I23,Teams!$C:$C,Teams!$E:$E,,0,1)</f>
        <v>#VALUE!</v>
      </c>
      <c r="K23" s="251">
        <f>Games!L56</f>
        <v>0.25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0.09</v>
      </c>
      <c r="AF23" s="249" t="e" vm="107">
        <f>_xlfn.XLOOKUP(AG23,Teams!$C:$C,Teams!$E:$E,,0,1)</f>
        <v>#VALUE!</v>
      </c>
      <c r="AG23" s="256" t="str">
        <f>Games!O48</f>
        <v>Arizona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0.08</v>
      </c>
      <c r="F25" s="256" t="str">
        <f>Games!O10</f>
        <v>Central Arkansas</v>
      </c>
      <c r="G25" s="259" t="e" vm="76">
        <f>_xlfn.XLOOKUP(F25,Teams!$C:$C,Teams!$E:$E,,0,1)</f>
        <v>#VALUE!</v>
      </c>
      <c r="H25" s="261">
        <f>Games!N40</f>
        <v>0.9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0.99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0.92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Central Connecticut State</v>
      </c>
      <c r="M27" s="259" t="e" vm="77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Bucknell</v>
      </c>
      <c r="S27" s="256"/>
      <c r="T27" s="256"/>
      <c r="U27" s="271" t="e" vm="65">
        <f>_xlfn.XLOOKUP(R27,Teams!$C:$C,Teams!$E:$E,,0,1)</f>
        <v>#VALUE!</v>
      </c>
      <c r="V27" s="273">
        <f>Games!L72</f>
        <v>0.35</v>
      </c>
      <c r="W27" s="24"/>
      <c r="X27" s="25"/>
      <c r="Y27" s="56"/>
      <c r="AA27" s="25"/>
      <c r="AB27" s="253">
        <f>Games!N66</f>
        <v>0.83</v>
      </c>
      <c r="AC27" s="249" t="e" vm="109">
        <f>_xlfn.XLOOKUP(AD27,Teams!$C:$C,Teams!$E:$E,,0,1)</f>
        <v>#VALUE!</v>
      </c>
      <c r="AD27" s="256" t="str">
        <f>Games!O60</f>
        <v>Arkansas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0.06</v>
      </c>
      <c r="F29" s="256" t="str">
        <f>Games!O11</f>
        <v>Central Michigan</v>
      </c>
      <c r="G29" s="259" t="e" vm="78">
        <f>_xlfn.XLOOKUP(F29,Teams!$C:$C,Teams!$E:$E,,0,1)</f>
        <v>#VALUE!</v>
      </c>
      <c r="H29" s="251">
        <f>Games!L41</f>
        <v>0.01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0.94</v>
      </c>
      <c r="F31" s="276">
        <f>IF($AU$5=TRUE,F23+1,"")</f>
        <v>36</v>
      </c>
      <c r="G31" s="14"/>
      <c r="H31" s="49"/>
      <c r="I31" s="265" t="str">
        <f>Games!O41</f>
        <v>Charleston Southern</v>
      </c>
      <c r="J31" s="259" t="e" vm="79">
        <f>_xlfn.XLOOKUP(I31,Teams!$C:$C,Teams!$E:$E,,0,1)</f>
        <v>#VALUE!</v>
      </c>
      <c r="K31" s="261">
        <f>Games!N56</f>
        <v>0.75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0.91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American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0.99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0.28999999999999998</v>
      </c>
      <c r="F37" s="256" t="str">
        <f>Games!O13</f>
        <v>Austin Peay</v>
      </c>
      <c r="G37" s="259" t="e" vm="82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0.24</v>
      </c>
      <c r="AI37" s="249" t="e" vm="114">
        <f>_xlfn.XLOOKUP(AJ37,Teams!$C:$C,Teams!$E:$E,,0,1)</f>
        <v>#VALUE!</v>
      </c>
      <c r="AJ37" s="256" t="str">
        <f>Games!O29</f>
        <v>Chicago State</v>
      </c>
      <c r="AK37" s="58">
        <f>Games!L29</f>
        <v>0.45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0.71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0.65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0.51</v>
      </c>
      <c r="AF39" s="249" t="e" vm="115">
        <f>_xlfn.XLOOKUP(AG39,Teams!$C:$C,Teams!$E:$E,,0,1)</f>
        <v>#VALUE!</v>
      </c>
      <c r="AG39" s="256" t="str">
        <f>Games!O50</f>
        <v>Cincinnati</v>
      </c>
      <c r="AH39" s="55"/>
      <c r="AI39" s="51"/>
      <c r="AJ39" s="276">
        <f>IF($AU$5=TRUE,AJ31+1,"")</f>
        <v>45</v>
      </c>
      <c r="AK39" s="59">
        <f>Games!N29</f>
        <v>0.55000000000000004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0.34</v>
      </c>
      <c r="F41" s="256" t="str">
        <f>Games!O14</f>
        <v>Baylor</v>
      </c>
      <c r="G41" s="259" t="e" vm="84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0.76</v>
      </c>
      <c r="AI41" s="249" t="e" vm="116">
        <f>_xlfn.XLOOKUP(AJ41,Teams!$C:$C,Teams!$E:$E,,0,1)</f>
        <v>#VALUE!</v>
      </c>
      <c r="AJ41" s="256" t="str">
        <f>Games!O30</f>
        <v>Clemson</v>
      </c>
      <c r="AK41" s="58">
        <f>Games!L30</f>
        <v>0.33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0.66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0.3</v>
      </c>
      <c r="AC43" s="249" t="e" vm="113">
        <f>_xlfn.XLOOKUP(AD43,Teams!$C:$C,Teams!$E:$E,,0,1)</f>
        <v>#VALUE!</v>
      </c>
      <c r="AD43" s="263" t="str">
        <f>Games!O61</f>
        <v>Chattanooga</v>
      </c>
      <c r="AE43" s="56"/>
      <c r="AG43" s="255">
        <f>IF($AU$5=TRUE,AG27+1,"")</f>
        <v>55</v>
      </c>
      <c r="AJ43" s="24"/>
      <c r="AK43" s="59">
        <f>Games!N30</f>
        <v>0.67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0.06</v>
      </c>
      <c r="AI45" s="249" t="e" vm="118">
        <f>_xlfn.XLOOKUP(AJ45,Teams!$C:$C,Teams!$E:$E,,0,1)</f>
        <v>#VALUE!</v>
      </c>
      <c r="AJ45" s="256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0.49</v>
      </c>
      <c r="AF47" s="249" t="e" vm="119">
        <f>_xlfn.XLOOKUP(AG47,Teams!$C:$C,Teams!$E:$E,,0,1)</f>
        <v>#VALUE!</v>
      </c>
      <c r="AG47" s="256" t="str">
        <f>Games!O51</f>
        <v>Colgate</v>
      </c>
      <c r="AH47" s="55"/>
      <c r="AI47" s="51"/>
      <c r="AJ47" s="276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0.49</v>
      </c>
      <c r="F49" s="256" t="str">
        <f>Games!O16</f>
        <v>Binghamton</v>
      </c>
      <c r="G49" s="259" t="e" vm="88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0.94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0.51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0.38</v>
      </c>
      <c r="R51" s="25"/>
      <c r="S51" s="25"/>
      <c r="T51" s="25"/>
      <c r="U51" s="75"/>
      <c r="V51" s="25"/>
      <c r="W51" s="25"/>
      <c r="X51" s="25"/>
      <c r="Y51" s="253">
        <f>Games!N70</f>
        <v>0.42</v>
      </c>
      <c r="Z51" s="249" t="e" vm="121">
        <f>_xlfn.XLOOKUP(AA51,Teams!$C:$C,Teams!$E:$E,,0,1)</f>
        <v>#VALUE!</v>
      </c>
      <c r="AA51" s="256" t="str">
        <f>Games!O67</f>
        <v>Colorado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0.35</v>
      </c>
      <c r="F53" s="256" t="str">
        <f>Games!O17</f>
        <v>Boston College</v>
      </c>
      <c r="G53" s="259" t="e" vm="90">
        <f>_xlfn.XLOOKUP(F53,Teams!$C:$C,Teams!$E:$E,,0,1)</f>
        <v>#VALUE!</v>
      </c>
      <c r="H53" s="251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0.47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0.65</v>
      </c>
      <c r="F55" s="276">
        <f>IF($AU$5=TRUE,F47+1,"")</f>
        <v>39</v>
      </c>
      <c r="G55" s="14"/>
      <c r="H55" s="49"/>
      <c r="I55" s="265" t="str">
        <f>Games!O44</f>
        <v>Florida</v>
      </c>
      <c r="J55" s="259" t="e" vm="91">
        <f>_xlfn.XLOOKUP(I55,Teams!$C:$C,Teams!$E:$E,,0,1)</f>
        <v>#VALUE!</v>
      </c>
      <c r="K55" s="251">
        <f>Games!L58</f>
        <v>0.18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0.97</v>
      </c>
      <c r="AF55" s="249" t="e" vm="123">
        <f>_xlfn.XLOOKUP(AG55,Teams!$C:$C,Teams!$E:$E,,0,1)</f>
        <v>#VALUE!</v>
      </c>
      <c r="AG55" s="256" t="str">
        <f>Games!O52</f>
        <v>Columbia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0.47</v>
      </c>
      <c r="F57" s="256" t="str">
        <f>Games!O18</f>
        <v>Duke</v>
      </c>
      <c r="G57" s="259" t="e" vm="92">
        <f>_xlfn.XLOOKUP(F57,Teams!$C:$C,Teams!$E:$E,,0,1)</f>
        <v>#VALUE!</v>
      </c>
      <c r="H57" s="261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0.53</v>
      </c>
      <c r="AI57" s="249" t="e" vm="124">
        <f>_xlfn.XLOOKUP(AJ57,Teams!$C:$C,Teams!$E:$E,,0,1)</f>
        <v>#VALUE!</v>
      </c>
      <c r="AJ57" s="256" t="str">
        <f>Games!O34</f>
        <v>Connecticut</v>
      </c>
      <c r="AK57" s="58">
        <f>Games!L34</f>
        <v>0.49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0.53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Bradley</v>
      </c>
      <c r="M59" s="259" t="e" vm="93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0.7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0.51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0.43</v>
      </c>
      <c r="F61" s="256" t="str">
        <f>Games!O19</f>
        <v>Brigham Young</v>
      </c>
      <c r="G61" s="259" t="e" vm="94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0.05</v>
      </c>
      <c r="AI61" s="249" t="e" vm="126">
        <f>_xlfn.XLOOKUP(AJ61,Teams!$C:$C,Teams!$E:$E,,0,1)</f>
        <v>#VALUE!</v>
      </c>
      <c r="AJ61" s="256" t="str">
        <f>Games!O35</f>
        <v>Cornell</v>
      </c>
      <c r="AK61" s="58">
        <f>Games!L35</f>
        <v>0.16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0.56999999999999995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0.82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0.03</v>
      </c>
      <c r="AF63" s="249" t="e" vm="127">
        <f>_xlfn.XLOOKUP(AG63,Teams!$C:$C,Teams!$E:$E,,0,1)</f>
        <v>#VALUE!</v>
      </c>
      <c r="AG63" s="256" t="str">
        <f>Games!O53</f>
        <v>Creighton</v>
      </c>
      <c r="AH63" s="55"/>
      <c r="AI63" s="51"/>
      <c r="AJ63" s="276">
        <f>IF($AU$5=TRUE,AJ55+1,"")</f>
        <v>48</v>
      </c>
      <c r="AK63" s="59">
        <f>Games!N35</f>
        <v>0.84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0.95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