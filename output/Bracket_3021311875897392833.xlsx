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EE3B1E6F-DFDC-4ECB-BDBA-68ED5223A8E7}" xr6:coauthVersionLast="47" xr6:coauthVersionMax="47" xr10:uidLastSave="{00000000-0000-0000-0000-000000000000}"/>
  <bookViews>
    <workbookView xWindow="3456" yWindow="3456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/>
  <c r="E111" i="6" a="1"/>
  <c r="E111" i="6" s="1"/>
  <c r="E112" i="6" a="1"/>
  <c r="E112" i="6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<sst xmlns="http://schemas.openxmlformats.org/spreadsheetml/2006/main" count="1526" uniqueCount="1194">
  <si>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</si>
  <si>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</si>
  <si>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</si>
  <si>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</si>
  <si>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</si>
  <si>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</si>
  <si>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</si>
  <si>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</si>
  <si>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</si>
  <si>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</si>
  <si>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</si>
  <si>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</si>
  <si>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</si>
  <si>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</si>
  <si>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</si>
  <si>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</si>
  <si>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</si>
  <si>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</si>
  <si>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</si>
  <si>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</si>
  <si>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</si>
  <si>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</si>
  <si>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</si>
  <si>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</si>
  <si>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</si>
  <si>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</si>
  <si>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</si>
  <si>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</si>
  <si>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</si>
  <si>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</si>
  <si>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</si>
  <si>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</si>
  <si>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</si>
  <si>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</si>
  <si>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</si>
  <si>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</si>
  <si>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</si>
  <si>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</si>
  <si>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</si>
  <si>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</si>
  <si>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</si>
  <si>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</si>
  <si>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</si>
  <si>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</si>
  <si>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</si>
  <si>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</si>
  <si>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</si>
  <si>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</si>
  <si>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</si>
  <si>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</si>
  <si>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</si>
  <si>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</si>
  <si>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</si>
  <si>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</si>
  <si>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</si>
  <si>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</si>
  <si>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</si>
  <si>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</si>
  <si>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</si>
  <si>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</si>
  <si>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</si>
  <si>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</si>
  <si>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</si>
  <si>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</si>
  <si>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</si>
  <si>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</si>
  <si>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</si>
  <si>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</si>
  <si>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</si>
  <si>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</si>
  <si>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</si>
  <si>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</si>
  <si>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</si>
  <si>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</si>
  <si>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</si>
  <si>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</si>
  <si>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</si>
  <si>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</si>
  <si>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</si>
  <si>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</si>
  <si>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</si>
  <si>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</si>
  <si>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</si>
  <si>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</si>
  <si>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</si>
  <si>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</si>
  <si>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</si>
  <si>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</si>
  <si>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</si>
  <si>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</si>
  <si>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</si>
  <si>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</si>
  <si>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</si>
  <si>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</si>
  <si>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</si>
  <si>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</si>
  <si>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</si>
  <si>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</si>
  <si>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</si>
  <si>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</si>
  <si>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</si>
  <si>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</si>
  <si>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</si>
  <si>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</si>
  <si>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</si>
  <si>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</si>
  <si>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</si>
  <si>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</si>
  <si>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</si>
  <si>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</si>
  <si>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</si>
  <si>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</si>
  <si>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</si>
  <si>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</si>
  <si>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</si>
  <si>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</si>
  <si>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</si>
  <si>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</si>
  <si>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</si>
  <si>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</si>
  <si>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</si>
  <si>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</si>
  <si>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</si>
  <si>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</si>
  <si>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</si>
  <si>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</si>
  <si>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</si>
  <si>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</si>
  <si>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</si>
  <si>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</si>
  <si>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</si>
  <si>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</si>
  <si>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</si>
  <si>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</si>
  <si>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</si>
  <si>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</si>
  <si>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</si>
  <si>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</si>
  <si>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</si>
  <si>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</si>
  <si>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</si>
  <si>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</si>
  <si>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</si>
  <si>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</si>
  <si>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</si>
  <si>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</si>
  <si>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</si>
  <si>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</si>
  <si>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</si>
  <si>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</si>
  <si>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</si>
  <si>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</si>
  <si>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</si>
  <si>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</si>
  <si>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</si>
  <si>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</si>
  <si>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</si>
  <si>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</si>
  <si>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</si>
  <si>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</si>
  <si>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</si>
  <si>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</si>
  <si>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</si>
  <si>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</si>
  <si>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</si>
  <si>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</si>
  <si>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</si>
  <si>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</si>
  <si>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</si>
  <si>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</si>
  <si>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</si>
  <si>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</si>
  <si>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</si>
  <si>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</si>
  <si>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</si>
  <si>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</si>
  <si>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</si>
  <si>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</si>
  <si>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</si>
  <si>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</si>
  <si>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</si>
  <si>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</si>
  <si>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</si>
  <si>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</si>
  <si>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</si>
  <si>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</si>
  <si>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</si>
  <si>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</si>
  <si>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</si>
  <si>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</si>
  <si>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</si>
  <si>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</si>
  <si>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</si>
  <si>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</si>
  <si>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</si>
  <si>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</si>
  <si>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</si>
  <si>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</si>
  <si>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</si>
  <si>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</si>
  <si>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</si>
  <si>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</si>
  <si>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</si>
  <si>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</si>
  <si>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</si>
  <si>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</si>
  <si>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</si>
  <si>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</si>
  <si>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</si>
  <si>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</si>
  <si>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</si>
  <si>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</si>
  <si>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</si>
  <si>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</si>
  <si>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</si>
  <si>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</si>
  <si>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</si>
  <si>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</si>
  <si>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</si>
  <si>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</si>
  <si>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</si>
  <si>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</si>
  <si>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</si>
  <si>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</si>
  <si>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</si>
  <si>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</si>
  <si>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</si>
  <si>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</si>
  <si>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</si>
  <si>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</si>
  <si>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</si>
  <si>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</si>
  <si>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</si>
  <si>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</si>
  <si>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</si>
  <si>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</si>
  <si>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</si>
  <si>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</si>
  <si>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</si>
  <si>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</si>
  <si>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</si>
  <si>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</si>
  <si>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</si>
  <si>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</si>
  <si>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</si>
  <si>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</si>
  <si>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</si>
  <si>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</si>
  <si>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</si>
  <si>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</si>
  <si>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</si>
  <si>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</si>
  <si>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</si>
  <si>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</si>
  <si>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</si>
  <si>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</si>
  <si>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</si>
  <si>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</si>
  <si>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</si>
  <si>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</si>
  <si>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</si>
  <si>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</si>
  <si>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</si>
  <si>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</si>
  <si>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</si>
  <si>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</si>
  <si>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</si>
  <si>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</si>
  <si>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</si>
  <si>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</si>
  <si>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</si>
  <si>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</si>
  <si>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</si>
  <si>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</si>
  <si>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</si>
  <si>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</si>
  <si>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</si>
  <si>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</si>
  <si>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</si>
  <si>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</si>
  <si>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</si>
  <si>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</si>
  <si>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</si>
  <si>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</si>
  <si>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</si>
  <si>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</si>
  <si>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</si>
  <si>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</si>
  <si>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</si>
  <si>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</si>
  <si>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</si>
  <si>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</si>
  <si>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</si>
  <si>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</si>
  <si>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</si>
  <si>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</si>
  <si>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</si>
  <si>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</si>
  <si>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</si>
  <si>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</si>
  <si>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</si>
  <si>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</si>
  <si>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</si>
  <si>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</si>
  <si>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</si>
  <si>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</si>
  <si>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</si>
  <si>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</si>
  <si>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</si>
  <si>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</si>
  <si>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</si>
  <si>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</si>
  <si>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</si>
  <si>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</si>
  <si>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</si>
  <si>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</si>
  <si>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</si>
  <si>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</si>
  <si>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</si>
  <si>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</si>
  <si>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</si>
  <si>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</si>
  <si>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</si>
  <si>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</si>
  <si>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</si>
  <si>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</si>
  <si>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</si>
  <si>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</si>
  <si>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</si>
  <si>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</si>
  <si>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</si>
  <si>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</si>
  <si>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</si>
  <si>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</si>
  <si>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</si>
  <si>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</si>
  <si>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</si>
  <si>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</si>
  <si>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</si>
  <si>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</si>
  <si>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</si>
  <si>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</si>
  <si>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</si>
  <si>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</si>
  <si>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</si>
  <si>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</si>
  <si>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</si>
  <si>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</si>
  <si>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</si>
  <si>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</si>
  <si>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</si>
  <si>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</si>
  <si>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</si>
  <si>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</si>
  <si>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</si>
  <si>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</si>
  <si>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</si>
  <si>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</si>
  <si>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</si>
  <si>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</si>
  <si>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</si>
  <si>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</si>
  <si>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</si>
  <si>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</si>
  <si>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</si>
  <si>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</si>
  <si>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</si>
  <si>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</si>
  <si>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</si>
  <si>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</si>
  <si>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</si>
  <si>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</si>
  <si>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</si>
  <si>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</si>
  <si>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</si>
  <si>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</si>
  <si>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</si>
  <si>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</si>
  <si>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</si>
  <si>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</si>
  <si>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</si>
  <si>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</si>
  <si>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</si>
  <si>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</si>
  <si>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</si>
  <si>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</si>
  <si>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</si>
  <si>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</si>
  <si>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</si>
  <si>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</si>
  <si>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</si>
  <si>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</si>
  <si>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</si>
  <si>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</si>
  <si>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</si>
  <si>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</si>
  <si>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</si>
  <si>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</si>
  <si>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</si>
  <si>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</si>
  <si>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</si>
  <si>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</si>
  <si>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</si>
  <si>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</si>
  <si>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</si>
  <si>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</si>
  <si>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</si>
  <si>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</si>
  <si>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</si>
  <si>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</si>
  <si>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</si>
  <si>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</si>
  <si>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</si>
  <si>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</si>
  <si>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</si>
  <si>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</si>
  <si>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</si>
  <si>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</si>
  <si>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</si>
  <si>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</si>
  <si>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</si>
  <si>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</si>
  <si>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</si>
  <si>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</si>
  <si>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</si>
  <si>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</si>
  <si>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</si>
  <si>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</si>
  <si>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</si>
  <si>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</si>
  <si>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</si>
  <si>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</si>
  <si>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</si>
  <si>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</si>
  <si>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</si>
  <si>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</si>
  <si>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</si>
  <si>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</si>
  <si>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</si>
  <si>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</si>
  <si>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</si>
  <si>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</si>
  <si>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</si>
  <si>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</si>
  <si>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</si>
  <si>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</si>
  <si>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</si>
  <si>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</si>
  <si>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</si>
  <si>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</si>
  <si>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</si>
  <si>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</si>
  <si>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</si>
  <si>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</si>
  <si>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</si>
  <si>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</si>
  <si>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</si>
  <si>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</si>
  <si>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</si>
  <si>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</si>
  <si>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</si>
  <si>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</si>
  <si>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</si>
  <si>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</si>
  <si>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</si>
  <si>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</si>
  <si>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</si>
  <si>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</si>
  <si>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</si>
  <si>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</si>
  <si>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</si>
  <si>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</si>
  <si>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</si>
  <si>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</si>
  <si>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</si>
  <si>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</si>
  <si>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</si>
  <si>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</si>
  <si>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</si>
  <si>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</si>
  <si>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</si>
  <si>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</si>
  <si>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</si>
  <si>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</si>
  <si>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</si>
  <si>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</si>
  <si>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</si>
  <si>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</si>
  <si>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</si>
  <si>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</si>
  <si>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</si>
  <si>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</si>
  <si>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</si>
  <si>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</si>
  <si>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</si>
  <si>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</si>
  <si>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</si>
  <si>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</si>
  <si>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</si>
  <si>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</si>
  <si>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</si>
  <si>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</si>
  <si>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</si>
  <si>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</si>
  <si>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</si>
  <si>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</si>
  <si>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</si>
  <si>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</si>
  <si>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</si>
  <si>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</si>
  <si>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</si>
  <si>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</si>
  <si>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</si>
  <si>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</si>
  <si>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</si>
  <si>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</si>
  <si>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</si>
  <si>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</si>
  <si>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</si>
  <si>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</si>
  <si>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</si>
  <si>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</si>
  <si>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</si>
  <si>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</si>
  <si>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</si>
  <si>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</si>
  <si>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</si>
  <si>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</si>
  <si>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</si>
  <si>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</si>
  <si>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</si>
  <si>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</si>
  <si>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</si>
  <si>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</si>
  <si>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</si>
  <si>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</si>
  <si>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</si>
  <si>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</si>
  <si>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</si>
  <si>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</si>
  <si>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</si>
  <si>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</si>
  <si>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</si>
  <si>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</si>
  <si>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</si>
  <si>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</si>
  <si>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</si>
  <si>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</si>
  <si>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</si>
  <si>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</si>
  <si>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</si>
  <si>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</si>
  <si>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</si>
  <si>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</si>
  <si>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</si>
  <si>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</si>
  <si>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</si>
  <si>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</si>
  <si>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</si>
  <si>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</si>
  <si>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</si>
  <si>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</si>
  <si>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</si>
  <si>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</si>
  <si>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</si>
  <si>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</si>
  <si>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</si>
  <si>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</si>
  <si>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</si>
  <si>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</si>
  <si>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</si>
  <si>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</si>
  <si>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</si>
  <si>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</si>
  <si>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</si>
  <si>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</si>
  <si>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</si>
  <si>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</si>
  <si>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</si>
  <si>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</si>
  <si>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</si>
  <si>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</si>
  <si>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</si>
  <si>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</si>
  <si>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</si>
  <si>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</si>
  <si>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</si>
  <si>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</si>
  <si>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</si>
  <si>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</si>
  <si>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</si>
  <si>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</si>
  <si>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</si>
  <si>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</si>
  <si>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</si>
  <si>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</si>
  <si>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</si>
  <si>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</si>
  <si>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</si>
  <si>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</si>
  <si>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</si>
  <si>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</si>
  <si>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</si>
  <si>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</si>
  <si>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</si>
  <si>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</si>
  <si>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</si>
  <si>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</si>
  <si>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</si>
  <si>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</si>
  <si>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</si>
  <si>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</si>
  <si>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</si>
  <si>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</si>
  <si>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</si>
  <si>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</si>
  <si>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</si>
  <si>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</si>
  <si>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</si>
  <si>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</si>
  <si>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</si>
  <si>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</si>
  <si>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</si>
  <si>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</si>
  <si>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</si>
  <si>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</si>
  <si>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</si>
  <si>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</si>
  <si>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</si>
  <si>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</si>
  <si>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</si>
  <si>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</si>
  <si>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</si>
  <si>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</si>
  <si>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</si>
  <si>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</si>
  <si>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</si>
  <si>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</si>
  <si>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</si>
  <si>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</si>
  <si>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</si>
  <si>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</si>
  <si>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</si>
  <si>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</si>
  <si>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</si>
  <si>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</si>
  <si>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</si>
  <si>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</si>
  <si>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</si>
  <si>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</si>
  <si>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</si>
  <si>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</si>
  <si>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</si>
  <si>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</si>
  <si>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</si>
  <si>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</si>
  <si>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</si>
  <si>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</si>
  <si>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</si>
  <si>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</si>
  <si>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</si>
  <si>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</si>
  <si>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</si>
  <si>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</si>
  <si>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</si>
  <si>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</si>
  <si>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</si>
  <si>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</si>
  <si>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</si>
  <si>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</si>
  <si>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</si>
  <si>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</si>
  <si>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</si>
  <si>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</si>
  <si>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</si>
  <si>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</si>
  <si>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</si>
  <si>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</si>
  <si>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</si>
  <si>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</si>
  <si>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</si>
  <si>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</si>
  <si>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</si>
  <si>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</si>
  <si>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</si>
  <si>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</si>
  <si>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</si>
  <si>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</si>
  <si>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</si>
  <si>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</si>
  <si>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</si>
  <si>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</si>
  <si>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</si>
  <si>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</si>
  <si>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</si>
  <si>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</si>
  <si>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</si>
  <si>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</si>
  <si>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</si>
  <si>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</si>
  <si>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</si>
  <si>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</si>
  <si>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</si>
  <si>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</si>
  <si>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</si>
  <si>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</si>
  <si>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</si>
  <si>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</si>
  <si>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</si>
  <si>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</si>
  <si>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</si>
  <si>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</si>
  <si>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</si>
  <si>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</si>
  <si>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</si>
  <si>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</si>
  <si>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</si>
  <si>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</si>
  <si>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</si>
  <si>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</si>
  <si>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</si>
  <si>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</si>
  <si>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</si>
  <si>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</si>
  <si>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</si>
  <si>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</si>
  <si>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</si>
  <si>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</si>
  <si>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</si>
  <si>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</si>
  <si>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</si>
  <si>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</si>
  <si>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</si>
  <si>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</si>
  <si>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</si>
  <si>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</si>
  <si>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</si>
  <si>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</si>
  <si>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</si>
  <si>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</si>
  <si>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</si>
  <si>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</si>
  <si>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</si>
  <si>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</si>
  <si>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</si>
  <si>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</si>
  <si>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</si>
  <si>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</si>
  <si>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</si>
  <si>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</si>
  <si>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</si>
  <si>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</si>
  <si>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</si>
  <si>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</si>
  <si>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</si>
  <si>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</si>
  <si>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</si>
  <si>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</si>
  <si>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</si>
  <si>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</si>
  <si>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</si>
  <si>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</si>
  <si>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</si>
  <si>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</si>
  <si>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</si>
  <si>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</si>
  <si>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</si>
  <si>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</si>
  <si>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</si>
  <si>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</si>
  <si>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</si>
  <si>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</si>
  <si>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</si>
  <si>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</si>
  <si>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</si>
  <si>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</si>
  <si>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</si>
  <si>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</si>
  <si>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</si>
  <si>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</si>
  <si>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</si>
  <si>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</si>
  <si>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</si>
  <si>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</si>
  <si>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</si>
  <si>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</si>
  <si>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</si>
  <si>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</si>
  <si>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</si>
  <si>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</si>
  <si>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</si>
  <si>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</si>
  <si>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</si>
  <si>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</si>
  <si>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</si>
  <si>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</si>
  <si>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</si>
  <si>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</si>
  <si>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</si>
  <si>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</si>
  <si>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</si>
  <si>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</si>
  <si>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</si>
  <si>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</si>
  <si>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</si>
  <si>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</si>
  <si>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</si>
  <si>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</si>
  <si>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</si>
  <si>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</si>
  <si>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</si>
  <si>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</si>
  <si>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</si>
  <si>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</si>
  <si>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</si>
  <si>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</si>
  <si>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</si>
  <si>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</si>
  <si>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</si>
  <si>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</si>
  <si>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</si>
  <si>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</si>
  <si>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</si>
  <si>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</si>
  <si>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</si>
  <si>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</si>
  <si>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</si>
  <si>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</si>
  <si>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</si>
  <si>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</si>
  <si>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</si>
  <si>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</si>
  <si>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</si>
  <si>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</si>
  <si>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</si>
  <si>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</si>
  <si>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</si>
  <si>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</si>
  <si>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</si>
  <si>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</si>
  <si>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</si>
  <si>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</si>
  <si>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</si>
  <si>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</si>
  <si>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</si>
  <si>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</si>
  <si>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</si>
  <si>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</si>
  <si>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</si>
  <si>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</si>
  <si>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</si>
  <si>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</si>
  <si>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</si>
  <si>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</si>
  <si>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</si>
  <si>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</si>
  <si>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</si>
  <si>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</si>
  <si>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</si>
  <si>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</si>
  <si>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</si>
  <si>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</si>
  <si>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</si>
  <si>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</si>
  <si>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</si>
  <si>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</si>
  <si>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</si>
  <si>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</si>
  <si>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</si>
  <si>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</si>
  <si>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</si>
  <si>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</si>
  <si>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</si>
  <si>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</si>
  <si>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</si>
  <si>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</si>
  <si>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</si>
  <si>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</si>
  <si>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</si>
  <si>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</si>
  <si>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</si>
  <si>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</si>
  <si>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</si>
  <si>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</si>
  <si>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</si>
  <si>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</si>
  <si>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</si>
  <si>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</si>
  <si>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</si>
  <si>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</si>
  <si>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</si>
  <si>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</si>
  <si>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</si>
  <si>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</si>
  <si>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</si>
  <si>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</si>
  <si>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</si>
  <si>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</si>
  <si>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</si>
  <si>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</si>
  <si>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</si>
  <si>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</si>
  <si>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</si>
  <si>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</si>
  <si>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</si>
  <si>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</si>
  <si>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</si>
  <si>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</si>
  <si>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</si>
  <si>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</si>
  <si>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</si>
  <si>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</si>
  <si>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</si>
  <si>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</si>
  <si>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</si>
  <si>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</si>
  <si>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</si>
  <si>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</si>
  <si>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</si>
  <si>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</si>
  <si>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</si>
  <si>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</si>
  <si>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</si>
  <si>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</si>
  <si>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</si>
  <si>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</si>
  <si>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</si>
  <si>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</si>
  <si>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</si>
  <si>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</si>
  <si>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</si>
  <si>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</si>
  <si>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</si>
  <si>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</si>
  <si>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</si>
  <si>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</si>
  <si>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</si>
  <si>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</si>
  <si>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</si>
  <si>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</si>
  <si>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</si>
  <si>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</si>
  <si>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</si>
  <si>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</si>
  <si>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</si>
  <si>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</si>
  <si>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</si>
  <si>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</si>
  <si>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</si>
  <si>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</si>
  <si>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</si>
  <si>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</si>
  <si>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</si>
  <si>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</si>
  <si>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</si>
  <si>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</si>
  <si>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</si>
  <si>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</si>
  <si>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</si>
  <si>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</si>
  <si>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</si>
  <si>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</si>
  <si>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</si>
  <si>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</si>
  <si>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</si>
  <si>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</si>
  <si>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</si>
  <si>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</si>
  <si>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</si>
  <si>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</si>
  <si>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</si>
  <si>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</si>
  <si>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</si>
  <si>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</si>
  <si>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</si>
  <si>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</si>
  <si>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</si>
  <si>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</si>
  <si>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</si>
  <si>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</si>
  <si>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</si>
  <si>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</si>
  <si>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</si>
  <si>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</si>
  <si>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</si>
  <si>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</si>
  <si>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</si>
  <si>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</si>
  <si>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</si>
  <si>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</si>
  <si>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</si>
  <si>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</si>
  <si>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</si>
  <si>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</si>
  <si>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</si>
  <si>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</si>
  <si>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</si>
  <si>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</si>
  <si>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</si>
  <si>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</si>
  <si>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</si>
  <si>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</si>
  <si>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</si>
  <si>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</si>
  <si>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</si>
  <si>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</si>
  <si>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</si>
  <si>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</si>
  <si>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</si>
  <si>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</si>
  <si>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</si>
  <si>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</si>
  <si>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</si>
  <si>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</si>
  <si>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</si>
  <si>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</si>
  <si>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</si>
  <si>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</si>
  <si>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</si>
  <si>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</si>
  <si>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</si>
  <si>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</si>
  <si>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</si>
  <si>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</si>
  <si>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</si>
  <si>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</si>
  <si>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</si>
  <si>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</si>
  <si>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</si>
  <si>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</si>
  <si>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</si>
  <si>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</si>
  <si>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</si>
  <si>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</si>
  <si>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</si>
  <si>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</si>
  <si>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</si>
  <si>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</si>
  <si>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</si>
  <si>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</si>
  <si>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</si>
  <si>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</si>
  <si>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</si>
  <si>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</si>
  <si>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</si>
  <si>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</si>
  <si>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</si>
  <si>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</si>
  <si>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</si>
  <si>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</si>
  <si>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</si>
  <si>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</si>
  <si>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</si>
  <si>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</si>
  <si>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</si>
  <si>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</si>
  <si>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</si>
  <si>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</si>
  <si>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</si>
  <si>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</si>
  <si>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</si>
  <si>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</si>
  <si>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</si>
  <si>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</si>
  <si>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</si>
  <si>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</si>
  <si>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</si>
  <si>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</si>
  <si>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</si>
  <si>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</si>
  <si>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</si>
  <si>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</si>
  <si>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</si>
  <si>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</si>
  <si>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</si>
  <si>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</si>
  <si>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</si>
  <si>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</si>
  <si>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</si>
  <si>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</si>
  <si>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</si>
  <si>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</si>
  <si>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</si>
  <si>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</si>
  <si>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</si>
  <si>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</si>
  <si>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</si>
  <si>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</si>
  <si>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</si>
  <si>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</si>
  <si>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</si>
  <si>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</si>
  <si>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</si>
  <si>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</si>
  <si>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</si>
  <si>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</si>
  <si>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</si>
  <si>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</si>
  <si>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</si>
  <si>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</si>
  <si>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</si>
  <si>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</si>
  <si>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</si>
  <si>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</si>
  <si>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</si>
  <si>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</si>
  <si>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</si>
  <si>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</si>
  <si>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</si>
  <si>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</si>
  <si>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</si>
  <si>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</si>
  <si>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</si>
  <si>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</si>
  <si>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</si>
  <si>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</si>
  <si>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</si>
  <si>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</si>
  <si>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</si>
  <si>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</si>
  <si>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</si>
  <si>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</si>
  <si>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</si>
  <si>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</si>
  <si>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</si>
  <si>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</si>
  <si>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</si>
  <si>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</si>
  <si>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</si>
  <si>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</si>
  <si>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</si>
  <si>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</si>
  <si>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</si>
  <si>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</si>
  <si>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</si>
  <si>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California Baptist: 178 - 323 :Campbell</t>
  </si>
  <si>
    <t>Canisius: 19 - 482 :Central Arkansas</t>
  </si>
  <si>
    <t>UPSET! Normal winner is Central Michigan</t>
  </si>
  <si>
    <t>Charleston Southern: 278 - 223 :Charlotte</t>
  </si>
  <si>
    <t>Auburn: 273 - 228 :Austin Peay</t>
  </si>
  <si>
    <t>UPSET! Normal winner is Baylor</t>
  </si>
  <si>
    <t>Bellarmine: 79 - 422 :Belmont</t>
  </si>
  <si>
    <t>Bethune-Cookman: 418 - 83 :Binghamton</t>
  </si>
  <si>
    <t>Boise State: 409 - 92 :Boston College</t>
  </si>
  <si>
    <t>Drake: 4 - 497 :Duke</t>
  </si>
  <si>
    <t>UPSET! Normal winner is Brigham Young</t>
  </si>
  <si>
    <t>Brown: 301 - 200 :Bryant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</si>
  <si>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</si>
  <si>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</si>
  <si>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</si>
  <si>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</si>
  <si>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</si>
  <si>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</si>
  <si>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</si>
  <si>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UPSET! Normal winner is Arkansas-Pine Bluff</t>
  </si>
  <si>
    <t>UPSET! Normal winner is Chattanooga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</si>
  <si>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</si>
  <si>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</si>
  <si>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</si>
  <si>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</si>
  <si>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</si>
  <si>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</si>
  <si>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</si>
  <si>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</si>
  <si>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UPSET! Normal winner is Cal State Northridge</t>
  </si>
  <si>
    <t>UPSET! Normal winner is Central Arkansas</t>
  </si>
  <si>
    <t>UPSET! Normal winner is Charleston Southern</t>
  </si>
  <si>
    <t>Auburn: 423 - 78 :Ball State</t>
  </si>
  <si>
    <t>Belmont: 310 - 191 :Bethune-Cookman</t>
  </si>
  <si>
    <t>Boise State: 34 - 467 :Duke</t>
  </si>
  <si>
    <t>Bradley: 424 - 77 :Brown</t>
  </si>
  <si>
    <t>Abilene Christian: 1 - 500 :Alabama</t>
  </si>
  <si>
    <t>Alabama A&amp;M: 204 - 297 :Albany (NY)</t>
  </si>
  <si>
    <t>Appalachian State: 23 - 478 :Arizona</t>
  </si>
  <si>
    <t>Arkansas: 496 - 5 :Army</t>
  </si>
  <si>
    <t>Chicago State: 8 - 493 :Cincinnati</t>
  </si>
  <si>
    <t>Coastal Carolina: 202 - 299 :College of Charleston</t>
  </si>
  <si>
    <t>Colorado: 91 - 410 :Connecticut</t>
  </si>
  <si>
    <t>Cornell: 181 - 320 :Creighton</t>
  </si>
  <si>
    <t>Butler: 359 - 142 :Cal State Fullerton</t>
  </si>
  <si>
    <t>Campbell: 421 - 80 :Central Connecticut State</t>
  </si>
  <si>
    <t>Auburn: 298 - 203 :Belmont</t>
  </si>
  <si>
    <t>Duke: 463 - 38 :Bradley</t>
  </si>
  <si>
    <t>Alabama: 490 - 11 :Albany (NY)</t>
  </si>
  <si>
    <t>Arizona: 413 - 88 :Arkansas</t>
  </si>
  <si>
    <t>Cincinnati: 219 - 282 :College of Charleston</t>
  </si>
  <si>
    <t>Connecticut: 437 - 64 :Creighton</t>
  </si>
  <si>
    <t>Butler: 255 - 246 :Campbell</t>
  </si>
  <si>
    <t>Auburn: 82 - 419 :Duke</t>
  </si>
  <si>
    <t>Alabama: 116 - 385 :Arizona</t>
  </si>
  <si>
    <t>College of Charleston: 188 - 313 :Connecticut</t>
  </si>
  <si>
    <t>Duke: 479 - 22 :Butler</t>
  </si>
  <si>
    <t>UPSET! Normal winner is Arizona</t>
  </si>
  <si>
    <t>Duke: 386 - 115 :Connecticut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</si>
</sst>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0.57999999999999996</v>
      </c>
      <c r="M11" s="82" t="e" vm="78">
        <f>_xlfn.XLOOKUP(I11,Teams!$C:$C,Teams!$E:$E,,0,1)</f>
        <v>#VALUE!</v>
      </c>
      <c r="N11" s="82">
        <v>0.42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Baylor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0.86</v>
      </c>
      <c r="M14" s="83" t="e" vm="84">
        <f>_xlfn.XLOOKUP(I14,Teams!$C:$C,Teams!$E:$E,,0,1)</f>
        <v>#VALUE!</v>
      </c>
      <c r="N14" s="83">
        <v>0.14000000000000001</v>
      </c>
      <c r="O14" s="192" t="str">
        <f t="shared" si="3"/>
        <v>Ball State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0.83</v>
      </c>
      <c r="M19" s="83" t="e" vm="94">
        <f>_xlfn.XLOOKUP(I19,Teams!$C:$C,Teams!$E:$E,,0,1)</f>
        <v>#VALUE!</v>
      </c>
      <c r="N19" s="83">
        <v>0.17</v>
      </c>
      <c r="O19" s="192" t="str">
        <f t="shared" si="3"/>
        <v>Bradley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Arkansas-Pine Bluff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0.26</v>
      </c>
      <c r="M28" s="109" t="e" vm="112">
        <f>_xlfn.XLOOKUP(I28,Teams!$C:$C,Teams!$E:$E,,0,1)</f>
        <v>#VALUE!</v>
      </c>
      <c r="N28" s="109">
        <v>0.74</v>
      </c>
      <c r="O28" s="190" t="str">
        <f t="shared" si="3"/>
        <v>Army</v>
      </c>
      <c r="P28" s="205" t="e" vm="112">
        <f>_xlfn.XLOOKUP(O28,Teams!$C:$C,Teams!$E:$E,,0,1)</f>
        <v>#VALUE!</v>
      </c>
      <c r="Q28" s="224" t="s">
        <v>1154</v>
      </c>
      <c r="R28" s="6" t="b">
        <f t="shared" si="5"/>
        <v>1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0.25</v>
      </c>
      <c r="M29" s="115" t="e" vm="114">
        <f>_xlfn.XLOOKUP(I29,Teams!$C:$C,Teams!$E:$E,,0,1)</f>
        <v>#VALUE!</v>
      </c>
      <c r="N29" s="115">
        <v>0.75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 t="s">
        <v>1155</v>
      </c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Northridge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0.75</v>
      </c>
      <c r="M39" s="82" t="e" vm="71">
        <f>_xlfn.XLOOKUP(I39,Teams!$C:$C,Teams!$E:$E,,0,1)</f>
        <v>#VALUE!</v>
      </c>
      <c r="N39" s="82">
        <v>0.25</v>
      </c>
      <c r="O39" s="189" t="str">
        <f t="shared" si="9"/>
        <v>Cal State Fullerton</v>
      </c>
      <c r="P39" s="204" t="e" vm="70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0.7</v>
      </c>
      <c r="M41" s="139" t="e" vm="79">
        <f>_xlfn.XLOOKUP(I41,Teams!$C:$C,Teams!$E:$E,,0,1)</f>
        <v>#VALUE!</v>
      </c>
      <c r="N41" s="139">
        <v>0.3</v>
      </c>
      <c r="O41" s="195" t="str">
        <f t="shared" si="9"/>
        <v>Central Connecticut State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0.84</v>
      </c>
      <c r="M42" s="145" t="e" vm="83">
        <f>_xlfn.XLOOKUP(I42,Teams!$C:$C,Teams!$E:$E,,0,1)</f>
        <v>#VALUE!</v>
      </c>
      <c r="N42" s="145">
        <v>0.16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0.85</v>
      </c>
      <c r="M45" s="151" t="e" vm="95">
        <f>_xlfn.XLOOKUP(I45,Teams!$C:$C,Teams!$E:$E,,0,1)</f>
        <v>#VALUE!</v>
      </c>
      <c r="N45" s="151">
        <v>0.15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Army</v>
      </c>
      <c r="C49" s="152" t="str">
        <f t="shared" si="7"/>
        <v>Army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44</v>
      </c>
      <c r="J49" s="138" cm="1">
        <f t="array" ref="J49">_xlfn.XLOOKUP(I49,Teams[[#All],[Team]],Teams[[#All],[Seed]],0,0,1)</f>
        <v>15</v>
      </c>
      <c r="K49" s="139" t="e" vm="109">
        <f>_xlfn.XLOOKUP(G49,Teams!$C:$C,Teams!$E:$E,,0,1)</f>
        <v>#VALUE!</v>
      </c>
      <c r="L49" s="139">
        <v>0.99</v>
      </c>
      <c r="M49" s="139" t="e" vm="112">
        <f>_xlfn.XLOOKUP(I49,Teams!$C:$C,Teams!$E:$E,,0,1)</f>
        <v>#VALUE!</v>
      </c>
      <c r="N49" s="139">
        <v>0.01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4">
        <f>_xlfn.XLOOKUP(G50,Teams!$C:$C,Teams!$E:$E,,0,1)</f>
        <v>#VALUE!</v>
      </c>
      <c r="L50" s="145">
        <v>0.02</v>
      </c>
      <c r="M50" s="145" t="e" vm="115">
        <f>_xlfn.XLOOKUP(I50,Teams!$C:$C,Teams!$E:$E,,0,1)</f>
        <v>#VALUE!</v>
      </c>
      <c r="N50" s="145">
        <v>0.98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Fullerton</v>
      </c>
      <c r="C55" s="91" t="str">
        <f t="shared" ref="C55:C62" si="12">IF(O55="","",IF(A55=O55,B55,A55))</f>
        <v>Cal State Fullerton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66</v>
      </c>
      <c r="J55" s="96" cm="1">
        <f t="array" ref="J55">_xlfn.XLOOKUP(I55,Teams[[#All],[Team]],Teams[[#All],[Seed]],0,0,1)</f>
        <v>12</v>
      </c>
      <c r="K55" s="97" t="e" vm="67">
        <f>_xlfn.XLOOKUP(G55,Teams!$C:$C,Teams!$E:$E,,0,1)</f>
        <v>#VALUE!</v>
      </c>
      <c r="L55" s="97">
        <v>0.72</v>
      </c>
      <c r="M55" s="97" t="e" vm="70">
        <f>_xlfn.XLOOKUP(I55,Teams!$C:$C,Teams!$E:$E,,0,1)</f>
        <v>#VALUE!</v>
      </c>
      <c r="N55" s="97">
        <v>0.28000000000000003</v>
      </c>
      <c r="O55" s="188" t="str">
        <f t="shared" ref="O55:O62" si="14">IF(L55&gt;N55,G55,I55)</f>
        <v>Butler</v>
      </c>
      <c r="P55" s="204" t="e" vm="67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4">
        <f>_xlfn.XLOOKUP(G56,Teams!$C:$C,Teams!$E:$E,,0,1)</f>
        <v>#VALUE!</v>
      </c>
      <c r="L56" s="139">
        <v>0.84</v>
      </c>
      <c r="M56" s="139" t="e" vm="77">
        <f>_xlfn.XLOOKUP(I56,Teams!$C:$C,Teams!$E:$E,,0,1)</f>
        <v>#VALUE!</v>
      </c>
      <c r="N56" s="139">
        <v>0.16</v>
      </c>
      <c r="O56" s="195" t="str">
        <f t="shared" si="14"/>
        <v>Campbell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92">
        <f>_xlfn.XLOOKUP(G58,Teams!$C:$C,Teams!$E:$E,,0,1)</f>
        <v>#VALUE!</v>
      </c>
      <c r="L58" s="151">
        <v>0.92</v>
      </c>
      <c r="M58" s="151" t="e" vm="93">
        <f>_xlfn.XLOOKUP(I58,Teams!$C:$C,Teams!$E:$E,,0,1)</f>
        <v>#VALUE!</v>
      </c>
      <c r="N58" s="151">
        <v>0.08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100">
        <f>_xlfn.XLOOKUP(G59,Teams!$C:$C,Teams!$E:$E,,0,1)</f>
        <v>#VALUE!</v>
      </c>
      <c r="L59" s="84">
        <v>0.98</v>
      </c>
      <c r="M59" s="84" t="e" vm="103">
        <f>_xlfn.XLOOKUP(I59,Teams!$C:$C,Teams!$E:$E,,0,1)</f>
        <v>#VALUE!</v>
      </c>
      <c r="N59" s="84">
        <v>0.02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College of Charleston</v>
      </c>
      <c r="C61" s="91" t="str">
        <f t="shared" si="12"/>
        <v>Cincinnati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0.44</v>
      </c>
      <c r="M61" s="145" t="e" vm="120">
        <f>_xlfn.XLOOKUP(I61,Teams!$C:$C,Teams!$E:$E,,0,1)</f>
        <v>#VALUE!</v>
      </c>
      <c r="N61" s="145">
        <v>0.56000000000000005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Butler</v>
      </c>
      <c r="B64" s="91" t="str">
        <f>I64</f>
        <v>Campbell</v>
      </c>
      <c r="C64" s="91" t="str">
        <f>IF(O64="","",IF(A64=O64,B64,A64))</f>
        <v>Campbell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8</v>
      </c>
      <c r="G64" s="155" t="s">
        <v>63</v>
      </c>
      <c r="H64" s="185" t="s">
        <v>9</v>
      </c>
      <c r="I64" s="156" t="s">
        <v>70</v>
      </c>
      <c r="J64" s="157" cm="1">
        <f t="array" ref="J64">_xlfn.XLOOKUP(I64,Teams[[#All],[Team]],Teams[[#All],[Seed]],0,0,1)</f>
        <v>11</v>
      </c>
      <c r="K64" s="158" t="e" vm="67">
        <f>_xlfn.XLOOKUP(G64,Teams!$C:$C,Teams!$E:$E,,0,1)</f>
        <v>#VALUE!</v>
      </c>
      <c r="L64" s="158">
        <v>0.51</v>
      </c>
      <c r="M64" s="158" t="e" vm="74">
        <f>_xlfn.XLOOKUP(I64,Teams!$C:$C,Teams!$E:$E,,0,1)</f>
        <v>#VALUE!</v>
      </c>
      <c r="N64" s="158">
        <v>0.49</v>
      </c>
      <c r="O64" s="198" t="str">
        <f>IF(L64&gt;N64,G64,I64)</f>
        <v>Butler</v>
      </c>
      <c r="P64" s="204" t="e" vm="67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Auburn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0.16</v>
      </c>
      <c r="M65" s="164" t="e" vm="92">
        <f>_xlfn.XLOOKUP(I65,Teams!$C:$C,Teams!$E:$E,,0,1)</f>
        <v>#VALUE!</v>
      </c>
      <c r="N65" s="164">
        <v>0.84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College of Charleston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0.38</v>
      </c>
      <c r="M67" s="164" t="e" vm="124">
        <f>_xlfn.XLOOKUP(I67,Teams!$C:$C,Teams!$E:$E,,0,1)</f>
        <v>#VALUE!</v>
      </c>
      <c r="N67" s="164">
        <v>0.62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Butler</v>
      </c>
      <c r="B69" s="91" t="str">
        <f>I69</f>
        <v>Duke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8</v>
      </c>
      <c r="G69" s="167" t="s">
        <v>63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67">
        <f>_xlfn.XLOOKUP(G69,Teams!$C:$C,Teams!$E:$E,,0,1)</f>
        <v>#VALUE!</v>
      </c>
      <c r="L69" s="170">
        <v>0.96</v>
      </c>
      <c r="M69" s="170" t="e" vm="92">
        <f>_xlfn.XLOOKUP(I69,Teams!$C:$C,Teams!$E:$E,,0,1)</f>
        <v>#VALUE!</v>
      </c>
      <c r="N69" s="170">
        <v>0.04</v>
      </c>
      <c r="O69" s="200" t="str">
        <f>IF(L69&gt;N69,G69,I69)</f>
        <v>Butler</v>
      </c>
      <c r="P69" s="210" t="e" vm="67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Arizona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0.12</v>
      </c>
      <c r="M70" s="164" t="e" vm="124">
        <f>_xlfn.XLOOKUP(I70,Teams!$C:$C,Teams!$E:$E,,0,1)</f>
        <v>#VALUE!</v>
      </c>
      <c r="N70" s="164">
        <v>0.88</v>
      </c>
      <c r="O70" s="199" t="str">
        <f>IF(L70&gt;N70,G70,I70)</f>
        <v>Connecticut</v>
      </c>
      <c r="P70" s="213" t="e" vm="124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Connecticut</v>
      </c>
      <c r="C72" s="91" t="str">
        <f>IF(O72="","",IF(A72=O72,B72,A72))</f>
        <v>Connecticut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88</v>
      </c>
      <c r="J72" s="157" cm="1">
        <f t="array" ref="J72">_xlfn.XLOOKUP(I72,Teams[[#All],[Team]],Teams[[#All],[Seed]],0,0,1)</f>
        <v>14</v>
      </c>
      <c r="K72" s="158" t="e" vm="92">
        <f>_xlfn.XLOOKUP(G72,Teams!$C:$C,Teams!$E:$E,,0,1)</f>
        <v>#VALUE!</v>
      </c>
      <c r="L72" s="158">
        <v>0.77</v>
      </c>
      <c r="M72" s="158" t="e" vm="124">
        <f>_xlfn.XLOOKUP(I72,Teams!$C:$C,Teams!$E:$E,,0,1)</f>
        <v>#VALUE!</v>
      </c>
      <c r="N72" s="158">
        <v>0.23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0.72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0.98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Butler</v>
      </c>
      <c r="M11" s="247" t="e" vm="67">
        <f>_xlfn.XLOOKUP(L11,Teams!$C:$C,Teams!$E:$E,,0,1)</f>
        <v>#VALUE!</v>
      </c>
      <c r="N11" s="264">
        <f>Games!L64</f>
        <v>0.51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0.75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Fullerton</v>
      </c>
      <c r="J15" s="247" t="e" vm="70">
        <f>_xlfn.XLOOKUP(I15,Teams!$C:$C,Teams!$E:$E,,0,1)</f>
        <v>#VALUE!</v>
      </c>
      <c r="K15" s="277">
        <f>Games!N55</f>
        <v>0.28000000000000003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0.02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0.25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Butler</v>
      </c>
      <c r="P19" s="247" t="e" vm="67">
        <f>_xlfn.XLOOKUP(O19,Teams!$C:$C,Teams!$E:$E,,0,1)</f>
        <v>#VALUE!</v>
      </c>
      <c r="Q19" s="264">
        <f>Games!L69</f>
        <v>0.96</v>
      </c>
      <c r="R19" s="25"/>
      <c r="S19" s="25"/>
      <c r="T19" s="257"/>
      <c r="U19" s="258"/>
      <c r="V19" s="259"/>
      <c r="W19" s="25"/>
      <c r="X19" s="25"/>
      <c r="Y19" s="264">
        <f>Games!L70</f>
        <v>0.12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0.84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Campbell</v>
      </c>
      <c r="M27" s="247" t="e" vm="74">
        <f>_xlfn.XLOOKUP(L27,Teams!$C:$C,Teams!$E:$E,,0,1)</f>
        <v>#VALUE!</v>
      </c>
      <c r="N27" s="277">
        <f>Games!N64</f>
        <v>0.49</v>
      </c>
      <c r="O27" s="25"/>
      <c r="P27" s="25"/>
      <c r="Q27" s="50"/>
      <c r="R27" s="279" t="str">
        <f>Games!O69</f>
        <v>Butler</v>
      </c>
      <c r="S27" s="262"/>
      <c r="T27" s="262"/>
      <c r="U27" s="289" t="e" vm="67">
        <f>_xlfn.XLOOKUP(R27,Teams!$C:$C,Teams!$E:$E,,0,1)</f>
        <v>#VALUE!</v>
      </c>
      <c r="V27" s="267">
        <f>Games!L72</f>
        <v>0.77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0.57999999999999996</v>
      </c>
      <c r="F29" s="262" t="str">
        <f>Games!O11</f>
        <v>Central Connecticut State</v>
      </c>
      <c r="G29" s="247" t="e" vm="77">
        <f>_xlfn.XLOOKUP(F29,Teams!$C:$C,Teams!$E:$E,,0,1)</f>
        <v>#VALUE!</v>
      </c>
      <c r="H29" s="264">
        <f>Games!L41</f>
        <v>0.7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0.99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0.42</v>
      </c>
      <c r="F31" s="282">
        <f>IF($AU$5=TRUE,F23+1,"")</f>
        <v>36</v>
      </c>
      <c r="G31" s="14"/>
      <c r="H31" s="49"/>
      <c r="I31" s="279" t="str">
        <f>Games!O41</f>
        <v>Central Connecticut State</v>
      </c>
      <c r="J31" s="247" t="e" vm="77">
        <f>_xlfn.XLOOKUP(I31,Teams!$C:$C,Teams!$E:$E,,0,1)</f>
        <v>#VALUE!</v>
      </c>
      <c r="K31" s="277">
        <f>Games!N56</f>
        <v>0.16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0.3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0.01</v>
      </c>
      <c r="AI33" s="249" t="e" vm="112">
        <f>_xlfn.XLOOKUP(AJ33,Teams!$C:$C,Teams!$E:$E,,0,1)</f>
        <v>#VALUE!</v>
      </c>
      <c r="AJ33" s="262" t="str">
        <f>Games!O28</f>
        <v>Army</v>
      </c>
      <c r="AK33" s="58">
        <f>Games!L28</f>
        <v>0.26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0.74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0.84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0.02</v>
      </c>
      <c r="AI37" s="249" t="e" vm="114">
        <f>_xlfn.XLOOKUP(AJ37,Teams!$C:$C,Teams!$E:$E,,0,1)</f>
        <v>#VALUE!</v>
      </c>
      <c r="AJ37" s="262" t="str">
        <f>Games!O29</f>
        <v>Chicago State</v>
      </c>
      <c r="AK37" s="58">
        <f>Games!L29</f>
        <v>0.25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0.23</v>
      </c>
      <c r="U39" s="293" t="e" vm="124">
        <f>_xlfn.XLOOKUP(V39,Teams!$C:$C,Teams!$E:$E,,0,1)</f>
        <v>#VALUE!</v>
      </c>
      <c r="V39" s="262" t="str">
        <f>Games!O70</f>
        <v>Connecticut</v>
      </c>
      <c r="W39" s="262"/>
      <c r="X39" s="295"/>
      <c r="Y39" s="56"/>
      <c r="AA39" s="25"/>
      <c r="AD39" s="25"/>
      <c r="AE39" s="269">
        <f>Games!L61</f>
        <v>0.44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0.75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0.86</v>
      </c>
      <c r="F41" s="262" t="str">
        <f>Games!O14</f>
        <v>Ball State</v>
      </c>
      <c r="G41" s="247" t="e" vm="83">
        <f>_xlfn.XLOOKUP(F41,Teams!$C:$C,Teams!$E:$E,,0,1)</f>
        <v>#VALUE!</v>
      </c>
      <c r="H41" s="277">
        <f>Games!N42</f>
        <v>0.16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0.14000000000000001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0.38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0.56000000000000005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0.04</v>
      </c>
      <c r="R51" s="25"/>
      <c r="S51" s="25"/>
      <c r="T51" s="25"/>
      <c r="U51" s="75"/>
      <c r="V51" s="25"/>
      <c r="W51" s="25"/>
      <c r="X51" s="25"/>
      <c r="Y51" s="269">
        <f>Games!N70</f>
        <v>0.88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0.92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0.62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0.83</v>
      </c>
      <c r="F61" s="262" t="str">
        <f>Games!O19</f>
        <v>Bradley</v>
      </c>
      <c r="G61" s="247" t="e" vm="93">
        <f>_xlfn.XLOOKUP(F61,Teams!$C:$C,Teams!$E:$E,,0,1)</f>
        <v>#VALUE!</v>
      </c>
      <c r="H61" s="264">
        <f>Games!L45</f>
        <v>0.85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0.17</v>
      </c>
      <c r="F63" s="282">
        <f>IF($AU$5=TRUE,F55+1,"")</f>
        <v>40</v>
      </c>
      <c r="G63" s="14"/>
      <c r="H63" s="49"/>
      <c r="I63" s="279" t="str">
        <f>Games!O45</f>
        <v>Bradley</v>
      </c>
      <c r="J63" s="247" t="e" vm="93">
        <f>_xlfn.XLOOKUP(I63,Teams!$C:$C,Teams!$E:$E,,0,1)</f>
        <v>#VALUE!</v>
      </c>
      <c r="K63" s="277">
        <f>Games!N58</f>
        <v>0.08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0.15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