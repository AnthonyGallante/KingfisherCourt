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resources\"/>
    </mc:Choice>
  </mc:AlternateContent>
  <xr:revisionPtr revIDLastSave="0" documentId="13_ncr:1_{B4B7C222-E6F8-4EB9-995A-6B1623FC93F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I13" i="2"/>
  <c r="G14" i="2"/>
  <c r="I14" i="2"/>
  <c r="G15" i="2"/>
  <c r="I15" i="2"/>
  <c r="G16" i="2"/>
  <c r="I16" i="2"/>
  <c r="G17" i="2"/>
  <c r="I17" i="2"/>
  <c r="G18" i="2"/>
  <c r="G13" i="2"/>
  <c r="L72" i="2"/>
  <c r="V27" i="1" s="1"/>
  <c r="L70" i="2"/>
  <c r="Y19" i="1" s="1"/>
  <c r="L69" i="2"/>
  <c r="Q19" i="1" s="1"/>
  <c r="L67" i="2"/>
  <c r="AB43" i="1" s="1"/>
  <c r="L66" i="2"/>
  <c r="AB11" i="1" s="1"/>
  <c r="L65" i="2"/>
  <c r="N43" i="1" s="1"/>
  <c r="L64" i="2"/>
  <c r="N11" i="1" s="1"/>
  <c r="L62" i="2"/>
  <c r="AE55" i="1" s="1"/>
  <c r="L61" i="2"/>
  <c r="AE39" i="1" s="1"/>
  <c r="L60" i="2"/>
  <c r="AE23" i="1" s="1"/>
  <c r="L59" i="2"/>
  <c r="AE7" i="1" s="1"/>
  <c r="L58" i="2"/>
  <c r="K55" i="1" s="1"/>
  <c r="L57" i="2"/>
  <c r="K39" i="1" s="1"/>
  <c r="L56" i="2"/>
  <c r="K23" i="1" s="1"/>
  <c r="L55" i="2"/>
  <c r="K7" i="1" s="1"/>
  <c r="L53" i="2"/>
  <c r="AH61" i="1" s="1"/>
  <c r="L52" i="2"/>
  <c r="AH53" i="1" s="1"/>
  <c r="L51" i="2"/>
  <c r="AH45" i="1" s="1"/>
  <c r="L50" i="2"/>
  <c r="AH37" i="1" s="1"/>
  <c r="L49" i="2"/>
  <c r="AH29" i="1" s="1"/>
  <c r="L48" i="2"/>
  <c r="AH21" i="1" s="1"/>
  <c r="L47" i="2"/>
  <c r="AH13" i="1" s="1"/>
  <c r="L46" i="2"/>
  <c r="AH5" i="1" s="1"/>
  <c r="L45" i="2"/>
  <c r="H61" i="1" s="1"/>
  <c r="L44" i="2"/>
  <c r="H53" i="1" s="1"/>
  <c r="L43" i="2"/>
  <c r="H45" i="1" s="1"/>
  <c r="L42" i="2"/>
  <c r="H37" i="1" s="1"/>
  <c r="L41" i="2"/>
  <c r="H29" i="1" s="1"/>
  <c r="L40" i="2"/>
  <c r="H21" i="1" s="1"/>
  <c r="L39" i="2"/>
  <c r="H13" i="1" s="1"/>
  <c r="L38" i="2"/>
  <c r="H5" i="1" s="1"/>
  <c r="L36" i="2"/>
  <c r="AK65" i="1" s="1"/>
  <c r="L35" i="2"/>
  <c r="L34" i="2"/>
  <c r="AK57" i="1" s="1"/>
  <c r="L33" i="2"/>
  <c r="AK53" i="1" s="1"/>
  <c r="L32" i="2"/>
  <c r="AK49" i="1" s="1"/>
  <c r="L31" i="2"/>
  <c r="AK45" i="1" s="1"/>
  <c r="L30" i="2"/>
  <c r="AK41" i="1" s="1"/>
  <c r="L29" i="2"/>
  <c r="AK37" i="1" s="1"/>
  <c r="L28" i="2"/>
  <c r="L27" i="2"/>
  <c r="L26" i="2"/>
  <c r="AK25" i="1" s="1"/>
  <c r="L25" i="2"/>
  <c r="AK21" i="1" s="1"/>
  <c r="L24" i="2"/>
  <c r="AK17" i="1" s="1"/>
  <c r="L23" i="2"/>
  <c r="AK13" i="1" s="1"/>
  <c r="L22" i="2"/>
  <c r="AK9" i="1" s="1"/>
  <c r="L21" i="2"/>
  <c r="AK5" i="1" s="1"/>
  <c r="L20" i="2"/>
  <c r="L19" i="2"/>
  <c r="L18" i="2"/>
  <c r="L17" i="2"/>
  <c r="L16" i="2"/>
  <c r="L15" i="2"/>
  <c r="L14" i="2"/>
  <c r="L13" i="2"/>
  <c r="L12" i="2"/>
  <c r="L11" i="2"/>
  <c r="L10" i="2"/>
  <c r="E25" i="1" s="1"/>
  <c r="L9" i="2"/>
  <c r="L8" i="2"/>
  <c r="L7" i="2"/>
  <c r="L6" i="2"/>
  <c r="E9" i="1" s="1"/>
  <c r="L5" i="2"/>
  <c r="F54" i="2"/>
  <c r="N72" i="2"/>
  <c r="T39" i="1" s="1"/>
  <c r="N70" i="2"/>
  <c r="Y51" i="1" s="1"/>
  <c r="N69" i="2"/>
  <c r="Q51" i="1" s="1"/>
  <c r="N67" i="2"/>
  <c r="AB59" i="1" s="1"/>
  <c r="N66" i="2"/>
  <c r="AB27" i="1" s="1"/>
  <c r="N65" i="2"/>
  <c r="N59" i="1" s="1"/>
  <c r="N64" i="2"/>
  <c r="N27" i="1" s="1"/>
  <c r="N62" i="2"/>
  <c r="AE63" i="1" s="1"/>
  <c r="N61" i="2"/>
  <c r="AE47" i="1" s="1"/>
  <c r="N60" i="2"/>
  <c r="AE31" i="1" s="1"/>
  <c r="N59" i="2"/>
  <c r="AE15" i="1" s="1"/>
  <c r="N58" i="2"/>
  <c r="K63" i="1" s="1"/>
  <c r="N57" i="2"/>
  <c r="K47" i="1" s="1"/>
  <c r="N56" i="2"/>
  <c r="K31" i="1" s="1"/>
  <c r="N55" i="2"/>
  <c r="K15" i="1" s="1"/>
  <c r="N53" i="2"/>
  <c r="AH65" i="1" s="1"/>
  <c r="N52" i="2"/>
  <c r="AH57" i="1" s="1"/>
  <c r="N51" i="2"/>
  <c r="AH49" i="1" s="1"/>
  <c r="N50" i="2"/>
  <c r="AH41" i="1" s="1"/>
  <c r="N49" i="2"/>
  <c r="AH33" i="1" s="1"/>
  <c r="N48" i="2"/>
  <c r="AH25" i="1" s="1"/>
  <c r="N47" i="2"/>
  <c r="AH17" i="1" s="1"/>
  <c r="N46" i="2"/>
  <c r="AH9" i="1" s="1"/>
  <c r="N45" i="2"/>
  <c r="H65" i="1" s="1"/>
  <c r="N44" i="2"/>
  <c r="H57" i="1" s="1"/>
  <c r="N43" i="2"/>
  <c r="H49" i="1" s="1"/>
  <c r="N42" i="2"/>
  <c r="H41" i="1" s="1"/>
  <c r="N41" i="2"/>
  <c r="H33" i="1" s="1"/>
  <c r="N40" i="2"/>
  <c r="H25" i="1" s="1"/>
  <c r="N39" i="2"/>
  <c r="H17" i="1" s="1"/>
  <c r="N38" i="2"/>
  <c r="H9" i="1" s="1"/>
  <c r="N36" i="2"/>
  <c r="AK67" i="1" s="1"/>
  <c r="N35" i="2"/>
  <c r="AK63" i="1" s="1"/>
  <c r="N34" i="2"/>
  <c r="AK59" i="1" s="1"/>
  <c r="N33" i="2"/>
  <c r="AK55" i="1" s="1"/>
  <c r="N32" i="2"/>
  <c r="AK51" i="1" s="1"/>
  <c r="N31" i="2"/>
  <c r="AK47" i="1" s="1"/>
  <c r="N30" i="2"/>
  <c r="AK43" i="1" s="1"/>
  <c r="N29" i="2"/>
  <c r="AK39" i="1" s="1"/>
  <c r="N28" i="2"/>
  <c r="AK35" i="1" s="1"/>
  <c r="N27" i="2"/>
  <c r="AK31" i="1" s="1"/>
  <c r="N26" i="2"/>
  <c r="AK27" i="1" s="1"/>
  <c r="N25" i="2"/>
  <c r="AK23" i="1" s="1"/>
  <c r="N24" i="2"/>
  <c r="AK19" i="1" s="1"/>
  <c r="N23" i="2"/>
  <c r="AK15" i="1" s="1"/>
  <c r="N22" i="2"/>
  <c r="AK11" i="1" s="1"/>
  <c r="N21" i="2"/>
  <c r="AK7" i="1" s="1"/>
  <c r="N20" i="2"/>
  <c r="E67" i="1" s="1"/>
  <c r="N19" i="2"/>
  <c r="E63" i="1" s="1"/>
  <c r="N18" i="2"/>
  <c r="E59" i="1" s="1"/>
  <c r="N17" i="2"/>
  <c r="E55" i="1" s="1"/>
  <c r="N16" i="2"/>
  <c r="E51" i="1" s="1"/>
  <c r="N15" i="2"/>
  <c r="E47" i="1" s="1"/>
  <c r="N14" i="2"/>
  <c r="E43" i="1" s="1"/>
  <c r="N13" i="2"/>
  <c r="E39" i="1" s="1"/>
  <c r="N12" i="2"/>
  <c r="E35" i="1" s="1"/>
  <c r="N11" i="2"/>
  <c r="E31" i="1" s="1"/>
  <c r="N10" i="2"/>
  <c r="E27" i="1" s="1"/>
  <c r="N9" i="2"/>
  <c r="E23" i="1" s="1"/>
  <c r="N8" i="2"/>
  <c r="E19" i="1" s="1"/>
  <c r="N7" i="2"/>
  <c r="E15" i="1" s="1"/>
  <c r="N6" i="2"/>
  <c r="N5" i="2"/>
  <c r="E7" i="1" s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G5" i="2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I5" i="2"/>
  <c r="D3" i="3"/>
  <c r="E3" i="3" s="1"/>
  <c r="D4" i="3"/>
  <c r="E4" i="3" s="1"/>
  <c r="G6" i="2"/>
  <c r="D5" i="3"/>
  <c r="E5" i="3" s="1"/>
  <c r="I6" i="2"/>
  <c r="D6" i="3"/>
  <c r="E6" i="3" s="1"/>
  <c r="G7" i="2"/>
  <c r="D7" i="3"/>
  <c r="E7" i="3" s="1"/>
  <c r="I7" i="2"/>
  <c r="D8" i="3"/>
  <c r="E8" i="3" s="1"/>
  <c r="G8" i="2"/>
  <c r="D9" i="3"/>
  <c r="E9" i="3" s="1"/>
  <c r="I8" i="2"/>
  <c r="D10" i="3"/>
  <c r="E10" i="3" s="1"/>
  <c r="G9" i="2"/>
  <c r="I9" i="2"/>
  <c r="D11" i="3"/>
  <c r="E11" i="3" s="1"/>
  <c r="M9" i="2" s="1"/>
  <c r="G10" i="2"/>
  <c r="D12" i="3"/>
  <c r="E12" i="3" s="1"/>
  <c r="I10" i="2"/>
  <c r="D13" i="3"/>
  <c r="E13" i="3" s="1"/>
  <c r="M10" i="2" s="1"/>
  <c r="G11" i="2"/>
  <c r="D14" i="3"/>
  <c r="E14" i="3" s="1"/>
  <c r="K11" i="2" s="1"/>
  <c r="I11" i="2"/>
  <c r="J11" i="2" s="1" a="1"/>
  <c r="J11" i="2" s="1"/>
  <c r="D15" i="3"/>
  <c r="E15" i="3" s="1"/>
  <c r="G12" i="2"/>
  <c r="D16" i="3"/>
  <c r="E16" i="3" s="1"/>
  <c r="I12" i="2"/>
  <c r="D17" i="3"/>
  <c r="E17" i="3" s="1"/>
  <c r="I18" i="2"/>
  <c r="J18" i="2" s="1" a="1"/>
  <c r="J18" i="2" s="1"/>
  <c r="D29" i="3"/>
  <c r="E29" i="3" s="1"/>
  <c r="G19" i="2"/>
  <c r="D30" i="3"/>
  <c r="E30" i="3" s="1"/>
  <c r="C47" i="1"/>
  <c r="C39" i="1"/>
  <c r="C51" i="1"/>
  <c r="C55" i="1"/>
  <c r="C57" i="1"/>
  <c r="I19" i="2"/>
  <c r="G20" i="2"/>
  <c r="I20" i="2"/>
  <c r="G21" i="2"/>
  <c r="I21" i="2"/>
  <c r="G22" i="2"/>
  <c r="I22" i="2"/>
  <c r="G23" i="2"/>
  <c r="I23" i="2"/>
  <c r="G24" i="2"/>
  <c r="I24" i="2"/>
  <c r="G25" i="2"/>
  <c r="I25" i="2"/>
  <c r="G26" i="2"/>
  <c r="I26" i="2"/>
  <c r="G27" i="2"/>
  <c r="I27" i="2"/>
  <c r="G28" i="2"/>
  <c r="I28" i="2"/>
  <c r="G29" i="2"/>
  <c r="I29" i="2"/>
  <c r="G30" i="2"/>
  <c r="I30" i="2"/>
  <c r="G31" i="2"/>
  <c r="I31" i="2"/>
  <c r="G32" i="2"/>
  <c r="I32" i="2"/>
  <c r="G33" i="2"/>
  <c r="I33" i="2"/>
  <c r="G34" i="2"/>
  <c r="I34" i="2"/>
  <c r="G35" i="2"/>
  <c r="I35" i="2"/>
  <c r="G36" i="2"/>
  <c r="I36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G44" i="2"/>
  <c r="K44" i="2" s="1"/>
  <c r="F53" i="1"/>
  <c r="G53" i="1" s="1"/>
  <c r="I43" i="2"/>
  <c r="M43" i="2" s="1"/>
  <c r="F49" i="1"/>
  <c r="G49" i="1" s="1"/>
  <c r="F37" i="1"/>
  <c r="G37" i="1" s="1"/>
  <c r="G42" i="2"/>
  <c r="K42" i="2" s="1"/>
  <c r="G43" i="2"/>
  <c r="K43" i="2" s="1"/>
  <c r="F45" i="1"/>
  <c r="G45" i="1" s="1"/>
  <c r="F41" i="1"/>
  <c r="G41" i="1" s="1"/>
  <c r="I42" i="2"/>
  <c r="M42" i="2" s="1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G53" i="2" l="1"/>
  <c r="F53" i="2" s="1" a="1"/>
  <c r="F53" i="2" s="1"/>
  <c r="AJ61" i="1"/>
  <c r="AI61" i="1" s="1"/>
  <c r="R5" i="2"/>
  <c r="P5" i="2"/>
  <c r="G38" i="2"/>
  <c r="F38" i="2" s="1" a="1"/>
  <c r="F38" i="2" s="1"/>
  <c r="F5" i="1"/>
  <c r="G5" i="1" s="1"/>
  <c r="P8" i="2"/>
  <c r="R8" i="2"/>
  <c r="I39" i="2"/>
  <c r="J39" i="2" s="1" a="1"/>
  <c r="J39" i="2" s="1"/>
  <c r="F17" i="1"/>
  <c r="G17" i="1" s="1"/>
  <c r="P9" i="2"/>
  <c r="R9" i="2"/>
  <c r="G40" i="2"/>
  <c r="F21" i="1"/>
  <c r="G21" i="1" s="1"/>
  <c r="P10" i="2"/>
  <c r="R10" i="2"/>
  <c r="I40" i="2"/>
  <c r="J40" i="2" s="1" a="1"/>
  <c r="J40" i="2" s="1"/>
  <c r="F25" i="1"/>
  <c r="G25" i="1" s="1"/>
  <c r="R11" i="2"/>
  <c r="F29" i="1"/>
  <c r="G29" i="1" s="1"/>
  <c r="G41" i="2"/>
  <c r="P12" i="2"/>
  <c r="R12" i="2"/>
  <c r="I41" i="2"/>
  <c r="J41" i="2" s="1" a="1"/>
  <c r="J41" i="2" s="1"/>
  <c r="F33" i="1"/>
  <c r="G33" i="1" s="1"/>
  <c r="C11" i="2"/>
  <c r="C8" i="2"/>
  <c r="P6" i="2"/>
  <c r="R6" i="2"/>
  <c r="I38" i="2"/>
  <c r="F9" i="1"/>
  <c r="G9" i="1" s="1"/>
  <c r="P7" i="2"/>
  <c r="R7" i="2"/>
  <c r="G39" i="2"/>
  <c r="F39" i="2" s="1" a="1"/>
  <c r="F39" i="2" s="1"/>
  <c r="F13" i="1"/>
  <c r="G13" i="1" s="1"/>
  <c r="C7" i="2"/>
  <c r="P18" i="2"/>
  <c r="R18" i="2"/>
  <c r="F57" i="1"/>
  <c r="G57" i="1" s="1"/>
  <c r="I44" i="2"/>
  <c r="O44" i="2" s="1"/>
  <c r="P44" i="2" s="1"/>
  <c r="C6" i="2"/>
  <c r="R35" i="2"/>
  <c r="P22" i="2"/>
  <c r="I46" i="2"/>
  <c r="J46" i="2" s="1" a="1"/>
  <c r="J46" i="2" s="1"/>
  <c r="AJ9" i="1"/>
  <c r="AI9" i="1" s="1"/>
  <c r="P31" i="2"/>
  <c r="G51" i="2"/>
  <c r="AJ45" i="1"/>
  <c r="AI45" i="1" s="1"/>
  <c r="R19" i="2"/>
  <c r="F61" i="1"/>
  <c r="G61" i="1" s="1"/>
  <c r="G45" i="2"/>
  <c r="F45" i="2" s="1" a="1"/>
  <c r="F45" i="2" s="1"/>
  <c r="F65" i="1"/>
  <c r="G65" i="1" s="1"/>
  <c r="R34" i="2"/>
  <c r="R22" i="2"/>
  <c r="R24" i="2"/>
  <c r="R31" i="2"/>
  <c r="I52" i="2"/>
  <c r="J52" i="2" s="1" a="1"/>
  <c r="J52" i="2" s="1"/>
  <c r="AJ57" i="1"/>
  <c r="AI57" i="1" s="1"/>
  <c r="AJ17" i="1"/>
  <c r="AI17" i="1" s="1"/>
  <c r="I47" i="2"/>
  <c r="R25" i="2"/>
  <c r="G48" i="2"/>
  <c r="AJ21" i="1"/>
  <c r="AI21" i="1" s="1"/>
  <c r="I49" i="2"/>
  <c r="AJ33" i="1"/>
  <c r="AI33" i="1" s="1"/>
  <c r="I48" i="2"/>
  <c r="AJ25" i="1"/>
  <c r="AI25" i="1" s="1"/>
  <c r="R20" i="2"/>
  <c r="I45" i="2"/>
  <c r="M45" i="2" s="1"/>
  <c r="J43" i="2" a="1"/>
  <c r="J43" i="2" s="1"/>
  <c r="G49" i="2"/>
  <c r="K49" i="2" s="1"/>
  <c r="AJ29" i="1"/>
  <c r="AI29" i="1" s="1"/>
  <c r="R28" i="2"/>
  <c r="R26" i="2"/>
  <c r="R27" i="2"/>
  <c r="R23" i="2"/>
  <c r="AJ13" i="1"/>
  <c r="AI13" i="1" s="1"/>
  <c r="G47" i="2"/>
  <c r="K47" i="2" s="1"/>
  <c r="I51" i="2"/>
  <c r="M51" i="2" s="1"/>
  <c r="AJ49" i="1"/>
  <c r="AI49" i="1" s="1"/>
  <c r="R21" i="2"/>
  <c r="G52" i="2"/>
  <c r="K52" i="2" s="1"/>
  <c r="AJ53" i="1"/>
  <c r="AI53" i="1" s="1"/>
  <c r="G46" i="2"/>
  <c r="K46" i="2" s="1"/>
  <c r="AJ5" i="1"/>
  <c r="I53" i="2"/>
  <c r="M53" i="2" s="1"/>
  <c r="AJ65" i="1"/>
  <c r="AI65" i="1" s="1"/>
  <c r="I50" i="2"/>
  <c r="M50" i="2" s="1"/>
  <c r="AJ41" i="1"/>
  <c r="AI41" i="1" s="1"/>
  <c r="R29" i="2"/>
  <c r="R30" i="2"/>
  <c r="R36" i="2"/>
  <c r="R33" i="2"/>
  <c r="R32" i="2"/>
  <c r="AJ37" i="1"/>
  <c r="AI37" i="1" s="1"/>
  <c r="G50" i="2"/>
  <c r="K50" i="2" s="1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G58" i="2"/>
  <c r="K58" i="2" s="1"/>
  <c r="G57" i="2"/>
  <c r="K57" i="2" s="1"/>
  <c r="I39" i="1"/>
  <c r="J39" i="1" s="1"/>
  <c r="C43" i="2"/>
  <c r="I57" i="2"/>
  <c r="M57" i="2" s="1"/>
  <c r="I47" i="1"/>
  <c r="J47" i="1" s="1"/>
  <c r="C42" i="2"/>
  <c r="C10" i="2"/>
  <c r="P41" i="2" l="1"/>
  <c r="R41" i="2"/>
  <c r="I56" i="2"/>
  <c r="B56" i="2" s="1"/>
  <c r="I31" i="1"/>
  <c r="J31" i="1" s="1"/>
  <c r="C41" i="2"/>
  <c r="C40" i="2"/>
  <c r="P39" i="2"/>
  <c r="R39" i="2"/>
  <c r="I55" i="2"/>
  <c r="I15" i="1"/>
  <c r="J15" i="1" s="1"/>
  <c r="P40" i="2"/>
  <c r="R40" i="2"/>
  <c r="I23" i="1"/>
  <c r="J23" i="1" s="1"/>
  <c r="G56" i="2"/>
  <c r="P38" i="2"/>
  <c r="R38" i="2"/>
  <c r="G55" i="2"/>
  <c r="I7" i="1"/>
  <c r="J7" i="1" s="1"/>
  <c r="C38" i="2"/>
  <c r="C39" i="2"/>
  <c r="R48" i="2"/>
  <c r="C48" i="2"/>
  <c r="G60" i="2"/>
  <c r="AG23" i="1"/>
  <c r="AF23" i="1" s="1"/>
  <c r="C45" i="2"/>
  <c r="I58" i="2"/>
  <c r="M58" i="2" s="1"/>
  <c r="R45" i="2"/>
  <c r="I63" i="1"/>
  <c r="J63" i="1" s="1"/>
  <c r="C51" i="2"/>
  <c r="R51" i="2"/>
  <c r="C53" i="2"/>
  <c r="R53" i="2"/>
  <c r="R49" i="2"/>
  <c r="AG47" i="1"/>
  <c r="AF47" i="1" s="1"/>
  <c r="I61" i="2"/>
  <c r="M61" i="2" s="1"/>
  <c r="I62" i="2"/>
  <c r="M62" i="2" s="1"/>
  <c r="AG63" i="1"/>
  <c r="AF63" i="1" s="1"/>
  <c r="AG31" i="1"/>
  <c r="AF31" i="1" s="1"/>
  <c r="I60" i="2"/>
  <c r="M60" i="2" s="1"/>
  <c r="C49" i="2"/>
  <c r="R47" i="2"/>
  <c r="C47" i="2"/>
  <c r="C52" i="2"/>
  <c r="R52" i="2"/>
  <c r="I59" i="2"/>
  <c r="M59" i="2" s="1"/>
  <c r="AG15" i="1"/>
  <c r="AF15" i="1" s="1"/>
  <c r="G62" i="2"/>
  <c r="K62" i="2" s="1"/>
  <c r="AG55" i="1"/>
  <c r="AF55" i="1" s="1"/>
  <c r="R46" i="2"/>
  <c r="C46" i="2"/>
  <c r="G59" i="2"/>
  <c r="K59" i="2" s="1"/>
  <c r="AG7" i="1"/>
  <c r="AF7" i="1" s="1"/>
  <c r="R50" i="2"/>
  <c r="G61" i="2"/>
  <c r="K61" i="2" s="1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G65" i="2"/>
  <c r="K65" i="2" s="1"/>
  <c r="L43" i="1"/>
  <c r="M43" i="1" s="1"/>
  <c r="C56" i="2" l="1"/>
  <c r="P56" i="2"/>
  <c r="L27" i="1"/>
  <c r="M27" i="1" s="1"/>
  <c r="I64" i="2"/>
  <c r="R56" i="2"/>
  <c r="R55" i="2"/>
  <c r="C55" i="2"/>
  <c r="P55" i="2"/>
  <c r="G64" i="2"/>
  <c r="L11" i="1"/>
  <c r="M11" i="1" s="1"/>
  <c r="C60" i="2"/>
  <c r="R58" i="2"/>
  <c r="C58" i="2"/>
  <c r="I65" i="2"/>
  <c r="M65" i="2" s="1"/>
  <c r="L59" i="1"/>
  <c r="M59" i="1" s="1"/>
  <c r="R60" i="2"/>
  <c r="I67" i="2"/>
  <c r="M67" i="2" s="1"/>
  <c r="AD59" i="1"/>
  <c r="AC59" i="1" s="1"/>
  <c r="R62" i="2"/>
  <c r="C62" i="2"/>
  <c r="AD27" i="1"/>
  <c r="AC27" i="1" s="1"/>
  <c r="I66" i="2"/>
  <c r="M66" i="2" s="1"/>
  <c r="C59" i="2"/>
  <c r="AD11" i="1"/>
  <c r="AC11" i="1" s="1"/>
  <c r="G66" i="2"/>
  <c r="K66" i="2" s="1"/>
  <c r="R59" i="2"/>
  <c r="R61" i="2"/>
  <c r="G67" i="2"/>
  <c r="K67" i="2" s="1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G69" i="2"/>
  <c r="R65" i="2"/>
  <c r="C65" i="2"/>
  <c r="I69" i="2"/>
  <c r="O51" i="1"/>
  <c r="P51" i="1" s="1"/>
  <c r="R67" i="2"/>
  <c r="G70" i="2"/>
  <c r="K70" i="2" s="1"/>
  <c r="C66" i="2"/>
  <c r="R66" i="2"/>
  <c r="AA19" i="1"/>
  <c r="Z19" i="1" s="1"/>
  <c r="I70" i="2"/>
  <c r="M70" i="2" s="1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G72" i="2"/>
  <c r="F72" i="2" s="1" a="1"/>
  <c r="F72" i="2" s="1"/>
  <c r="R27" i="1"/>
  <c r="U27" i="1" s="1"/>
  <c r="V39" i="1"/>
  <c r="U39" i="1" s="1"/>
  <c r="I72" i="2"/>
  <c r="M72" i="2" s="1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<sst xmlns="http://schemas.openxmlformats.org/spreadsheetml/2006/main" count="1400" uniqueCount="1132">
  <si>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</si>
  <si>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</si>
  <si>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</si>
  <si>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</si>
  <si>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</si>
  <si>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</si>
  <si>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</si>
  <si>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</si>
  <si>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</si>
  <si>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</si>
  <si>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</si>
  <si>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</si>
  <si>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</si>
  <si>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</si>
  <si>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</si>
  <si>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</si>
  <si>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</si>
  <si>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</si>
  <si>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</si>
  <si>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</si>
  <si>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</si>
  <si>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</si>
  <si>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</si>
  <si>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</si>
  <si>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</si>
  <si>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</si>
  <si>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</si>
  <si>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</si>
  <si>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</si>
  <si>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</si>
  <si>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</si>
  <si>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</si>
  <si>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</si>
  <si>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</si>
  <si>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</si>
  <si>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</si>
  <si>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</si>
  <si>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</si>
  <si>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</si>
  <si>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</si>
  <si>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</si>
  <si>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</si>
  <si>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</si>
  <si>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</si>
  <si>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</si>
  <si>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</si>
  <si>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</si>
  <si>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</si>
  <si>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</si>
  <si>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</si>
  <si>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</si>
  <si>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</si>
  <si>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</si>
  <si>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</si>
  <si>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</si>
  <si>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</si>
  <si>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</si>
  <si>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</si>
  <si>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</si>
  <si>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</si>
  <si>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</si>
  <si>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</si>
  <si>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</si>
  <si>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</si>
  <si>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</si>
  <si>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</si>
  <si>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</si>
  <si>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</si>
  <si>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</si>
  <si>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</si>
  <si>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</si>
  <si>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</si>
  <si>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</si>
  <si>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</si>
  <si>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</si>
  <si>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</si>
  <si>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</si>
  <si>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</si>
  <si>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</si>
  <si>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</si>
  <si>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</si>
  <si>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</si>
  <si>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</si>
  <si>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</si>
  <si>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</si>
  <si>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</si>
  <si>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</si>
  <si>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</si>
  <si>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</si>
  <si>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</si>
  <si>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</si>
  <si>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</si>
  <si>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</si>
  <si>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</si>
  <si>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</si>
  <si>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</si>
  <si>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</si>
  <si>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</si>
  <si>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</si>
  <si>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</si>
  <si>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</si>
  <si>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</si>
  <si>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</si>
  <si>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</si>
  <si>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</si>
  <si>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</si>
  <si>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</si>
  <si>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</si>
  <si>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</si>
  <si>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</si>
  <si>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</si>
  <si>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</si>
  <si>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</si>
  <si>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</si>
  <si>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</si>
  <si>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</si>
  <si>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</si>
  <si>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</si>
  <si>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</si>
  <si>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</si>
  <si>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</si>
  <si>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</si>
  <si>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</si>
  <si>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</si>
  <si>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</si>
  <si>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</si>
  <si>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</si>
  <si>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</si>
  <si>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</si>
  <si>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</si>
  <si>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</si>
  <si>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</si>
  <si>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</si>
  <si>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</si>
  <si>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</si>
  <si>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</si>
  <si>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</si>
  <si>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</si>
  <si>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</si>
  <si>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</si>
  <si>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</si>
  <si>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</si>
  <si>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</si>
  <si>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</si>
  <si>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</si>
  <si>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</si>
  <si>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</si>
  <si>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</si>
  <si>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</si>
  <si>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</si>
  <si>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</si>
  <si>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</si>
  <si>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</si>
  <si>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</si>
  <si>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</si>
  <si>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</si>
  <si>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</si>
  <si>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</si>
  <si>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</si>
  <si>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</si>
  <si>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</si>
  <si>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</si>
  <si>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</si>
  <si>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</si>
  <si>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</si>
  <si>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</si>
  <si>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</si>
  <si>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</si>
  <si>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</si>
  <si>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</si>
  <si>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</si>
  <si>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</si>
  <si>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</si>
  <si>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</si>
  <si>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</si>
  <si>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</si>
  <si>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</si>
  <si>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</si>
  <si>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</si>
  <si>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</si>
  <si>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</si>
  <si>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</si>
  <si>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</si>
  <si>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</si>
  <si>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</si>
  <si>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</si>
  <si>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</si>
  <si>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</si>
  <si>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</si>
  <si>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</si>
  <si>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</si>
  <si>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</si>
  <si>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</si>
  <si>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</si>
  <si>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</si>
  <si>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</si>
  <si>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</si>
  <si>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</si>
  <si>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</si>
  <si>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</si>
  <si>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</si>
  <si>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</si>
  <si>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</si>
  <si>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</si>
  <si>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</si>
  <si>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</si>
  <si>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</si>
  <si>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</si>
  <si>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</si>
  <si>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</si>
  <si>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</si>
  <si>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</si>
  <si>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</si>
  <si>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</si>
  <si>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</si>
  <si>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</si>
  <si>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</si>
  <si>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</si>
  <si>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</si>
  <si>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</si>
  <si>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</si>
  <si>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</si>
  <si>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</si>
  <si>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</si>
  <si>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</si>
  <si>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</si>
  <si>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</si>
  <si>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</si>
  <si>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</si>
  <si>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</si>
  <si>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</si>
  <si>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</si>
  <si>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</si>
  <si>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</si>
  <si>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</si>
  <si>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</si>
  <si>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</si>
  <si>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</si>
  <si>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</si>
  <si>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</si>
  <si>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</si>
  <si>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</si>
  <si>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</si>
  <si>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</si>
  <si>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</si>
  <si>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</si>
  <si>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</si>
  <si>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</si>
  <si>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</si>
  <si>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</si>
  <si>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</si>
  <si>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</si>
  <si>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</si>
  <si>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</si>
  <si>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</si>
  <si>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</si>
  <si>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</si>
  <si>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</si>
  <si>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</si>
  <si>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</si>
  <si>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</si>
  <si>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</si>
  <si>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</si>
  <si>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</si>
  <si>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</si>
  <si>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</si>
  <si>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</si>
  <si>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</si>
  <si>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</si>
  <si>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</si>
  <si>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</si>
  <si>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</si>
  <si>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</si>
  <si>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</si>
  <si>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</si>
  <si>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</si>
  <si>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</si>
  <si>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</si>
  <si>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</si>
  <si>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</si>
  <si>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</si>
  <si>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</si>
  <si>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</si>
  <si>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</si>
  <si>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</si>
  <si>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</si>
  <si>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</si>
  <si>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</si>
  <si>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</si>
  <si>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</si>
  <si>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</si>
  <si>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</si>
  <si>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</si>
  <si>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</si>
  <si>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</si>
  <si>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</si>
  <si>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</si>
  <si>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</si>
  <si>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</si>
  <si>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</si>
  <si>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</si>
  <si>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</si>
  <si>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</si>
  <si>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</si>
  <si>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</si>
  <si>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</si>
  <si>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</si>
  <si>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</si>
  <si>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</si>
  <si>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</si>
  <si>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</si>
  <si>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</si>
  <si>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</si>
  <si>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</si>
  <si>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</si>
  <si>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</si>
  <si>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</si>
  <si>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</si>
  <si>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</si>
  <si>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</si>
  <si>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</si>
  <si>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</si>
  <si>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</si>
  <si>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</si>
  <si>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</si>
  <si>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</si>
  <si>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</si>
  <si>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</si>
  <si>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</si>
  <si>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</si>
  <si>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</si>
  <si>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</si>
  <si>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</si>
  <si>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</si>
  <si>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</si>
  <si>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</si>
  <si>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</si>
  <si>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</si>
  <si>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</si>
  <si>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</si>
  <si>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</si>
  <si>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</si>
  <si>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</si>
  <si>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</si>
  <si>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</si>
  <si>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</si>
  <si>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</si>
  <si>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</si>
  <si>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</si>
  <si>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</si>
  <si>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</si>
  <si>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</si>
  <si>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</si>
  <si>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</si>
  <si>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</si>
  <si>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</si>
  <si>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</si>
  <si>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</si>
  <si>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</si>
  <si>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</si>
  <si>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</si>
  <si>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</si>
  <si>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</si>
  <si>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</si>
  <si>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</si>
  <si>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</si>
  <si>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</si>
  <si>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</si>
  <si>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</si>
  <si>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</si>
  <si>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</si>
  <si>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</si>
  <si>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</si>
  <si>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</si>
  <si>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</si>
  <si>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</si>
  <si>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</si>
  <si>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</si>
  <si>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</si>
  <si>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</si>
  <si>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</si>
  <si>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</si>
  <si>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</si>
  <si>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</si>
  <si>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</si>
  <si>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</si>
  <si>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</si>
  <si>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</si>
  <si>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</si>
  <si>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</si>
  <si>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</si>
  <si>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</si>
  <si>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</si>
  <si>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</si>
  <si>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</si>
  <si>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</si>
  <si>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</si>
  <si>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</si>
  <si>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</si>
  <si>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</si>
  <si>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</si>
  <si>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</si>
  <si>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</si>
  <si>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</si>
  <si>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</si>
  <si>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</si>
  <si>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</si>
  <si>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</si>
  <si>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</si>
  <si>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</si>
  <si>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</si>
  <si>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</si>
  <si>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</si>
  <si>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</si>
  <si>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</si>
  <si>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</si>
  <si>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</si>
  <si>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</si>
  <si>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</si>
  <si>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</si>
  <si>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</si>
  <si>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</si>
  <si>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</si>
  <si>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</si>
  <si>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</si>
  <si>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</si>
  <si>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</si>
  <si>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</si>
  <si>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</si>
  <si>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</si>
  <si>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</si>
  <si>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</si>
  <si>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</si>
  <si>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</si>
  <si>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</si>
  <si>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</si>
  <si>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</si>
  <si>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</si>
  <si>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</si>
  <si>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</si>
  <si>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</si>
  <si>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</si>
  <si>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</si>
  <si>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</si>
  <si>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</si>
  <si>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</si>
  <si>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</si>
  <si>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</si>
  <si>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</si>
  <si>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</si>
  <si>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</si>
  <si>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</si>
  <si>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</si>
  <si>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</si>
  <si>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</si>
  <si>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</si>
  <si>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</si>
  <si>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</si>
  <si>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</si>
  <si>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</si>
  <si>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</si>
  <si>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</si>
  <si>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</si>
  <si>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</si>
  <si>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</si>
  <si>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</si>
  <si>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</si>
  <si>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</si>
  <si>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</si>
  <si>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</si>
  <si>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</si>
  <si>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</si>
  <si>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</si>
  <si>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</si>
  <si>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</si>
  <si>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</si>
  <si>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</si>
  <si>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</si>
  <si>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</si>
  <si>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</si>
  <si>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</si>
  <si>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</si>
  <si>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</si>
  <si>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</si>
  <si>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</si>
  <si>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</si>
  <si>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</si>
  <si>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</si>
  <si>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</si>
  <si>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</si>
  <si>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</si>
  <si>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</si>
  <si>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</si>
  <si>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</si>
  <si>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</si>
  <si>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</si>
  <si>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</si>
  <si>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</si>
  <si>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</si>
  <si>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</si>
  <si>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</si>
  <si>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</si>
  <si>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</si>
  <si>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</si>
  <si>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</si>
  <si>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</si>
  <si>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</si>
  <si>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</si>
  <si>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</si>
  <si>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</si>
  <si>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</si>
  <si>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</si>
  <si>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</si>
  <si>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</si>
  <si>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</si>
  <si>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</si>
  <si>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</si>
  <si>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</si>
  <si>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</si>
  <si>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</si>
  <si>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</si>
  <si>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</si>
  <si>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</si>
  <si>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</si>
  <si>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</si>
  <si>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</si>
  <si>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</si>
  <si>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</si>
  <si>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</si>
  <si>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</si>
  <si>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</si>
  <si>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</si>
  <si>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</si>
  <si>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</si>
  <si>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</si>
  <si>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</si>
  <si>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</si>
  <si>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</si>
  <si>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</si>
  <si>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</si>
  <si>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</si>
  <si>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</si>
  <si>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</si>
  <si>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</si>
  <si>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</si>
  <si>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</si>
  <si>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</si>
  <si>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</si>
  <si>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</si>
  <si>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</si>
  <si>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</si>
  <si>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</si>
  <si>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</si>
  <si>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</si>
  <si>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</si>
  <si>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</si>
  <si>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</si>
  <si>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</si>
  <si>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</si>
  <si>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</si>
  <si>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</si>
  <si>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</si>
  <si>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</si>
  <si>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</si>
  <si>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</si>
  <si>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</si>
  <si>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</si>
  <si>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</si>
  <si>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</si>
  <si>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</si>
  <si>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</si>
  <si>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</si>
  <si>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</si>
  <si>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</si>
  <si>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</si>
  <si>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</si>
  <si>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</si>
  <si>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</si>
  <si>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</si>
  <si>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</si>
  <si>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</si>
  <si>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</si>
  <si>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</si>
  <si>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</si>
  <si>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</si>
  <si>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</si>
  <si>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</si>
  <si>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</si>
  <si>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</si>
  <si>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</si>
  <si>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</si>
  <si>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</si>
  <si>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</si>
  <si>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</si>
  <si>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</si>
  <si>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</si>
  <si>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</si>
  <si>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</si>
  <si>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</si>
  <si>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</si>
  <si>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</si>
  <si>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</si>
  <si>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</si>
  <si>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</si>
  <si>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</si>
  <si>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</si>
  <si>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</si>
  <si>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</si>
  <si>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</si>
  <si>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</si>
  <si>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</si>
  <si>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</si>
  <si>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</si>
  <si>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</si>
  <si>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</si>
  <si>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</si>
  <si>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</si>
  <si>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</si>
  <si>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</si>
  <si>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</si>
  <si>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</si>
  <si>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</si>
  <si>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</si>
  <si>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</si>
  <si>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</si>
  <si>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</si>
  <si>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</si>
  <si>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</si>
  <si>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</si>
  <si>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</si>
  <si>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</si>
  <si>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</si>
  <si>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</si>
  <si>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</si>
  <si>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</si>
  <si>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</si>
  <si>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</si>
  <si>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</si>
  <si>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</si>
  <si>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</si>
  <si>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</si>
  <si>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</si>
  <si>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</si>
  <si>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</si>
  <si>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</si>
  <si>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</si>
  <si>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</si>
  <si>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</si>
  <si>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</si>
  <si>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</si>
  <si>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</si>
  <si>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</si>
  <si>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</si>
  <si>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</si>
  <si>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</si>
  <si>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</si>
  <si>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</si>
  <si>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</si>
  <si>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</si>
  <si>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</si>
  <si>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</si>
  <si>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</si>
  <si>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</si>
  <si>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</si>
  <si>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</si>
  <si>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</si>
  <si>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</si>
  <si>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</si>
  <si>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</si>
  <si>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</si>
  <si>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</si>
  <si>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</si>
  <si>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</si>
  <si>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</si>
  <si>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</si>
  <si>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</si>
  <si>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</si>
  <si>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</si>
  <si>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</si>
  <si>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</si>
  <si>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</si>
  <si>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</si>
  <si>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</si>
  <si>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</si>
  <si>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</si>
  <si>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</si>
  <si>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</si>
  <si>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</si>
  <si>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</si>
  <si>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</si>
  <si>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</si>
  <si>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</si>
  <si>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</si>
  <si>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</si>
  <si>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</si>
  <si>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</si>
  <si>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</si>
  <si>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</si>
  <si>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</si>
  <si>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</si>
  <si>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</si>
  <si>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</si>
  <si>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</si>
  <si>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</si>
  <si>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</si>
  <si>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</si>
  <si>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</si>
  <si>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</si>
  <si>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</si>
  <si>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</si>
  <si>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</si>
  <si>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</si>
  <si>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</si>
  <si>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</si>
  <si>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</si>
  <si>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</si>
  <si>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</si>
  <si>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</si>
  <si>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</si>
  <si>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</si>
  <si>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</si>
  <si>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</si>
  <si>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</si>
  <si>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</si>
  <si>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</si>
  <si>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</si>
  <si>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</si>
  <si>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</si>
  <si>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</si>
  <si>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</si>
  <si>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</si>
  <si>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</si>
  <si>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</si>
  <si>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</si>
  <si>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</si>
  <si>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</si>
  <si>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</si>
  <si>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</si>
  <si>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</si>
  <si>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</si>
  <si>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</si>
  <si>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</si>
  <si>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</si>
  <si>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</si>
  <si>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</si>
  <si>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</si>
  <si>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</si>
  <si>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</si>
  <si>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</si>
  <si>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</si>
  <si>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</si>
  <si>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</si>
  <si>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</si>
  <si>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</si>
  <si>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</si>
  <si>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</si>
  <si>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</si>
  <si>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</si>
  <si>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</si>
  <si>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</si>
  <si>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</si>
  <si>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</si>
  <si>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</si>
  <si>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</si>
  <si>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</si>
  <si>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</si>
  <si>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</si>
  <si>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</si>
  <si>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</si>
  <si>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</si>
  <si>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</si>
  <si>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</si>
  <si>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</si>
  <si>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</si>
  <si>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</si>
  <si>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</si>
  <si>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</si>
  <si>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</si>
  <si>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</si>
  <si>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</si>
  <si>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</si>
  <si>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</si>
  <si>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</si>
  <si>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</si>
  <si>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</si>
  <si>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</si>
  <si>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</si>
  <si>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</si>
  <si>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</si>
  <si>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</si>
  <si>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</si>
  <si>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</si>
  <si>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</si>
  <si>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</si>
  <si>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</si>
  <si>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</si>
  <si>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</si>
  <si>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</si>
  <si>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</si>
  <si>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</si>
  <si>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</si>
  <si>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</si>
  <si>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</si>
  <si>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</si>
  <si>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</si>
  <si>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</si>
  <si>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</si>
  <si>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</si>
  <si>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</si>
  <si>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</si>
  <si>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</si>
  <si>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</si>
  <si>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</si>
  <si>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</si>
  <si>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</si>
  <si>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</si>
  <si>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</si>
  <si>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</si>
  <si>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</si>
  <si>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</si>
  <si>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</si>
  <si>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</si>
  <si>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</si>
  <si>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</si>
  <si>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</si>
  <si>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</si>
  <si>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</si>
  <si>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</si>
  <si>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</si>
  <si>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</si>
  <si>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</si>
  <si>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</si>
  <si>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</si>
  <si>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</si>
  <si>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</si>
  <si>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</si>
  <si>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</si>
  <si>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</si>
  <si>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</si>
  <si>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</si>
  <si>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</si>
  <si>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</si>
  <si>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</si>
  <si>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</si>
  <si>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</si>
  <si>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</si>
  <si>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</si>
  <si>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</si>
  <si>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</si>
  <si>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</si>
  <si>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</si>
  <si>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</si>
  <si>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</si>
  <si>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</si>
  <si>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</si>
  <si>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</si>
  <si>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</si>
  <si>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</si>
  <si>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</si>
  <si>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</si>
  <si>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</si>
  <si>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</si>
  <si>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</si>
  <si>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</si>
  <si>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</si>
  <si>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</si>
  <si>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</si>
  <si>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</si>
  <si>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</si>
  <si>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</si>
  <si>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</si>
  <si>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</si>
  <si>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</si>
  <si>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</si>
  <si>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</si>
  <si>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</si>
  <si>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</si>
  <si>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</si>
  <si>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</si>
  <si>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</si>
  <si>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</si>
  <si>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</si>
  <si>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</si>
  <si>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</si>
  <si>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</si>
  <si>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</si>
  <si>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</si>
  <si>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</si>
  <si>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</si>
  <si>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</si>
  <si>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</si>
  <si>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</si>
  <si>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</si>
  <si>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</si>
  <si>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</si>
  <si>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</si>
  <si>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</si>
  <si>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</si>
  <si>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</si>
  <si>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</si>
  <si>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</si>
  <si>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</si>
  <si>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</si>
  <si>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</si>
  <si>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</si>
  <si>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</si>
  <si>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</si>
  <si>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</si>
  <si>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</si>
  <si>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</si>
  <si>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</si>
  <si>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</si>
  <si>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</si>
  <si>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</si>
  <si>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</si>
  <si>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</si>
  <si>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</si>
  <si>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</si>
  <si>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</si>
  <si>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</si>
  <si>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</si>
  <si>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</si>
  <si>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</si>
  <si>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</si>
  <si>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</si>
  <si>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</si>
  <si>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</si>
  <si>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</si>
  <si>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</si>
  <si>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</si>
  <si>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</si>
  <si>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</si>
  <si>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</si>
  <si>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</si>
  <si>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</si>
  <si>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</si>
  <si>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</si>
  <si>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</si>
  <si>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</si>
  <si>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</si>
  <si>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</si>
  <si>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</si>
  <si>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</si>
  <si>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</si>
  <si>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</si>
  <si>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</si>
  <si>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</si>
  <si>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</si>
  <si>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</si>
  <si>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</si>
  <si>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</si>
  <si>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</si>
  <si>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</si>
  <si>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</si>
  <si>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</si>
  <si>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</si>
  <si>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</si>
  <si>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</si>
  <si>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</si>
  <si>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</si>
  <si>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</si>
  <si>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</si>
  <si>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</si>
  <si>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</si>
  <si>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</si>
  <si>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</si>
  <si>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</si>
  <si>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</si>
  <si>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</si>
  <si>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</si>
  <si>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</si>
  <si>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</si>
  <si>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</si>
  <si>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</si>
  <si>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</si>
  <si>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</si>
  <si>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</si>
  <si>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</si>
  <si>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</si>
  <si>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</si>
  <si>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</si>
  <si>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</si>
  <si>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</si>
  <si>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</si>
  <si>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</si>
  <si>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</si>
  <si>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</si>
  <si>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</si>
  <si>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</si>
  <si>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</si>
  <si>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</si>
  <si>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</si>
  <si>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</si>
  <si>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</si>
  <si>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</si>
  <si>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</si>
  <si>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</si>
  <si>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</si>
  <si>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</si>
  <si>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</si>
  <si>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</si>
  <si>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</si>
  <si>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</si>
  <si>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</si>
  <si>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</si>
  <si>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</si>
  <si>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</si>
  <si>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</si>
  <si>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</si>
  <si>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</si>
  <si>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</si>
  <si>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</si>
  <si>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</si>
  <si>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</si>
  <si>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</si>
  <si>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</si>
  <si>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</si>
  <si>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</si>
  <si>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</si>
  <si>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</si>
  <si>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</si>
  <si>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</si>
  <si>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</si>
  <si>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</si>
  <si>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</si>
  <si>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</si>
  <si>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</si>
  <si>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</si>
  <si>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</si>
  <si>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</si>
  <si>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</si>
  <si>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</si>
  <si>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</si>
  <si>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</si>
  <si>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</si>
  <si>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</si>
  <si>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</si>
  <si>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</si>
  <si>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</si>
  <si>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</si>
  <si>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</si>
  <si>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</si>
  <si>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</si>
  <si>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</si>
  <si>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</si>
  <si>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</si>
  <si>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</si>
  <si>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</si>
  <si>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</si>
  <si>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</si>
  <si>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</si>
  <si>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</si>
  <si>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</si>
  <si>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</si>
  <si>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</si>
  <si>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</si>
  <si>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</si>
  <si>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</si>
  <si>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</si>
  <si>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</si>
  <si>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</si>
  <si>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</si>
  <si>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</si>
  <si>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</si>
  <si>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</si>
  <si>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</si>
  <si>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</si>
  <si>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</si>
  <si>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</si>
  <si>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</si>
  <si>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</si>
  <si>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</si>
  <si>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</si>
  <si>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</si>
  <si>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</si>
  <si>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</si>
  <si>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</si>
  <si>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</si>
  <si>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</si>
  <si>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</si>
  <si>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</si>
  <si>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</si>
  <si>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</si>
  <si>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</si>
  <si>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</si>
  <si>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</si>
  <si>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</si>
  <si>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</si>
  <si>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</si>
  <si>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</si>
  <si>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</si>
  <si>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</si>
  <si>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</si>
  <si>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</si>
  <si>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</si>
  <si>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</si>
  <si>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</si>
  <si>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</si>
  <si>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</si>
  <si>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</si>
  <si>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</si>
  <si>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</si>
  <si>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</si>
  <si>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</si>
  <si>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</si>
  <si>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</si>
  <si>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</si>
  <si>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</si>
  <si>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</si>
  <si>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</si>
  <si>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</si>
  <si>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</si>
  <si>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</si>
  <si>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</si>
  <si>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</si>
  <si>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</si>
  <si>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</si>
  <si>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</si>
  <si>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</si>
  <si>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</si>
  <si>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</si>
  <si>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</si>
  <si>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</si>
  <si>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</si>
  <si>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</si>
  <si>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</si>
  <si>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</si>
  <si>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</si>
  <si>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</si>
  <si>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</si>
  <si>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</si>
  <si>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Lorem ipsum dolor sit amet, consectetur adipiscing elit, sed do eiusmod tempor incididunt ut labore et dolore magna aliqua.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</si>
</sst>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Auburn</v>
      </c>
      <c r="B5" s="91" t="str">
        <f t="shared" ref="B5:B36" si="0">I5</f>
        <v>Alabama State</v>
      </c>
      <c r="C5" s="91" t="str">
        <f t="shared" ref="C5:C36" ca="1" si="1">IF(O5="","",IF(A5=O5,B5,A5))</f>
        <v>Alabama State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tr">
        <f>Teams!C2</f>
        <v>Auburn</v>
      </c>
      <c r="H5" s="181" t="s">
        <v>9</v>
      </c>
      <c r="I5" s="132" t="str">
        <f>Teams!C3</f>
        <v>Alabama State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f ca="1">RANDBETWEEN(90,120)</f>
        <v>103</v>
      </c>
      <c r="M5" s="84" t="e" vm="66">
        <f>_xlfn.XLOOKUP(I5,Teams!$C:$C,Teams!$E:$E,,0,1)</f>
        <v>#VALUE!</v>
      </c>
      <c r="N5" s="84">
        <f ca="1">RANDBETWEEN(90,120)</f>
        <v>99</v>
      </c>
      <c r="O5" s="194" t="str">
        <f t="shared" ref="O5:O36" ca="1" si="3">IF(L5&gt;N5,G5,I5)</f>
        <v>Auburn</v>
      </c>
      <c r="P5" s="209" t="e" vm="65">
        <f ca="1">_xlfn.XLOOKUP(O5,Teams!$C:$C,Teams!$E:$E,,0,1)</f>
        <v>#VALUE!</v>
      </c>
      <c r="Q5" s="223" t="s">
        <v>1131</v>
      </c>
      <c r="R5" s="6" t="b">
        <f ca="1"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Louisville</v>
      </c>
      <c r="B6" s="91" t="str">
        <f t="shared" si="0"/>
        <v>Creighton</v>
      </c>
      <c r="C6" s="91" t="str">
        <f t="shared" ca="1" si="1"/>
        <v>Creighton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tr">
        <f>Teams!C4</f>
        <v>Louisville</v>
      </c>
      <c r="H6" s="176" t="s">
        <v>9</v>
      </c>
      <c r="I6" s="102" t="str">
        <f>Teams!C5</f>
        <v>Creighton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f t="shared" ref="L6:N36" ca="1" si="5">RANDBETWEEN(90,120)</f>
        <v>114</v>
      </c>
      <c r="M6" s="82" t="e" vm="68">
        <f>_xlfn.XLOOKUP(I6,Teams!$C:$C,Teams!$E:$E,,0,1)</f>
        <v>#VALUE!</v>
      </c>
      <c r="N6" s="82">
        <f t="shared" ca="1" si="5"/>
        <v>102</v>
      </c>
      <c r="O6" s="189" t="str">
        <f t="shared" ca="1" si="3"/>
        <v>Louisville</v>
      </c>
      <c r="P6" s="204" t="e" vm="67">
        <f ca="1">_xlfn.XLOOKUP(O6,Teams!$C:$C,Teams!$E:$E,,0,1)</f>
        <v>#VALUE!</v>
      </c>
      <c r="Q6" s="223" t="s">
        <v>1131</v>
      </c>
      <c r="R6" s="6" t="b">
        <f t="shared" ref="R6:R69" ca="1" si="6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Michigan</v>
      </c>
      <c r="B7" s="91" t="str">
        <f t="shared" si="0"/>
        <v>UC San Diego</v>
      </c>
      <c r="C7" s="91" t="str">
        <f t="shared" ca="1" si="1"/>
        <v>Michigan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tr">
        <f>Teams!C6</f>
        <v>Michigan</v>
      </c>
      <c r="H7" s="176" t="s">
        <v>9</v>
      </c>
      <c r="I7" s="102" t="str">
        <f>Teams[[#This Row],[Team]]</f>
        <v>UC San Diego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f t="shared" ca="1" si="5"/>
        <v>95</v>
      </c>
      <c r="M7" s="82" t="e" vm="70">
        <f>_xlfn.XLOOKUP(I7,Teams!$C:$C,Teams!$E:$E,,0,1)</f>
        <v>#VALUE!</v>
      </c>
      <c r="N7" s="82">
        <f t="shared" ca="1" si="5"/>
        <v>99</v>
      </c>
      <c r="O7" s="189" t="str">
        <f t="shared" ca="1" si="3"/>
        <v>UC San Diego</v>
      </c>
      <c r="P7" s="204" t="e" vm="70">
        <f ca="1">_xlfn.XLOOKUP(O7,Teams!$C:$C,Teams!$E:$E,,0,1)</f>
        <v>#VALUE!</v>
      </c>
      <c r="Q7" s="223" t="s">
        <v>1131</v>
      </c>
      <c r="R7" s="6" t="b">
        <f t="shared" ca="1" si="6"/>
        <v>1</v>
      </c>
      <c r="S7" s="98"/>
    </row>
    <row r="8" spans="1:19" ht="24" customHeight="1" x14ac:dyDescent="0.25">
      <c r="A8" s="91" t="str">
        <f t="shared" si="4"/>
        <v>Texas A&amp;M</v>
      </c>
      <c r="B8" s="91" t="str">
        <f t="shared" si="0"/>
        <v>Yale</v>
      </c>
      <c r="C8" s="91" t="str">
        <f t="shared" ca="1" si="1"/>
        <v>Texas A&amp;M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tr">
        <f>Teams[[#This Row],[Team]]</f>
        <v>Texas A&amp;M</v>
      </c>
      <c r="H8" s="176" t="s">
        <v>9</v>
      </c>
      <c r="I8" s="102" t="str">
        <f>Teams!C9</f>
        <v>Yale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f t="shared" ca="1" si="5"/>
        <v>97</v>
      </c>
      <c r="M8" s="82" t="e" vm="72">
        <f>_xlfn.XLOOKUP(I8,Teams!$C:$C,Teams!$E:$E,,0,1)</f>
        <v>#VALUE!</v>
      </c>
      <c r="N8" s="82">
        <f t="shared" ca="1" si="5"/>
        <v>114</v>
      </c>
      <c r="O8" s="189" t="str">
        <f t="shared" ca="1" si="3"/>
        <v>Yale</v>
      </c>
      <c r="P8" s="204" t="e" vm="72">
        <f ca="1">_xlfn.XLOOKUP(O8,Teams!$C:$C,Teams!$E:$E,,0,1)</f>
        <v>#VALUE!</v>
      </c>
      <c r="Q8" s="223" t="s">
        <v>1131</v>
      </c>
      <c r="R8" s="6" t="b">
        <f t="shared" ca="1" si="6"/>
        <v>1</v>
      </c>
      <c r="S8" s="98"/>
    </row>
    <row r="9" spans="1:19" ht="24" customHeight="1" x14ac:dyDescent="0.25">
      <c r="A9" s="91" t="str">
        <f t="shared" si="4"/>
        <v>Mississippi</v>
      </c>
      <c r="B9" s="91" t="str">
        <f t="shared" si="0"/>
        <v>North Carolina</v>
      </c>
      <c r="C9" s="91" t="str">
        <f t="shared" ca="1" si="1"/>
        <v>Mississippi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tr">
        <f>Teams!C10</f>
        <v>Mississippi</v>
      </c>
      <c r="H9" s="176" t="s">
        <v>9</v>
      </c>
      <c r="I9" s="102" t="str">
        <f>Teams!C11</f>
        <v>North Carolina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f t="shared" ca="1" si="5"/>
        <v>110</v>
      </c>
      <c r="M9" s="82" t="e" vm="74">
        <f>_xlfn.XLOOKUP(I9,Teams!$C:$C,Teams!$E:$E,,0,1)</f>
        <v>#VALUE!</v>
      </c>
      <c r="N9" s="82">
        <f t="shared" ca="1" si="5"/>
        <v>110</v>
      </c>
      <c r="O9" s="189" t="str">
        <f t="shared" ca="1" si="3"/>
        <v>North Carolina</v>
      </c>
      <c r="P9" s="204" t="e" vm="74">
        <f ca="1">_xlfn.XLOOKUP(O9,Teams!$C:$C,Teams!$E:$E,,0,1)</f>
        <v>#VALUE!</v>
      </c>
      <c r="Q9" s="223" t="s">
        <v>1131</v>
      </c>
      <c r="R9" s="6" t="b">
        <f t="shared" ca="1" si="6"/>
        <v>1</v>
      </c>
      <c r="S9" s="98"/>
    </row>
    <row r="10" spans="1:19" ht="24" customHeight="1" x14ac:dyDescent="0.25">
      <c r="A10" s="91" t="str">
        <f t="shared" si="4"/>
        <v>Iowa State</v>
      </c>
      <c r="B10" s="91" t="str">
        <f t="shared" si="0"/>
        <v>Lipscomb</v>
      </c>
      <c r="C10" s="91" t="str">
        <f t="shared" ca="1" si="1"/>
        <v>Iowa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tr">
        <f>Teams!C12</f>
        <v>Iowa State</v>
      </c>
      <c r="H10" s="176" t="s">
        <v>9</v>
      </c>
      <c r="I10" s="102" t="str">
        <f>Teams!C13</f>
        <v>Lipscomb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f t="shared" ca="1" si="5"/>
        <v>94</v>
      </c>
      <c r="M10" s="82" t="e" vm="76">
        <f>_xlfn.XLOOKUP(I10,Teams!$C:$C,Teams!$E:$E,,0,1)</f>
        <v>#VALUE!</v>
      </c>
      <c r="N10" s="82">
        <f t="shared" ca="1" si="5"/>
        <v>97</v>
      </c>
      <c r="O10" s="189" t="str">
        <f t="shared" ca="1" si="3"/>
        <v>Lipscomb</v>
      </c>
      <c r="P10" s="204" t="e" vm="76">
        <f ca="1">_xlfn.XLOOKUP(O10,Teams!$C:$C,Teams!$E:$E,,0,1)</f>
        <v>#VALUE!</v>
      </c>
      <c r="Q10" s="223" t="s">
        <v>1131</v>
      </c>
      <c r="R10" s="6" t="b">
        <f t="shared" ca="1" si="6"/>
        <v>1</v>
      </c>
      <c r="S10" s="98"/>
    </row>
    <row r="11" spans="1:19" ht="24" customHeight="1" x14ac:dyDescent="0.25">
      <c r="A11" s="91" t="str">
        <f t="shared" si="4"/>
        <v>Marquette</v>
      </c>
      <c r="B11" s="91" t="str">
        <f t="shared" si="0"/>
        <v>New Mexico</v>
      </c>
      <c r="C11" s="91" t="str">
        <f t="shared" ca="1" si="1"/>
        <v>New Mexico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tr">
        <f>Teams!C14</f>
        <v>Marquette</v>
      </c>
      <c r="H11" s="176" t="s">
        <v>9</v>
      </c>
      <c r="I11" s="102" t="str">
        <f>Teams!C15</f>
        <v>New Mexico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f t="shared" ca="1" si="5"/>
        <v>112</v>
      </c>
      <c r="M11" s="82" t="e" vm="78">
        <f>_xlfn.XLOOKUP(I11,Teams!$C:$C,Teams!$E:$E,,0,1)</f>
        <v>#VALUE!</v>
      </c>
      <c r="N11" s="82">
        <f t="shared" ca="1" si="5"/>
        <v>107</v>
      </c>
      <c r="O11" s="189" t="str">
        <f t="shared" ca="1" si="3"/>
        <v>Marquette</v>
      </c>
      <c r="P11" s="204" t="e" vm="77">
        <f ca="1">_xlfn.XLOOKUP(O11,Teams!$C:$C,Teams!$E:$E,,0,1)</f>
        <v>#VALUE!</v>
      </c>
      <c r="Q11" s="223" t="s">
        <v>1131</v>
      </c>
      <c r="R11" s="6" t="b">
        <f t="shared" ca="1" si="6"/>
        <v>0</v>
      </c>
      <c r="S11" s="98"/>
    </row>
    <row r="12" spans="1:19" ht="24" customHeight="1" thickBot="1" x14ac:dyDescent="0.3">
      <c r="A12" s="91" t="str">
        <f t="shared" si="4"/>
        <v>Michigan State</v>
      </c>
      <c r="B12" s="91" t="str">
        <f t="shared" si="0"/>
        <v>Bryant</v>
      </c>
      <c r="C12" s="91" t="str">
        <f t="shared" ca="1" si="1"/>
        <v>Bryant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tr">
        <f>Teams!C16</f>
        <v>Michigan State</v>
      </c>
      <c r="H12" s="177" t="s">
        <v>9</v>
      </c>
      <c r="I12" s="107" t="str">
        <f>Teams!C17</f>
        <v>Bryant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f t="shared" ca="1" si="5"/>
        <v>120</v>
      </c>
      <c r="M12" s="109" t="e" vm="80">
        <f>_xlfn.XLOOKUP(I12,Teams!$C:$C,Teams!$E:$E,,0,1)</f>
        <v>#VALUE!</v>
      </c>
      <c r="N12" s="109">
        <f t="shared" ca="1" si="5"/>
        <v>95</v>
      </c>
      <c r="O12" s="190" t="str">
        <f t="shared" ca="1" si="3"/>
        <v>Michigan State</v>
      </c>
      <c r="P12" s="205" t="e" vm="79">
        <f ca="1">_xlfn.XLOOKUP(O12,Teams!$C:$C,Teams!$E:$E,,0,1)</f>
        <v>#VALUE!</v>
      </c>
      <c r="Q12" s="224" t="s">
        <v>1131</v>
      </c>
      <c r="R12" s="6" t="b">
        <f t="shared" ca="1" si="6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ca="1" si="1"/>
        <v>Florida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tr">
        <f>Teams!C18</f>
        <v>Florida</v>
      </c>
      <c r="H13" s="221" t="s">
        <v>9</v>
      </c>
      <c r="I13" s="113" t="str">
        <f>Teams!C19</f>
        <v>Norfolk State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f t="shared" ca="1" si="5"/>
        <v>102</v>
      </c>
      <c r="M13" s="115" t="e" vm="82">
        <f>_xlfn.XLOOKUP(I13,Teams!$C:$C,Teams!$E:$E,,0,1)</f>
        <v>#VALUE!</v>
      </c>
      <c r="N13" s="115">
        <f t="shared" ca="1" si="5"/>
        <v>113</v>
      </c>
      <c r="O13" s="191" t="str">
        <f t="shared" ca="1" si="3"/>
        <v>Norfolk State</v>
      </c>
      <c r="P13" s="206" t="e" vm="82">
        <f ca="1">_xlfn.XLOOKUP(O13,Teams!$C:$C,Teams!$E:$E,,0,1)</f>
        <v>#VALUE!</v>
      </c>
      <c r="Q13" s="225" t="s">
        <v>1131</v>
      </c>
      <c r="R13" s="6" t="b">
        <f t="shared" ca="1" si="6"/>
        <v>1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ca="1" si="1"/>
        <v>Oklahoma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tr">
        <f>Teams!C20</f>
        <v>Connecticut</v>
      </c>
      <c r="H14" s="178" t="s">
        <v>9</v>
      </c>
      <c r="I14" s="119" t="str">
        <f>Teams!C21</f>
        <v>Oklahoma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f t="shared" ca="1" si="5"/>
        <v>94</v>
      </c>
      <c r="M14" s="83" t="e" vm="84">
        <f>_xlfn.XLOOKUP(I14,Teams!$C:$C,Teams!$E:$E,,0,1)</f>
        <v>#VALUE!</v>
      </c>
      <c r="N14" s="83">
        <f t="shared" ca="1" si="5"/>
        <v>90</v>
      </c>
      <c r="O14" s="192" t="str">
        <f t="shared" ca="1" si="3"/>
        <v>Connecticut</v>
      </c>
      <c r="P14" s="207" t="e" vm="83">
        <f ca="1">_xlfn.XLOOKUP(O14,Teams!$C:$C,Teams!$E:$E,,0,1)</f>
        <v>#VALUE!</v>
      </c>
      <c r="Q14" s="226" t="s">
        <v>1131</v>
      </c>
      <c r="R14" s="6" t="b">
        <f t="shared" ca="1" si="6"/>
        <v>0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ca="1" si="1"/>
        <v>Memphis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tr">
        <f>Teams!C22</f>
        <v>Memphis</v>
      </c>
      <c r="H15" s="178" t="s">
        <v>9</v>
      </c>
      <c r="I15" s="119" t="str">
        <f>Teams!C23</f>
        <v>Colorado State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f t="shared" ca="1" si="5"/>
        <v>92</v>
      </c>
      <c r="M15" s="83" t="e" vm="86">
        <f>_xlfn.XLOOKUP(I15,Teams!$C:$C,Teams!$E:$E,,0,1)</f>
        <v>#VALUE!</v>
      </c>
      <c r="N15" s="83">
        <f t="shared" ca="1" si="5"/>
        <v>113</v>
      </c>
      <c r="O15" s="192" t="str">
        <f t="shared" ca="1" si="3"/>
        <v>Colorado State</v>
      </c>
      <c r="P15" s="207" t="e" vm="86">
        <f ca="1">_xlfn.XLOOKUP(O15,Teams!$C:$C,Teams!$E:$E,,0,1)</f>
        <v>#VALUE!</v>
      </c>
      <c r="Q15" s="226" t="s">
        <v>1131</v>
      </c>
      <c r="R15" s="6" t="b">
        <f t="shared" ca="1" si="6"/>
        <v>1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ca="1" si="1"/>
        <v>Grand Canyon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tr">
        <f>Teams!C24</f>
        <v>Maryland</v>
      </c>
      <c r="H16" s="178" t="s">
        <v>9</v>
      </c>
      <c r="I16" s="119" t="str">
        <f>Teams!C25</f>
        <v>Grand Canyon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f t="shared" ca="1" si="5"/>
        <v>102</v>
      </c>
      <c r="M16" s="83" t="e" vm="88">
        <f>_xlfn.XLOOKUP(I16,Teams!$C:$C,Teams!$E:$E,,0,1)</f>
        <v>#VALUE!</v>
      </c>
      <c r="N16" s="83">
        <f t="shared" ca="1" si="5"/>
        <v>95</v>
      </c>
      <c r="O16" s="192" t="str">
        <f t="shared" ca="1" si="3"/>
        <v>Maryland</v>
      </c>
      <c r="P16" s="207" t="e" vm="87">
        <f ca="1">_xlfn.XLOOKUP(O16,Teams!$C:$C,Teams!$E:$E,,0,1)</f>
        <v>#VALUE!</v>
      </c>
      <c r="Q16" s="226" t="s">
        <v>1131</v>
      </c>
      <c r="R16" s="6" t="b">
        <f t="shared" ca="1" si="6"/>
        <v>0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ca="1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tr">
        <f>Teams!C26</f>
        <v>Missouri</v>
      </c>
      <c r="H17" s="178" t="s">
        <v>9</v>
      </c>
      <c r="I17" s="119" t="str">
        <f>Teams!C27</f>
        <v>Drake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f t="shared" ca="1" si="5"/>
        <v>104</v>
      </c>
      <c r="M17" s="83" t="e" vm="90">
        <f>_xlfn.XLOOKUP(I17,Teams!$C:$C,Teams!$E:$E,,0,1)</f>
        <v>#VALUE!</v>
      </c>
      <c r="N17" s="83">
        <f t="shared" ca="1" si="5"/>
        <v>96</v>
      </c>
      <c r="O17" s="192" t="str">
        <f t="shared" ca="1" si="3"/>
        <v>Missouri</v>
      </c>
      <c r="P17" s="207" t="e" vm="89">
        <f ca="1">_xlfn.XLOOKUP(O17,Teams!$C:$C,Teams!$E:$E,,0,1)</f>
        <v>#VALUE!</v>
      </c>
      <c r="Q17" s="226" t="s">
        <v>1131</v>
      </c>
      <c r="R17" s="6" t="b">
        <f t="shared" ca="1" si="6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ca="1" si="1"/>
        <v>Texas Tech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tr">
        <f>Teams!C28</f>
        <v>Texas Tech</v>
      </c>
      <c r="H18" s="178" t="s">
        <v>9</v>
      </c>
      <c r="I18" s="119" t="str">
        <f>Teams!C29</f>
        <v>UNC Wilmington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f t="shared" ca="1" si="5"/>
        <v>106</v>
      </c>
      <c r="M18" s="83" t="e" vm="92">
        <f>_xlfn.XLOOKUP(I18,Teams!$C:$C,Teams!$E:$E,,0,1)</f>
        <v>#VALUE!</v>
      </c>
      <c r="N18" s="83">
        <f t="shared" ca="1" si="5"/>
        <v>107</v>
      </c>
      <c r="O18" s="192" t="str">
        <f t="shared" ca="1" si="3"/>
        <v>UNC Wilmington</v>
      </c>
      <c r="P18" s="207" t="e" vm="92">
        <f ca="1">_xlfn.XLOOKUP(O18,Teams!$C:$C,Teams!$E:$E,,0,1)</f>
        <v>#VALUE!</v>
      </c>
      <c r="Q18" s="226" t="s">
        <v>1131</v>
      </c>
      <c r="R18" s="6" t="b">
        <f t="shared" ca="1" si="6"/>
        <v>1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ca="1" si="1"/>
        <v>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tr">
        <f>Teams!C30</f>
        <v>Kansas</v>
      </c>
      <c r="H19" s="178" t="s">
        <v>9</v>
      </c>
      <c r="I19" s="119" t="str">
        <f>Teams!C31</f>
        <v>Arkansas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f t="shared" ca="1" si="5"/>
        <v>91</v>
      </c>
      <c r="M19" s="83" t="e" vm="94">
        <f>_xlfn.XLOOKUP(I19,Teams!$C:$C,Teams!$E:$E,,0,1)</f>
        <v>#VALUE!</v>
      </c>
      <c r="N19" s="83">
        <f t="shared" ca="1" si="5"/>
        <v>106</v>
      </c>
      <c r="O19" s="192" t="str">
        <f t="shared" ca="1" si="3"/>
        <v>Arkansas</v>
      </c>
      <c r="P19" s="207" t="e" vm="94">
        <f ca="1">_xlfn.XLOOKUP(O19,Teams!$C:$C,Teams!$E:$E,,0,1)</f>
        <v>#VALUE!</v>
      </c>
      <c r="Q19" s="226" t="s">
        <v>1131</v>
      </c>
      <c r="R19" s="6" t="b">
        <f t="shared" ca="1" si="6"/>
        <v>1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ca="1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tr">
        <f>Teams!C32</f>
        <v>St. John's (NY)</v>
      </c>
      <c r="H20" s="179" t="s">
        <v>9</v>
      </c>
      <c r="I20" s="124" t="str">
        <f>Teams!C33</f>
        <v>Omaha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f t="shared" ca="1" si="5"/>
        <v>117</v>
      </c>
      <c r="M20" s="126" t="e" vm="96">
        <f>_xlfn.XLOOKUP(I20,Teams!$C:$C,Teams!$E:$E,,0,1)</f>
        <v>#VALUE!</v>
      </c>
      <c r="N20" s="126">
        <f t="shared" ca="1" si="5"/>
        <v>108</v>
      </c>
      <c r="O20" s="193" t="str">
        <f t="shared" ca="1" si="3"/>
        <v>St. John's (NY)</v>
      </c>
      <c r="P20" s="208" t="e" vm="95">
        <f ca="1">_xlfn.XLOOKUP(O20,Teams!$C:$C,Teams!$E:$E,,0,1)</f>
        <v>#VALUE!</v>
      </c>
      <c r="Q20" s="227" t="s">
        <v>1131</v>
      </c>
      <c r="R20" s="6" t="b">
        <f t="shared" ca="1" si="6"/>
        <v>0</v>
      </c>
      <c r="S20" s="98"/>
    </row>
    <row r="21" spans="1:19" ht="24" customHeight="1" x14ac:dyDescent="0.25">
      <c r="A21" s="91" t="str">
        <f t="shared" ref="A21:A36" si="7">G21</f>
        <v>Duke</v>
      </c>
      <c r="B21" s="91" t="str">
        <f t="shared" si="0"/>
        <v>Mount St. Mary's</v>
      </c>
      <c r="C21" s="91" t="str">
        <f t="shared" ca="1" si="1"/>
        <v>Duke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tr">
        <f>Teams!C34</f>
        <v>Duke</v>
      </c>
      <c r="H21" s="175" t="s">
        <v>9</v>
      </c>
      <c r="I21" s="95" t="str">
        <f>Teams!C35</f>
        <v>Mount St. Mary's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f t="shared" ca="1" si="5"/>
        <v>105</v>
      </c>
      <c r="M21" s="97" t="e" vm="98">
        <f>_xlfn.XLOOKUP(I21,Teams!$C:$C,Teams!$E:$E,,0,1)</f>
        <v>#VALUE!</v>
      </c>
      <c r="N21" s="97">
        <f t="shared" ca="1" si="5"/>
        <v>111</v>
      </c>
      <c r="O21" s="188" t="str">
        <f t="shared" ca="1" si="3"/>
        <v>Mount St. Mary's</v>
      </c>
      <c r="P21" s="203" t="e" vm="98">
        <f ca="1">_xlfn.XLOOKUP(O21,Teams!$C:$C,Teams!$E:$E,,0,1)</f>
        <v>#VALUE!</v>
      </c>
      <c r="Q21" s="228" t="s">
        <v>1131</v>
      </c>
      <c r="R21" s="6" t="b">
        <f t="shared" ca="1" si="6"/>
        <v>1</v>
      </c>
      <c r="S21" s="98"/>
    </row>
    <row r="22" spans="1:19" ht="24" customHeight="1" x14ac:dyDescent="0.25">
      <c r="A22" s="91" t="str">
        <f t="shared" si="7"/>
        <v>Mississippi State</v>
      </c>
      <c r="B22" s="91" t="str">
        <f t="shared" si="0"/>
        <v>Baylor</v>
      </c>
      <c r="C22" s="91" t="str">
        <f t="shared" ca="1" si="1"/>
        <v>Mississippi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tr">
        <f>Teams!C36</f>
        <v>Mississippi State</v>
      </c>
      <c r="H22" s="176" t="s">
        <v>9</v>
      </c>
      <c r="I22" s="102" t="str">
        <f>Teams!C37</f>
        <v>Baylor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f t="shared" ca="1" si="5"/>
        <v>97</v>
      </c>
      <c r="M22" s="82" t="e" vm="100">
        <f>_xlfn.XLOOKUP(I22,Teams!$C:$C,Teams!$E:$E,,0,1)</f>
        <v>#VALUE!</v>
      </c>
      <c r="N22" s="82">
        <f t="shared" ca="1" si="5"/>
        <v>109</v>
      </c>
      <c r="O22" s="189" t="str">
        <f t="shared" ca="1" si="3"/>
        <v>Baylor</v>
      </c>
      <c r="P22" s="204" t="e" vm="100">
        <f ca="1">_xlfn.XLOOKUP(O22,Teams!$C:$C,Teams!$E:$E,,0,1)</f>
        <v>#VALUE!</v>
      </c>
      <c r="Q22" s="223" t="s">
        <v>1131</v>
      </c>
      <c r="R22" s="6" t="b">
        <f t="shared" ca="1" si="6"/>
        <v>1</v>
      </c>
      <c r="S22" s="98"/>
    </row>
    <row r="23" spans="1:19" ht="24" customHeight="1" x14ac:dyDescent="0.25">
      <c r="A23" s="91" t="str">
        <f t="shared" si="7"/>
        <v>Oregon</v>
      </c>
      <c r="B23" s="91" t="str">
        <f t="shared" si="0"/>
        <v>Liberty</v>
      </c>
      <c r="C23" s="91" t="str">
        <f t="shared" ca="1" si="1"/>
        <v>Oregon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tr">
        <f>Teams!C38</f>
        <v>Oregon</v>
      </c>
      <c r="H23" s="176" t="s">
        <v>9</v>
      </c>
      <c r="I23" s="102" t="str">
        <f>Teams!C39</f>
        <v>Liberty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f t="shared" ca="1" si="5"/>
        <v>99</v>
      </c>
      <c r="M23" s="82" t="e" vm="102">
        <f>_xlfn.XLOOKUP(I23,Teams!$C:$C,Teams!$E:$E,,0,1)</f>
        <v>#VALUE!</v>
      </c>
      <c r="N23" s="82">
        <f t="shared" ca="1" si="5"/>
        <v>120</v>
      </c>
      <c r="O23" s="189" t="str">
        <f t="shared" ca="1" si="3"/>
        <v>Liberty</v>
      </c>
      <c r="P23" s="204" t="e" vm="102">
        <f ca="1">_xlfn.XLOOKUP(O23,Teams!$C:$C,Teams!$E:$E,,0,1)</f>
        <v>#VALUE!</v>
      </c>
      <c r="Q23" s="223" t="s">
        <v>1131</v>
      </c>
      <c r="R23" s="6" t="b">
        <f t="shared" ca="1" si="6"/>
        <v>1</v>
      </c>
      <c r="S23" s="98"/>
    </row>
    <row r="24" spans="1:19" ht="24" customHeight="1" x14ac:dyDescent="0.25">
      <c r="A24" s="91" t="str">
        <f t="shared" si="7"/>
        <v>Arizona</v>
      </c>
      <c r="B24" s="91" t="str">
        <f t="shared" si="0"/>
        <v>Akron</v>
      </c>
      <c r="C24" s="91" t="str">
        <f t="shared" ca="1" si="1"/>
        <v>Akron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tr">
        <f>Teams!C40</f>
        <v>Arizona</v>
      </c>
      <c r="H24" s="176" t="s">
        <v>9</v>
      </c>
      <c r="I24" s="102" t="str">
        <f>Teams!C41</f>
        <v>Akron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f t="shared" ca="1" si="5"/>
        <v>110</v>
      </c>
      <c r="M24" s="82" t="e" vm="104">
        <f>_xlfn.XLOOKUP(I24,Teams!$C:$C,Teams!$E:$E,,0,1)</f>
        <v>#VALUE!</v>
      </c>
      <c r="N24" s="82">
        <f t="shared" ca="1" si="5"/>
        <v>107</v>
      </c>
      <c r="O24" s="189" t="str">
        <f t="shared" ca="1" si="3"/>
        <v>Arizona</v>
      </c>
      <c r="P24" s="204" t="e" vm="103">
        <f ca="1">_xlfn.XLOOKUP(O24,Teams!$C:$C,Teams!$E:$E,,0,1)</f>
        <v>#VALUE!</v>
      </c>
      <c r="Q24" s="223" t="s">
        <v>1131</v>
      </c>
      <c r="R24" s="6" t="b">
        <f t="shared" ca="1" si="6"/>
        <v>0</v>
      </c>
      <c r="S24" s="98"/>
    </row>
    <row r="25" spans="1:19" ht="24" customHeight="1" x14ac:dyDescent="0.25">
      <c r="A25" s="91" t="str">
        <f t="shared" si="7"/>
        <v>Brigham Young</v>
      </c>
      <c r="B25" s="91" t="str">
        <f t="shared" si="0"/>
        <v>Virginia Commonwealth</v>
      </c>
      <c r="C25" s="91" t="str">
        <f t="shared" ca="1" si="1"/>
        <v>Virginia Commonwealth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tr">
        <f>Teams!C42</f>
        <v>Brigham Young</v>
      </c>
      <c r="H25" s="176" t="s">
        <v>9</v>
      </c>
      <c r="I25" s="102" t="str">
        <f>Teams!C43</f>
        <v>Virginia Commonwealth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f t="shared" ca="1" si="5"/>
        <v>119</v>
      </c>
      <c r="M25" s="82" t="e" vm="106">
        <f>_xlfn.XLOOKUP(I25,Teams!$C:$C,Teams!$E:$E,,0,1)</f>
        <v>#VALUE!</v>
      </c>
      <c r="N25" s="82">
        <f t="shared" ca="1" si="5"/>
        <v>91</v>
      </c>
      <c r="O25" s="189" t="str">
        <f t="shared" ca="1" si="3"/>
        <v>Brigham Young</v>
      </c>
      <c r="P25" s="204" t="e" vm="105">
        <f ca="1">_xlfn.XLOOKUP(O25,Teams!$C:$C,Teams!$E:$E,,0,1)</f>
        <v>#VALUE!</v>
      </c>
      <c r="Q25" s="223" t="s">
        <v>1131</v>
      </c>
      <c r="R25" s="6" t="b">
        <f t="shared" ca="1" si="6"/>
        <v>0</v>
      </c>
      <c r="S25" s="98"/>
    </row>
    <row r="26" spans="1:19" ht="24" customHeight="1" x14ac:dyDescent="0.25">
      <c r="A26" s="91" t="str">
        <f t="shared" si="7"/>
        <v>Wisconsin</v>
      </c>
      <c r="B26" s="91" t="str">
        <f t="shared" si="0"/>
        <v>Montana</v>
      </c>
      <c r="C26" s="91" t="str">
        <f t="shared" ca="1" si="1"/>
        <v>Wisconsin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tr">
        <f>Teams!C44</f>
        <v>Wisconsin</v>
      </c>
      <c r="H26" s="176" t="s">
        <v>9</v>
      </c>
      <c r="I26" s="102" t="str">
        <f>Teams!C45</f>
        <v>Montana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f t="shared" ca="1" si="5"/>
        <v>94</v>
      </c>
      <c r="M26" s="82" t="e" vm="108">
        <f>_xlfn.XLOOKUP(I26,Teams!$C:$C,Teams!$E:$E,,0,1)</f>
        <v>#VALUE!</v>
      </c>
      <c r="N26" s="82">
        <f t="shared" ca="1" si="5"/>
        <v>109</v>
      </c>
      <c r="O26" s="189" t="str">
        <f t="shared" ca="1" si="3"/>
        <v>Montana</v>
      </c>
      <c r="P26" s="204" t="e" vm="108">
        <f ca="1">_xlfn.XLOOKUP(O26,Teams!$C:$C,Teams!$E:$E,,0,1)</f>
        <v>#VALUE!</v>
      </c>
      <c r="Q26" s="223" t="s">
        <v>1131</v>
      </c>
      <c r="R26" s="6" t="b">
        <f t="shared" ca="1" si="6"/>
        <v>1</v>
      </c>
      <c r="S26" s="98"/>
    </row>
    <row r="27" spans="1:19" ht="24" customHeight="1" x14ac:dyDescent="0.25">
      <c r="A27" s="91" t="str">
        <f t="shared" si="7"/>
        <v>Saint Mary's (CA)</v>
      </c>
      <c r="B27" s="91" t="str">
        <f t="shared" si="0"/>
        <v>Vanderbilt</v>
      </c>
      <c r="C27" s="91" t="str">
        <f t="shared" ca="1" si="1"/>
        <v>Vanderbilt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tr">
        <f>Teams!C46</f>
        <v>Saint Mary's (CA)</v>
      </c>
      <c r="H27" s="176" t="s">
        <v>9</v>
      </c>
      <c r="I27" s="102" t="str">
        <f>Teams!C47</f>
        <v>Vanderbilt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f t="shared" ca="1" si="5"/>
        <v>103</v>
      </c>
      <c r="M27" s="82" t="e" vm="110">
        <f>_xlfn.XLOOKUP(I27,Teams!$C:$C,Teams!$E:$E,,0,1)</f>
        <v>#VALUE!</v>
      </c>
      <c r="N27" s="82">
        <f t="shared" ca="1" si="5"/>
        <v>91</v>
      </c>
      <c r="O27" s="189" t="str">
        <f t="shared" ca="1" si="3"/>
        <v>Saint Mary's (CA)</v>
      </c>
      <c r="P27" s="204" t="e" vm="109">
        <f ca="1">_xlfn.XLOOKUP(O27,Teams!$C:$C,Teams!$E:$E,,0,1)</f>
        <v>#VALUE!</v>
      </c>
      <c r="Q27" s="223" t="s">
        <v>1131</v>
      </c>
      <c r="R27" s="6" t="b">
        <f t="shared" ca="1" si="6"/>
        <v>0</v>
      </c>
      <c r="S27" s="98"/>
    </row>
    <row r="28" spans="1:19" ht="24" customHeight="1" thickBot="1" x14ac:dyDescent="0.3">
      <c r="A28" s="91" t="str">
        <f t="shared" si="7"/>
        <v>Alabama</v>
      </c>
      <c r="B28" s="91" t="str">
        <f t="shared" si="0"/>
        <v>Robert Morris</v>
      </c>
      <c r="C28" s="91" t="str">
        <f t="shared" ca="1" si="1"/>
        <v>Robert Morris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tr">
        <f>Teams!C48</f>
        <v>Alabama</v>
      </c>
      <c r="H28" s="177" t="s">
        <v>9</v>
      </c>
      <c r="I28" s="107" t="str">
        <f>Teams!C49</f>
        <v>Robert Morris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f t="shared" ca="1" si="5"/>
        <v>120</v>
      </c>
      <c r="M28" s="109" t="e" vm="112">
        <f>_xlfn.XLOOKUP(I28,Teams!$C:$C,Teams!$E:$E,,0,1)</f>
        <v>#VALUE!</v>
      </c>
      <c r="N28" s="109">
        <f t="shared" ca="1" si="5"/>
        <v>91</v>
      </c>
      <c r="O28" s="190" t="str">
        <f t="shared" ca="1" si="3"/>
        <v>Alabama</v>
      </c>
      <c r="P28" s="205" t="e" vm="111">
        <f ca="1">_xlfn.XLOOKUP(O28,Teams!$C:$C,Teams!$E:$E,,0,1)</f>
        <v>#VALUE!</v>
      </c>
      <c r="Q28" s="224" t="s">
        <v>1131</v>
      </c>
      <c r="R28" s="6" t="b">
        <f t="shared" ca="1" si="6"/>
        <v>0</v>
      </c>
      <c r="S28" s="98"/>
    </row>
    <row r="29" spans="1:19" ht="24" customHeight="1" x14ac:dyDescent="0.25">
      <c r="A29" s="91" t="str">
        <f t="shared" si="7"/>
        <v>Houston</v>
      </c>
      <c r="B29" s="91" t="str">
        <f t="shared" si="0"/>
        <v>SIU Edwardsville</v>
      </c>
      <c r="C29" s="91" t="str">
        <f t="shared" ca="1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tr">
        <f>Teams!C50</f>
        <v>Houston</v>
      </c>
      <c r="H29" s="180" t="s">
        <v>9</v>
      </c>
      <c r="I29" s="128" t="str">
        <f>Teams!C51</f>
        <v>SIU Edwardsville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f t="shared" ca="1" si="5"/>
        <v>105</v>
      </c>
      <c r="M29" s="115" t="e" vm="114">
        <f>_xlfn.XLOOKUP(I29,Teams!$C:$C,Teams!$E:$E,,0,1)</f>
        <v>#VALUE!</v>
      </c>
      <c r="N29" s="115">
        <f t="shared" ca="1" si="5"/>
        <v>99</v>
      </c>
      <c r="O29" s="191" t="str">
        <f t="shared" ca="1" si="3"/>
        <v>Houston</v>
      </c>
      <c r="P29" s="206" t="e" vm="113">
        <f ca="1">_xlfn.XLOOKUP(O29,Teams!$C:$C,Teams!$E:$E,,0,1)</f>
        <v>#VALUE!</v>
      </c>
      <c r="Q29" s="225" t="s">
        <v>1131</v>
      </c>
      <c r="R29" s="6" t="b">
        <f t="shared" ca="1" si="6"/>
        <v>0</v>
      </c>
      <c r="S29" s="98"/>
    </row>
    <row r="30" spans="1:19" ht="24" customHeight="1" x14ac:dyDescent="0.25">
      <c r="A30" s="91" t="str">
        <f t="shared" si="7"/>
        <v>Gonzaga</v>
      </c>
      <c r="B30" s="91" t="str">
        <f t="shared" si="0"/>
        <v>Georgia</v>
      </c>
      <c r="C30" s="91" t="str">
        <f t="shared" ca="1" si="1"/>
        <v>Gonzaga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tr">
        <f>Teams!C52</f>
        <v>Gonzaga</v>
      </c>
      <c r="H30" s="178" t="s">
        <v>9</v>
      </c>
      <c r="I30" s="119" t="str">
        <f>Teams!C53</f>
        <v>Georgia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f t="shared" ca="1" si="5"/>
        <v>94</v>
      </c>
      <c r="M30" s="83" t="e" vm="116">
        <f>_xlfn.XLOOKUP(I30,Teams!$C:$C,Teams!$E:$E,,0,1)</f>
        <v>#VALUE!</v>
      </c>
      <c r="N30" s="83">
        <f t="shared" ca="1" si="5"/>
        <v>114</v>
      </c>
      <c r="O30" s="192" t="str">
        <f t="shared" ca="1" si="3"/>
        <v>Georgia</v>
      </c>
      <c r="P30" s="207" t="e" vm="116">
        <f ca="1">_xlfn.XLOOKUP(O30,Teams!$C:$C,Teams!$E:$E,,0,1)</f>
        <v>#VALUE!</v>
      </c>
      <c r="Q30" s="226" t="s">
        <v>1131</v>
      </c>
      <c r="R30" s="6" t="b">
        <f t="shared" ca="1" si="6"/>
        <v>1</v>
      </c>
      <c r="S30" s="98"/>
    </row>
    <row r="31" spans="1:19" ht="24" customHeight="1" x14ac:dyDescent="0.25">
      <c r="A31" s="91" t="str">
        <f t="shared" si="7"/>
        <v>Clemson</v>
      </c>
      <c r="B31" s="91" t="str">
        <f t="shared" si="0"/>
        <v>McNeese State</v>
      </c>
      <c r="C31" s="91" t="str">
        <f t="shared" ca="1" si="1"/>
        <v>McNeese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tr">
        <f>Teams!C54</f>
        <v>Clemson</v>
      </c>
      <c r="H31" s="178" t="s">
        <v>9</v>
      </c>
      <c r="I31" s="119" t="str">
        <f>Teams!C55</f>
        <v>McNeese State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f t="shared" ca="1" si="5"/>
        <v>115</v>
      </c>
      <c r="M31" s="83" t="e" vm="118">
        <f>_xlfn.XLOOKUP(I31,Teams!$C:$C,Teams!$E:$E,,0,1)</f>
        <v>#VALUE!</v>
      </c>
      <c r="N31" s="83">
        <f t="shared" ca="1" si="5"/>
        <v>102</v>
      </c>
      <c r="O31" s="192" t="str">
        <f t="shared" ca="1" si="3"/>
        <v>Clemson</v>
      </c>
      <c r="P31" s="207" t="e" vm="117">
        <f ca="1">_xlfn.XLOOKUP(O31,Teams!$C:$C,Teams!$E:$E,,0,1)</f>
        <v>#VALUE!</v>
      </c>
      <c r="Q31" s="226" t="s">
        <v>1131</v>
      </c>
      <c r="R31" s="6" t="b">
        <f t="shared" ca="1" si="6"/>
        <v>0</v>
      </c>
      <c r="S31" s="98"/>
    </row>
    <row r="32" spans="1:19" ht="24" customHeight="1" x14ac:dyDescent="0.25">
      <c r="A32" s="91" t="str">
        <f t="shared" si="7"/>
        <v>Purdue</v>
      </c>
      <c r="B32" s="91" t="str">
        <f t="shared" si="0"/>
        <v>High Point</v>
      </c>
      <c r="C32" s="91" t="str">
        <f t="shared" ca="1" si="1"/>
        <v>High Point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tr">
        <f>Teams!C56</f>
        <v>Purdue</v>
      </c>
      <c r="H32" s="178" t="s">
        <v>9</v>
      </c>
      <c r="I32" s="119" t="str">
        <f>Teams!C57</f>
        <v>High Point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f t="shared" ca="1" si="5"/>
        <v>101</v>
      </c>
      <c r="M32" s="83" t="e" vm="120">
        <f>_xlfn.XLOOKUP(I32,Teams!$C:$C,Teams!$E:$E,,0,1)</f>
        <v>#VALUE!</v>
      </c>
      <c r="N32" s="83">
        <f t="shared" ca="1" si="5"/>
        <v>98</v>
      </c>
      <c r="O32" s="192" t="str">
        <f t="shared" ca="1" si="3"/>
        <v>Purdue</v>
      </c>
      <c r="P32" s="207" t="e" vm="119">
        <f ca="1">_xlfn.XLOOKUP(O32,Teams!$C:$C,Teams!$E:$E,,0,1)</f>
        <v>#VALUE!</v>
      </c>
      <c r="Q32" s="226" t="s">
        <v>1131</v>
      </c>
      <c r="R32" s="6" t="b">
        <f t="shared" ca="1" si="6"/>
        <v>0</v>
      </c>
      <c r="S32" s="98"/>
    </row>
    <row r="33" spans="1:19" ht="24" customHeight="1" x14ac:dyDescent="0.25">
      <c r="A33" s="91" t="str">
        <f t="shared" si="7"/>
        <v>Illinois</v>
      </c>
      <c r="B33" s="91" t="str">
        <f t="shared" si="0"/>
        <v>Xavier</v>
      </c>
      <c r="C33" s="91" t="str">
        <f t="shared" ca="1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tr">
        <f>Teams!C58</f>
        <v>Illinois</v>
      </c>
      <c r="H33" s="178" t="s">
        <v>9</v>
      </c>
      <c r="I33" s="119" t="str">
        <f>Teams!C59</f>
        <v>Xavier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f t="shared" ca="1" si="5"/>
        <v>103</v>
      </c>
      <c r="M33" s="83" t="e" vm="122">
        <f>_xlfn.XLOOKUP(I33,Teams!$C:$C,Teams!$E:$E,,0,1)</f>
        <v>#VALUE!</v>
      </c>
      <c r="N33" s="83">
        <f t="shared" ca="1" si="5"/>
        <v>101</v>
      </c>
      <c r="O33" s="192" t="str">
        <f t="shared" ca="1" si="3"/>
        <v>Illinois</v>
      </c>
      <c r="P33" s="207" t="e" vm="121">
        <f ca="1">_xlfn.XLOOKUP(O33,Teams!$C:$C,Teams!$E:$E,,0,1)</f>
        <v>#VALUE!</v>
      </c>
      <c r="Q33" s="226" t="s">
        <v>1131</v>
      </c>
      <c r="R33" s="6" t="b">
        <f t="shared" ca="1" si="6"/>
        <v>0</v>
      </c>
      <c r="S33" s="98"/>
    </row>
    <row r="34" spans="1:19" ht="24" customHeight="1" x14ac:dyDescent="0.25">
      <c r="A34" s="91" t="str">
        <f t="shared" si="7"/>
        <v>Kentucky</v>
      </c>
      <c r="B34" s="91" t="str">
        <f t="shared" si="0"/>
        <v>Troy</v>
      </c>
      <c r="C34" s="91" t="str">
        <f t="shared" ca="1" si="1"/>
        <v>Troy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tr">
        <f>Teams!C60</f>
        <v>Kentucky</v>
      </c>
      <c r="H34" s="178" t="s">
        <v>9</v>
      </c>
      <c r="I34" s="119" t="str">
        <f>Teams!C61</f>
        <v>Troy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f t="shared" ca="1" si="5"/>
        <v>116</v>
      </c>
      <c r="M34" s="83" t="e" vm="124">
        <f>_xlfn.XLOOKUP(I34,Teams!$C:$C,Teams!$E:$E,,0,1)</f>
        <v>#VALUE!</v>
      </c>
      <c r="N34" s="83">
        <f t="shared" ca="1" si="5"/>
        <v>97</v>
      </c>
      <c r="O34" s="192" t="str">
        <f t="shared" ca="1" si="3"/>
        <v>Kentucky</v>
      </c>
      <c r="P34" s="207" t="e" vm="123">
        <f ca="1">_xlfn.XLOOKUP(O34,Teams!$C:$C,Teams!$E:$E,,0,1)</f>
        <v>#VALUE!</v>
      </c>
      <c r="Q34" s="226" t="s">
        <v>1131</v>
      </c>
      <c r="R34" s="6" t="b">
        <f t="shared" ca="1" si="6"/>
        <v>0</v>
      </c>
      <c r="S34" s="98"/>
    </row>
    <row r="35" spans="1:19" ht="24" customHeight="1" x14ac:dyDescent="0.25">
      <c r="A35" s="91" t="str">
        <f t="shared" si="7"/>
        <v>UCLA</v>
      </c>
      <c r="B35" s="91" t="str">
        <f t="shared" si="0"/>
        <v>Utah State</v>
      </c>
      <c r="C35" s="91" t="str">
        <f t="shared" ca="1" si="1"/>
        <v>Utah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tr">
        <f>Teams!C62</f>
        <v>UCLA</v>
      </c>
      <c r="H35" s="178" t="s">
        <v>9</v>
      </c>
      <c r="I35" s="119" t="str">
        <f>Teams!C63</f>
        <v>Utah State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f t="shared" ca="1" si="5"/>
        <v>97</v>
      </c>
      <c r="M35" s="83" t="e" vm="126">
        <f>_xlfn.XLOOKUP(I35,Teams!$C:$C,Teams!$E:$E,,0,1)</f>
        <v>#VALUE!</v>
      </c>
      <c r="N35" s="83">
        <f t="shared" ca="1" si="5"/>
        <v>93</v>
      </c>
      <c r="O35" s="192" t="str">
        <f t="shared" ca="1" si="3"/>
        <v>UCLA</v>
      </c>
      <c r="P35" s="207" t="e" vm="125">
        <f ca="1">_xlfn.XLOOKUP(O35,Teams!$C:$C,Teams!$E:$E,,0,1)</f>
        <v>#VALUE!</v>
      </c>
      <c r="Q35" s="226" t="s">
        <v>1131</v>
      </c>
      <c r="R35" s="6" t="b">
        <f t="shared" ca="1" si="6"/>
        <v>0</v>
      </c>
      <c r="S35" s="98"/>
    </row>
    <row r="36" spans="1:19" ht="24" customHeight="1" thickBot="1" x14ac:dyDescent="0.3">
      <c r="A36" s="91" t="str">
        <f t="shared" si="7"/>
        <v>Tennessee</v>
      </c>
      <c r="B36" s="91" t="str">
        <f t="shared" si="0"/>
        <v>Wofford</v>
      </c>
      <c r="C36" s="91" t="str">
        <f t="shared" ca="1" si="1"/>
        <v>Wofford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tr">
        <f>Teams!C64</f>
        <v>Tennessee</v>
      </c>
      <c r="H36" s="179" t="s">
        <v>9</v>
      </c>
      <c r="I36" s="124" t="str">
        <f>Teams!C65</f>
        <v>Wofford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f t="shared" ca="1" si="5"/>
        <v>118</v>
      </c>
      <c r="M36" s="126" t="e" vm="128">
        <f>_xlfn.XLOOKUP(I36,Teams!$C:$C,Teams!$E:$E,,0,1)</f>
        <v>#VALUE!</v>
      </c>
      <c r="N36" s="126">
        <f t="shared" ca="1" si="5"/>
        <v>90</v>
      </c>
      <c r="O36" s="193" t="str">
        <f t="shared" ca="1" si="3"/>
        <v>Tennessee</v>
      </c>
      <c r="P36" s="208" t="e" vm="127">
        <f ca="1">_xlfn.XLOOKUP(O36,Teams!$C:$C,Teams!$E:$E,,0,1)</f>
        <v>#VALUE!</v>
      </c>
      <c r="Q36" s="227" t="s">
        <v>1131</v>
      </c>
      <c r="R36" s="6" t="b">
        <f t="shared" ca="1" si="6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 ca="1">G38</f>
        <v>Auburn</v>
      </c>
      <c r="B38" s="91" t="str">
        <f ca="1">I38</f>
        <v>Louisville</v>
      </c>
      <c r="C38" s="91" t="str">
        <f t="shared" ref="C38:C53" ca="1" si="8">IF(O38="","",IF(A38=O38,B38,A38))</f>
        <v>Auburn</v>
      </c>
      <c r="D38" s="91" t="e">
        <f t="shared" ref="D38:D53" si="9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aca="1" ref="F38" ca="1">_xlfn.XLOOKUP(G38,Teams[[#All],[Team]],Teams[[#All],[Seed]],0,0,1)</f>
        <v>1</v>
      </c>
      <c r="G38" s="131" t="str">
        <f ca="1">O5</f>
        <v>Auburn</v>
      </c>
      <c r="H38" s="181" t="s">
        <v>9</v>
      </c>
      <c r="I38" s="132" t="str">
        <f ca="1">O6</f>
        <v>Louisville</v>
      </c>
      <c r="J38" s="133" cm="1">
        <f t="array" aca="1" ref="J38" ca="1">_xlfn.XLOOKUP(I38,Teams[[#All],[Team]],Teams[[#All],[Seed]],0,0,1)</f>
        <v>8</v>
      </c>
      <c r="K38" s="84" t="e" vm="65">
        <f ca="1">_xlfn.XLOOKUP(G38,Teams!$C:$C,Teams!$E:$E,,0,1)</f>
        <v>#VALUE!</v>
      </c>
      <c r="L38" s="84">
        <f t="shared" ref="L38:N72" ca="1" si="10">RANDBETWEEN(90,120)</f>
        <v>102</v>
      </c>
      <c r="M38" s="84" t="e" vm="67">
        <f ca="1">_xlfn.XLOOKUP(I38,Teams!$C:$C,Teams!$E:$E,,0,1)</f>
        <v>#VALUE!</v>
      </c>
      <c r="N38" s="84">
        <f t="shared" ca="1" si="10"/>
        <v>105</v>
      </c>
      <c r="O38" s="194" t="str">
        <f t="shared" ref="O38:O53" ca="1" si="11">IF(L38&gt;N38,G38,I38)</f>
        <v>Louisville</v>
      </c>
      <c r="P38" s="209" t="e" vm="67">
        <f ca="1">_xlfn.XLOOKUP(O38,Teams!$C:$C,Teams!$E:$E,,0,1)</f>
        <v>#VALUE!</v>
      </c>
      <c r="Q38" s="222" t="s">
        <v>1131</v>
      </c>
      <c r="R38" s="6" t="b">
        <f t="shared" ca="1" si="6"/>
        <v>1</v>
      </c>
      <c r="S38" s="98"/>
    </row>
    <row r="39" spans="1:19" ht="24" customHeight="1" x14ac:dyDescent="0.25">
      <c r="A39" s="91" t="str">
        <f t="shared" ref="A39:A53" ca="1" si="12">G39</f>
        <v>UC San Diego</v>
      </c>
      <c r="B39" s="91" t="str">
        <f t="shared" ref="B39:B53" ca="1" si="13">I39</f>
        <v>Yale</v>
      </c>
      <c r="C39" s="91" t="str">
        <f t="shared" ca="1" si="8"/>
        <v>UC San Diego</v>
      </c>
      <c r="D39" s="91" t="e">
        <f t="shared" si="9"/>
        <v>#REF!</v>
      </c>
      <c r="E39" s="99">
        <v>34</v>
      </c>
      <c r="F39" s="100" cm="1">
        <f t="array" aca="1" ref="F39" ca="1">_xlfn.XLOOKUP(G39,Teams[[#All],[Team]],Teams[[#All],[Seed]],0,0,1)</f>
        <v>12</v>
      </c>
      <c r="G39" s="101" t="str">
        <f ca="1">O7</f>
        <v>UC San Diego</v>
      </c>
      <c r="H39" s="176" t="s">
        <v>9</v>
      </c>
      <c r="I39" s="102" t="str">
        <f ca="1">O8</f>
        <v>Yale</v>
      </c>
      <c r="J39" s="103" cm="1">
        <f t="array" aca="1" ref="J39" ca="1">_xlfn.XLOOKUP(I39,Teams[[#All],[Team]],Teams[[#All],[Seed]],0,0,1)</f>
        <v>13</v>
      </c>
      <c r="K39" s="82" t="e" vm="70">
        <f ca="1">_xlfn.XLOOKUP(G39,Teams!$C:$C,Teams!$E:$E,,0,1)</f>
        <v>#VALUE!</v>
      </c>
      <c r="L39" s="82">
        <f t="shared" ca="1" si="10"/>
        <v>103</v>
      </c>
      <c r="M39" s="82" t="e" vm="72">
        <f ca="1">_xlfn.XLOOKUP(I39,Teams!$C:$C,Teams!$E:$E,,0,1)</f>
        <v>#VALUE!</v>
      </c>
      <c r="N39" s="82">
        <f t="shared" ca="1" si="10"/>
        <v>114</v>
      </c>
      <c r="O39" s="189" t="str">
        <f t="shared" ca="1" si="11"/>
        <v>Yale</v>
      </c>
      <c r="P39" s="204" t="e" vm="72">
        <f ca="1">_xlfn.XLOOKUP(O39,Teams!$C:$C,Teams!$E:$E,,0,1)</f>
        <v>#VALUE!</v>
      </c>
      <c r="Q39" s="223" t="s">
        <v>1131</v>
      </c>
      <c r="R39" s="6" t="b">
        <f t="shared" ca="1" si="6"/>
        <v>1</v>
      </c>
      <c r="S39" s="98"/>
    </row>
    <row r="40" spans="1:19" ht="24" customHeight="1" x14ac:dyDescent="0.25">
      <c r="A40" s="91" t="str">
        <f t="shared" ca="1" si="12"/>
        <v>North Carolina</v>
      </c>
      <c r="B40" s="91" t="str">
        <f t="shared" ca="1" si="13"/>
        <v>Lipscomb</v>
      </c>
      <c r="C40" s="91" t="str">
        <f t="shared" ca="1" si="8"/>
        <v>Lipscomb</v>
      </c>
      <c r="D40" s="91" t="e">
        <f t="shared" si="9"/>
        <v>#REF!</v>
      </c>
      <c r="E40" s="99">
        <v>35</v>
      </c>
      <c r="F40" s="100" cm="1">
        <f t="array" aca="1" ref="F40" ca="1">_xlfn.XLOOKUP(G40,Teams[[#All],[Team]],Teams[[#All],[Seed]],0,0,1)</f>
        <v>11</v>
      </c>
      <c r="G40" s="101" t="str">
        <f ca="1">O9</f>
        <v>North Carolina</v>
      </c>
      <c r="H40" s="176" t="s">
        <v>9</v>
      </c>
      <c r="I40" s="102" t="str">
        <f ca="1">O10</f>
        <v>Lipscomb</v>
      </c>
      <c r="J40" s="103" cm="1">
        <f t="array" aca="1" ref="J40" ca="1">_xlfn.XLOOKUP(I40,Teams[[#All],[Team]],Teams[[#All],[Seed]],0,0,1)</f>
        <v>14</v>
      </c>
      <c r="K40" s="82" t="e" vm="74">
        <f ca="1">_xlfn.XLOOKUP(G40,Teams!$C:$C,Teams!$E:$E,,0,1)</f>
        <v>#VALUE!</v>
      </c>
      <c r="L40" s="82">
        <f t="shared" ca="1" si="10"/>
        <v>106</v>
      </c>
      <c r="M40" s="82" t="e" vm="76">
        <f ca="1">_xlfn.XLOOKUP(I40,Teams!$C:$C,Teams!$E:$E,,0,1)</f>
        <v>#VALUE!</v>
      </c>
      <c r="N40" s="82">
        <f t="shared" ca="1" si="10"/>
        <v>97</v>
      </c>
      <c r="O40" s="189" t="str">
        <f t="shared" ca="1" si="11"/>
        <v>North Carolina</v>
      </c>
      <c r="P40" s="204" t="e" vm="74">
        <f ca="1">_xlfn.XLOOKUP(O40,Teams!$C:$C,Teams!$E:$E,,0,1)</f>
        <v>#VALUE!</v>
      </c>
      <c r="Q40" s="223" t="s">
        <v>1131</v>
      </c>
      <c r="R40" s="6" t="b">
        <f t="shared" ca="1" si="6"/>
        <v>0</v>
      </c>
      <c r="S40" s="98"/>
    </row>
    <row r="41" spans="1:19" ht="24" customHeight="1" thickBot="1" x14ac:dyDescent="0.3">
      <c r="A41" s="91" t="str">
        <f t="shared" ca="1" si="12"/>
        <v>Marquette</v>
      </c>
      <c r="B41" s="91" t="str">
        <f t="shared" ca="1" si="13"/>
        <v>Michigan State</v>
      </c>
      <c r="C41" s="91" t="str">
        <f t="shared" ca="1" si="8"/>
        <v>Marquette</v>
      </c>
      <c r="D41" s="91" t="e">
        <f t="shared" si="9"/>
        <v>#REF!</v>
      </c>
      <c r="E41" s="134">
        <v>36</v>
      </c>
      <c r="F41" s="135" cm="1">
        <f t="array" aca="1" ref="F41" ca="1">_xlfn.XLOOKUP(G41,Teams[[#All],[Team]],Teams[[#All],[Seed]],0,0,1)</f>
        <v>7</v>
      </c>
      <c r="G41" s="136" t="str">
        <f ca="1">O11</f>
        <v>Marquette</v>
      </c>
      <c r="H41" s="182" t="s">
        <v>9</v>
      </c>
      <c r="I41" s="137" t="str">
        <f ca="1">O12</f>
        <v>Michigan State</v>
      </c>
      <c r="J41" s="138" cm="1">
        <f t="array" aca="1" ref="J41" ca="1">_xlfn.XLOOKUP(I41,Teams[[#All],[Team]],Teams[[#All],[Seed]],0,0,1)</f>
        <v>2</v>
      </c>
      <c r="K41" s="139" t="e" vm="77">
        <f ca="1">_xlfn.XLOOKUP(G41,Teams!$C:$C,Teams!$E:$E,,0,1)</f>
        <v>#VALUE!</v>
      </c>
      <c r="L41" s="139">
        <f t="shared" ca="1" si="10"/>
        <v>102</v>
      </c>
      <c r="M41" s="139" t="e" vm="79">
        <f ca="1">_xlfn.XLOOKUP(I41,Teams!$C:$C,Teams!$E:$E,,0,1)</f>
        <v>#VALUE!</v>
      </c>
      <c r="N41" s="139">
        <f t="shared" ca="1" si="10"/>
        <v>105</v>
      </c>
      <c r="O41" s="195" t="str">
        <f t="shared" ca="1" si="11"/>
        <v>Michigan State</v>
      </c>
      <c r="P41" s="210" t="e" vm="79">
        <f ca="1">_xlfn.XLOOKUP(O41,Teams!$C:$C,Teams!$E:$E,,0,1)</f>
        <v>#VALUE!</v>
      </c>
      <c r="Q41" s="224" t="s">
        <v>1131</v>
      </c>
      <c r="R41" s="6" t="b">
        <f t="shared" ca="1" si="6"/>
        <v>0</v>
      </c>
      <c r="S41" s="98"/>
    </row>
    <row r="42" spans="1:19" ht="24" customHeight="1" x14ac:dyDescent="0.25">
      <c r="A42" s="91" t="str">
        <f t="shared" ca="1" si="12"/>
        <v>Norfolk State</v>
      </c>
      <c r="B42" s="91" t="str">
        <f t="shared" ca="1" si="13"/>
        <v>Connecticut</v>
      </c>
      <c r="C42" s="91" t="str">
        <f t="shared" ca="1" si="8"/>
        <v>Connecticut</v>
      </c>
      <c r="D42" s="91" t="e">
        <f t="shared" si="9"/>
        <v>#REF!</v>
      </c>
      <c r="E42" s="140">
        <v>37</v>
      </c>
      <c r="F42" s="141" cm="1">
        <f t="array" aca="1" ref="F42" ca="1">_xlfn.XLOOKUP(G42,Teams[[#All],[Team]],Teams[[#All],[Seed]],0,0,1)</f>
        <v>16</v>
      </c>
      <c r="G42" s="142" t="str">
        <f ca="1">O13</f>
        <v>Norfolk State</v>
      </c>
      <c r="H42" s="183" t="s">
        <v>9</v>
      </c>
      <c r="I42" s="143" t="str">
        <f ca="1">O14</f>
        <v>Connecticut</v>
      </c>
      <c r="J42" s="144" cm="1">
        <f t="array" aca="1" ref="J42" ca="1">_xlfn.XLOOKUP(I42,Teams[[#All],[Team]],Teams[[#All],[Seed]],0,0,1)</f>
        <v>8</v>
      </c>
      <c r="K42" s="145" t="e" vm="82">
        <f ca="1">_xlfn.XLOOKUP(G42,Teams!$C:$C,Teams!$E:$E,,0,1)</f>
        <v>#VALUE!</v>
      </c>
      <c r="L42" s="145">
        <f t="shared" ca="1" si="10"/>
        <v>119</v>
      </c>
      <c r="M42" s="145" t="e" vm="83">
        <f ca="1">_xlfn.XLOOKUP(I42,Teams!$C:$C,Teams!$E:$E,,0,1)</f>
        <v>#VALUE!</v>
      </c>
      <c r="N42" s="145">
        <f t="shared" ca="1" si="10"/>
        <v>93</v>
      </c>
      <c r="O42" s="196" t="str">
        <f t="shared" ca="1" si="11"/>
        <v>Norfolk State</v>
      </c>
      <c r="P42" s="211" t="e" vm="82">
        <f ca="1">_xlfn.XLOOKUP(O42,Teams!$C:$C,Teams!$E:$E,,0,1)</f>
        <v>#VALUE!</v>
      </c>
      <c r="Q42" s="225" t="s">
        <v>1131</v>
      </c>
      <c r="R42" s="6" t="b">
        <f t="shared" ca="1" si="6"/>
        <v>1</v>
      </c>
      <c r="S42" s="98"/>
    </row>
    <row r="43" spans="1:19" ht="24" customHeight="1" x14ac:dyDescent="0.25">
      <c r="A43" s="91" t="str">
        <f t="shared" ca="1" si="12"/>
        <v>Colorado State</v>
      </c>
      <c r="B43" s="91" t="str">
        <f t="shared" ca="1" si="13"/>
        <v>Maryland</v>
      </c>
      <c r="C43" s="91" t="str">
        <f t="shared" ca="1" si="8"/>
        <v>Maryland</v>
      </c>
      <c r="D43" s="91" t="e">
        <f t="shared" si="9"/>
        <v>#REF!</v>
      </c>
      <c r="E43" s="116">
        <v>38</v>
      </c>
      <c r="F43" s="117" cm="1">
        <f t="array" aca="1" ref="F43" ca="1">_xlfn.XLOOKUP(G43,Teams[[#All],[Team]],Teams[[#All],[Seed]],0,0,1)</f>
        <v>12</v>
      </c>
      <c r="G43" s="118" t="str">
        <f ca="1">O15</f>
        <v>Colorado State</v>
      </c>
      <c r="H43" s="178" t="s">
        <v>9</v>
      </c>
      <c r="I43" s="119" t="str">
        <f ca="1">O16</f>
        <v>Maryland</v>
      </c>
      <c r="J43" s="120" cm="1">
        <f t="array" aca="1" ref="J43" ca="1">_xlfn.XLOOKUP(I43,Teams[[#All],[Team]],Teams[[#All],[Seed]],0,0,1)</f>
        <v>4</v>
      </c>
      <c r="K43" s="83" t="e" vm="86">
        <f ca="1">_xlfn.XLOOKUP(G43,Teams!$C:$C,Teams!$E:$E,,0,1)</f>
        <v>#VALUE!</v>
      </c>
      <c r="L43" s="83">
        <f t="shared" ca="1" si="10"/>
        <v>115</v>
      </c>
      <c r="M43" s="83" t="e" vm="87">
        <f ca="1">_xlfn.XLOOKUP(I43,Teams!$C:$C,Teams!$E:$E,,0,1)</f>
        <v>#VALUE!</v>
      </c>
      <c r="N43" s="83">
        <f t="shared" ca="1" si="10"/>
        <v>94</v>
      </c>
      <c r="O43" s="192" t="str">
        <f t="shared" ca="1" si="11"/>
        <v>Colorado State</v>
      </c>
      <c r="P43" s="207" t="e" vm="86">
        <f ca="1">_xlfn.XLOOKUP(O43,Teams!$C:$C,Teams!$E:$E,,0,1)</f>
        <v>#VALUE!</v>
      </c>
      <c r="Q43" s="226" t="s">
        <v>1131</v>
      </c>
      <c r="R43" s="6" t="b">
        <f t="shared" ca="1" si="6"/>
        <v>1</v>
      </c>
      <c r="S43" s="98"/>
    </row>
    <row r="44" spans="1:19" ht="24" customHeight="1" x14ac:dyDescent="0.25">
      <c r="A44" s="91" t="str">
        <f t="shared" ca="1" si="12"/>
        <v>Missouri</v>
      </c>
      <c r="B44" s="91" t="str">
        <f t="shared" ca="1" si="13"/>
        <v>UNC Wilmington</v>
      </c>
      <c r="C44" s="91" t="str">
        <f t="shared" ca="1" si="8"/>
        <v>Missouri</v>
      </c>
      <c r="D44" s="91" t="e">
        <f t="shared" si="9"/>
        <v>#REF!</v>
      </c>
      <c r="E44" s="116">
        <v>39</v>
      </c>
      <c r="F44" s="117" cm="1">
        <f t="array" aca="1" ref="F44" ca="1">_xlfn.XLOOKUP(G44,Teams[[#All],[Team]],Teams[[#All],[Seed]],0,0,1)</f>
        <v>6</v>
      </c>
      <c r="G44" s="118" t="str">
        <f ca="1">O17</f>
        <v>Missouri</v>
      </c>
      <c r="H44" s="178" t="s">
        <v>9</v>
      </c>
      <c r="I44" s="119" t="str">
        <f ca="1">O18</f>
        <v>UNC Wilmington</v>
      </c>
      <c r="J44" s="120" cm="1">
        <f t="array" aca="1" ref="J44" ca="1">_xlfn.XLOOKUP(I44,Teams[[#All],[Team]],Teams[[#All],[Seed]],0,0,1)</f>
        <v>14</v>
      </c>
      <c r="K44" s="83" t="e" vm="89">
        <f ca="1">_xlfn.XLOOKUP(G44,Teams!$C:$C,Teams!$E:$E,,0,1)</f>
        <v>#VALUE!</v>
      </c>
      <c r="L44" s="83">
        <f t="shared" ca="1" si="10"/>
        <v>101</v>
      </c>
      <c r="M44" s="83" t="e" vm="92">
        <f ca="1">_xlfn.XLOOKUP(I44,Teams!$C:$C,Teams!$E:$E,,0,1)</f>
        <v>#VALUE!</v>
      </c>
      <c r="N44" s="83">
        <f t="shared" ca="1" si="10"/>
        <v>111</v>
      </c>
      <c r="O44" s="192" t="str">
        <f t="shared" ca="1" si="11"/>
        <v>UNC Wilmington</v>
      </c>
      <c r="P44" s="207" t="e" vm="92">
        <f ca="1">_xlfn.XLOOKUP(O44,Teams!$C:$C,Teams!$E:$E,,0,1)</f>
        <v>#VALUE!</v>
      </c>
      <c r="Q44" s="226" t="s">
        <v>1131</v>
      </c>
      <c r="R44" s="6" t="b">
        <f t="shared" ca="1" si="6"/>
        <v>1</v>
      </c>
      <c r="S44" s="98"/>
    </row>
    <row r="45" spans="1:19" ht="24" customHeight="1" thickBot="1" x14ac:dyDescent="0.3">
      <c r="A45" s="91" t="str">
        <f t="shared" ca="1" si="12"/>
        <v>Arkansas</v>
      </c>
      <c r="B45" s="91" t="str">
        <f t="shared" ca="1" si="13"/>
        <v>St. John's (NY)</v>
      </c>
      <c r="C45" s="91" t="str">
        <f t="shared" ca="1" si="8"/>
        <v>Arkansas</v>
      </c>
      <c r="D45" s="91" t="e">
        <f t="shared" si="9"/>
        <v>#REF!</v>
      </c>
      <c r="E45" s="146">
        <v>40</v>
      </c>
      <c r="F45" s="147" cm="1">
        <f t="array" aca="1" ref="F45" ca="1">_xlfn.XLOOKUP(G45,Teams[[#All],[Team]],Teams[[#All],[Seed]],0,0,1)</f>
        <v>10</v>
      </c>
      <c r="G45" s="148" t="str">
        <f ca="1">O19</f>
        <v>Arkansas</v>
      </c>
      <c r="H45" s="184" t="s">
        <v>9</v>
      </c>
      <c r="I45" s="149" t="str">
        <f ca="1">O20</f>
        <v>St. John's (NY)</v>
      </c>
      <c r="J45" s="150" cm="1">
        <f t="array" aca="1" ref="J45" ca="1">_xlfn.XLOOKUP(I45,Teams[[#All],[Team]],Teams[[#All],[Seed]],0,0,1)</f>
        <v>2</v>
      </c>
      <c r="K45" s="151" t="e" vm="94">
        <f ca="1">_xlfn.XLOOKUP(G45,Teams!$C:$C,Teams!$E:$E,,0,1)</f>
        <v>#VALUE!</v>
      </c>
      <c r="L45" s="151">
        <f t="shared" ca="1" si="10"/>
        <v>90</v>
      </c>
      <c r="M45" s="151" t="e" vm="95">
        <f ca="1">_xlfn.XLOOKUP(I45,Teams!$C:$C,Teams!$E:$E,,0,1)</f>
        <v>#VALUE!</v>
      </c>
      <c r="N45" s="151">
        <f t="shared" ca="1" si="10"/>
        <v>90</v>
      </c>
      <c r="O45" s="197" t="str">
        <f t="shared" ca="1" si="11"/>
        <v>St. John's (NY)</v>
      </c>
      <c r="P45" s="212" t="e" vm="95">
        <f ca="1">_xlfn.XLOOKUP(O45,Teams!$C:$C,Teams!$E:$E,,0,1)</f>
        <v>#VALUE!</v>
      </c>
      <c r="Q45" s="227" t="s">
        <v>1131</v>
      </c>
      <c r="R45" s="6" t="b">
        <f t="shared" ca="1" si="6"/>
        <v>0</v>
      </c>
      <c r="S45" s="98"/>
    </row>
    <row r="46" spans="1:19" ht="24" customHeight="1" x14ac:dyDescent="0.25">
      <c r="A46" s="152" t="str">
        <f t="shared" ca="1" si="12"/>
        <v>Mount St. Mary's</v>
      </c>
      <c r="B46" s="152" t="str">
        <f t="shared" ca="1" si="13"/>
        <v>Baylor</v>
      </c>
      <c r="C46" s="152" t="str">
        <f t="shared" ca="1" si="8"/>
        <v>Mount St. Mary's</v>
      </c>
      <c r="D46" s="152" t="e">
        <f t="shared" si="9"/>
        <v>#REF!</v>
      </c>
      <c r="E46" s="129">
        <v>41</v>
      </c>
      <c r="F46" s="130" cm="1">
        <f t="array" aca="1" ref="F46" ca="1">_xlfn.XLOOKUP(G46,Teams[[#All],[Team]],Teams[[#All],[Seed]],0,0,1)</f>
        <v>16</v>
      </c>
      <c r="G46" s="131" t="str">
        <f ca="1">O21</f>
        <v>Mount St. Mary's</v>
      </c>
      <c r="H46" s="181" t="s">
        <v>9</v>
      </c>
      <c r="I46" s="132" t="str">
        <f ca="1">O22</f>
        <v>Baylor</v>
      </c>
      <c r="J46" s="133" cm="1">
        <f t="array" aca="1" ref="J46" ca="1">_xlfn.XLOOKUP(I46,Teams[[#All],[Team]],Teams[[#All],[Seed]],0,0,1)</f>
        <v>9</v>
      </c>
      <c r="K46" s="84" t="e" vm="98">
        <f ca="1">_xlfn.XLOOKUP(G46,Teams!$C:$C,Teams!$E:$E,,0,1)</f>
        <v>#VALUE!</v>
      </c>
      <c r="L46" s="84">
        <f t="shared" ca="1" si="10"/>
        <v>99</v>
      </c>
      <c r="M46" s="84" t="e" vm="100">
        <f ca="1">_xlfn.XLOOKUP(I46,Teams!$C:$C,Teams!$E:$E,,0,1)</f>
        <v>#VALUE!</v>
      </c>
      <c r="N46" s="84">
        <f t="shared" ca="1" si="10"/>
        <v>105</v>
      </c>
      <c r="O46" s="194" t="str">
        <f t="shared" ca="1" si="11"/>
        <v>Baylor</v>
      </c>
      <c r="P46" s="209" t="e" vm="100">
        <f ca="1">_xlfn.XLOOKUP(O46,Teams!$C:$C,Teams!$E:$E,,0,1)</f>
        <v>#VALUE!</v>
      </c>
      <c r="Q46" s="228" t="s">
        <v>1131</v>
      </c>
      <c r="R46" s="6" t="b">
        <f t="shared" ca="1" si="6"/>
        <v>0</v>
      </c>
      <c r="S46" s="98"/>
    </row>
    <row r="47" spans="1:19" ht="24" customHeight="1" x14ac:dyDescent="0.25">
      <c r="A47" s="152" t="str">
        <f t="shared" ca="1" si="12"/>
        <v>Liberty</v>
      </c>
      <c r="B47" s="152" t="str">
        <f t="shared" ca="1" si="13"/>
        <v>Arizona</v>
      </c>
      <c r="C47" s="152" t="str">
        <f t="shared" ca="1" si="8"/>
        <v>Arizona</v>
      </c>
      <c r="D47" s="152" t="e">
        <f t="shared" si="9"/>
        <v>#REF!</v>
      </c>
      <c r="E47" s="99">
        <v>42</v>
      </c>
      <c r="F47" s="100" cm="1">
        <f t="array" aca="1" ref="F47" ca="1">_xlfn.XLOOKUP(G47,Teams[[#All],[Team]],Teams[[#All],[Seed]],0,0,1)</f>
        <v>12</v>
      </c>
      <c r="G47" s="101" t="str">
        <f ca="1">O23</f>
        <v>Liberty</v>
      </c>
      <c r="H47" s="176" t="s">
        <v>9</v>
      </c>
      <c r="I47" s="102" t="str">
        <f ca="1">O24</f>
        <v>Arizona</v>
      </c>
      <c r="J47" s="103" cm="1">
        <f t="array" aca="1" ref="J47" ca="1">_xlfn.XLOOKUP(I47,Teams[[#All],[Team]],Teams[[#All],[Seed]],0,0,1)</f>
        <v>4</v>
      </c>
      <c r="K47" s="82" t="e" vm="102">
        <f ca="1">_xlfn.XLOOKUP(G47,Teams!$C:$C,Teams!$E:$E,,0,1)</f>
        <v>#VALUE!</v>
      </c>
      <c r="L47" s="82">
        <f t="shared" ca="1" si="10"/>
        <v>108</v>
      </c>
      <c r="M47" s="82" t="e" vm="103">
        <f ca="1">_xlfn.XLOOKUP(I47,Teams!$C:$C,Teams!$E:$E,,0,1)</f>
        <v>#VALUE!</v>
      </c>
      <c r="N47" s="82">
        <f t="shared" ca="1" si="10"/>
        <v>91</v>
      </c>
      <c r="O47" s="189" t="str">
        <f t="shared" ca="1" si="11"/>
        <v>Liberty</v>
      </c>
      <c r="P47" s="204" t="e" vm="102">
        <f ca="1">_xlfn.XLOOKUP(O47,Teams!$C:$C,Teams!$E:$E,,0,1)</f>
        <v>#VALUE!</v>
      </c>
      <c r="Q47" s="223" t="s">
        <v>1131</v>
      </c>
      <c r="R47" s="6" t="b">
        <f t="shared" ca="1" si="6"/>
        <v>1</v>
      </c>
      <c r="S47" s="98"/>
    </row>
    <row r="48" spans="1:19" ht="24" customHeight="1" x14ac:dyDescent="0.25">
      <c r="A48" s="152" t="str">
        <f t="shared" ca="1" si="12"/>
        <v>Brigham Young</v>
      </c>
      <c r="B48" s="152" t="str">
        <f t="shared" ca="1" si="13"/>
        <v>Montana</v>
      </c>
      <c r="C48" s="152" t="str">
        <f t="shared" ca="1" si="8"/>
        <v>Montana</v>
      </c>
      <c r="D48" s="152" t="e">
        <f t="shared" si="9"/>
        <v>#REF!</v>
      </c>
      <c r="E48" s="99">
        <v>43</v>
      </c>
      <c r="F48" s="100" cm="1">
        <f t="array" aca="1" ref="F48" ca="1">_xlfn.XLOOKUP(G48,Teams[[#All],[Team]],Teams[[#All],[Seed]],0,0,1)</f>
        <v>6</v>
      </c>
      <c r="G48" s="101" t="str">
        <f ca="1">O25</f>
        <v>Brigham Young</v>
      </c>
      <c r="H48" s="176" t="s">
        <v>9</v>
      </c>
      <c r="I48" s="102" t="str">
        <f ca="1">O26</f>
        <v>Montana</v>
      </c>
      <c r="J48" s="103" cm="1">
        <f t="array" aca="1" ref="J48" ca="1">_xlfn.XLOOKUP(I48,Teams[[#All],[Team]],Teams[[#All],[Seed]],0,0,1)</f>
        <v>14</v>
      </c>
      <c r="K48" s="82" t="e" vm="105">
        <f ca="1">_xlfn.XLOOKUP(G48,Teams!$C:$C,Teams!$E:$E,,0,1)</f>
        <v>#VALUE!</v>
      </c>
      <c r="L48" s="82">
        <f t="shared" ca="1" si="10"/>
        <v>107</v>
      </c>
      <c r="M48" s="82" t="e" vm="108">
        <f ca="1">_xlfn.XLOOKUP(I48,Teams!$C:$C,Teams!$E:$E,,0,1)</f>
        <v>#VALUE!</v>
      </c>
      <c r="N48" s="82">
        <f t="shared" ca="1" si="10"/>
        <v>102</v>
      </c>
      <c r="O48" s="189" t="str">
        <f t="shared" ca="1" si="11"/>
        <v>Brigham Young</v>
      </c>
      <c r="P48" s="204" t="e" vm="105">
        <f ca="1">_xlfn.XLOOKUP(O48,Teams!$C:$C,Teams!$E:$E,,0,1)</f>
        <v>#VALUE!</v>
      </c>
      <c r="Q48" s="223" t="s">
        <v>1131</v>
      </c>
      <c r="R48" s="6" t="b">
        <f t="shared" ca="1" si="6"/>
        <v>0</v>
      </c>
      <c r="S48" s="98"/>
    </row>
    <row r="49" spans="1:19" ht="24" customHeight="1" thickBot="1" x14ac:dyDescent="0.3">
      <c r="A49" s="152" t="str">
        <f t="shared" ca="1" si="12"/>
        <v>Saint Mary's (CA)</v>
      </c>
      <c r="B49" s="152" t="str">
        <f t="shared" ca="1" si="13"/>
        <v>Alabama</v>
      </c>
      <c r="C49" s="152" t="str">
        <f t="shared" ca="1" si="8"/>
        <v>Alabama</v>
      </c>
      <c r="D49" s="152" t="e">
        <f t="shared" si="9"/>
        <v>#REF!</v>
      </c>
      <c r="E49" s="134">
        <v>44</v>
      </c>
      <c r="F49" s="135" cm="1">
        <f t="array" aca="1" ref="F49" ca="1">_xlfn.XLOOKUP(G49,Teams[[#All],[Team]],Teams[[#All],[Seed]],0,0,1)</f>
        <v>7</v>
      </c>
      <c r="G49" s="136" t="str">
        <f ca="1">O27</f>
        <v>Saint Mary's (CA)</v>
      </c>
      <c r="H49" s="182" t="s">
        <v>9</v>
      </c>
      <c r="I49" s="137" t="str">
        <f ca="1">O28</f>
        <v>Alabama</v>
      </c>
      <c r="J49" s="138" cm="1">
        <f t="array" aca="1" ref="J49" ca="1">_xlfn.XLOOKUP(I49,Teams[[#All],[Team]],Teams[[#All],[Seed]],0,0,1)</f>
        <v>2</v>
      </c>
      <c r="K49" s="139" t="e" vm="109">
        <f ca="1">_xlfn.XLOOKUP(G49,Teams!$C:$C,Teams!$E:$E,,0,1)</f>
        <v>#VALUE!</v>
      </c>
      <c r="L49" s="139">
        <f t="shared" ca="1" si="10"/>
        <v>96</v>
      </c>
      <c r="M49" s="139" t="e" vm="111">
        <f ca="1">_xlfn.XLOOKUP(I49,Teams!$C:$C,Teams!$E:$E,,0,1)</f>
        <v>#VALUE!</v>
      </c>
      <c r="N49" s="139">
        <f t="shared" ca="1" si="10"/>
        <v>93</v>
      </c>
      <c r="O49" s="195" t="str">
        <f t="shared" ca="1" si="11"/>
        <v>Saint Mary's (CA)</v>
      </c>
      <c r="P49" s="210" t="e" vm="109">
        <f ca="1">_xlfn.XLOOKUP(O49,Teams!$C:$C,Teams!$E:$E,,0,1)</f>
        <v>#VALUE!</v>
      </c>
      <c r="Q49" s="224" t="s">
        <v>1131</v>
      </c>
      <c r="R49" s="6" t="b">
        <f t="shared" ca="1" si="6"/>
        <v>1</v>
      </c>
      <c r="S49" s="98"/>
    </row>
    <row r="50" spans="1:19" ht="24" customHeight="1" x14ac:dyDescent="0.25">
      <c r="A50" s="91" t="str">
        <f t="shared" ca="1" si="12"/>
        <v>Houston</v>
      </c>
      <c r="B50" s="91" t="str">
        <f t="shared" ca="1" si="13"/>
        <v>Georgia</v>
      </c>
      <c r="C50" s="91" t="str">
        <f t="shared" ca="1" si="8"/>
        <v>Houston</v>
      </c>
      <c r="D50" s="91" t="e">
        <f t="shared" si="9"/>
        <v>#REF!</v>
      </c>
      <c r="E50" s="140">
        <v>45</v>
      </c>
      <c r="F50" s="141" cm="1">
        <f t="array" aca="1" ref="F50" ca="1">_xlfn.XLOOKUP(G50,Teams[[#All],[Team]],Teams[[#All],[Seed]],0,0,1)</f>
        <v>1</v>
      </c>
      <c r="G50" s="142" t="str">
        <f ca="1">O29</f>
        <v>Houston</v>
      </c>
      <c r="H50" s="183" t="s">
        <v>9</v>
      </c>
      <c r="I50" s="143" t="str">
        <f ca="1">O30</f>
        <v>Georgia</v>
      </c>
      <c r="J50" s="144" cm="1">
        <f t="array" aca="1" ref="J50" ca="1">_xlfn.XLOOKUP(I50,Teams[[#All],[Team]],Teams[[#All],[Seed]],0,0,1)</f>
        <v>9</v>
      </c>
      <c r="K50" s="145" t="e" vm="113">
        <f ca="1">_xlfn.XLOOKUP(G50,Teams!$C:$C,Teams!$E:$E,,0,1)</f>
        <v>#VALUE!</v>
      </c>
      <c r="L50" s="145">
        <f t="shared" ca="1" si="10"/>
        <v>94</v>
      </c>
      <c r="M50" s="145" t="e" vm="116">
        <f ca="1">_xlfn.XLOOKUP(I50,Teams!$C:$C,Teams!$E:$E,,0,1)</f>
        <v>#VALUE!</v>
      </c>
      <c r="N50" s="145">
        <f t="shared" ca="1" si="10"/>
        <v>97</v>
      </c>
      <c r="O50" s="196" t="str">
        <f t="shared" ca="1" si="11"/>
        <v>Georgia</v>
      </c>
      <c r="P50" s="211" t="e" vm="116">
        <f ca="1">_xlfn.XLOOKUP(O50,Teams!$C:$C,Teams!$E:$E,,0,1)</f>
        <v>#VALUE!</v>
      </c>
      <c r="Q50" s="225" t="s">
        <v>1131</v>
      </c>
      <c r="R50" s="6" t="b">
        <f t="shared" ca="1" si="6"/>
        <v>1</v>
      </c>
      <c r="S50" s="98"/>
    </row>
    <row r="51" spans="1:19" ht="24" customHeight="1" x14ac:dyDescent="0.25">
      <c r="A51" s="91" t="str">
        <f t="shared" ca="1" si="12"/>
        <v>Clemson</v>
      </c>
      <c r="B51" s="91" t="str">
        <f t="shared" ca="1" si="13"/>
        <v>Purdue</v>
      </c>
      <c r="C51" s="91" t="str">
        <f t="shared" ca="1" si="8"/>
        <v>Clemson</v>
      </c>
      <c r="D51" s="91" t="e">
        <f t="shared" si="9"/>
        <v>#REF!</v>
      </c>
      <c r="E51" s="116">
        <v>46</v>
      </c>
      <c r="F51" s="117" cm="1">
        <f t="array" aca="1" ref="F51" ca="1">_xlfn.XLOOKUP(G51,Teams[[#All],[Team]],Teams[[#All],[Seed]],0,0,1)</f>
        <v>5</v>
      </c>
      <c r="G51" s="118" t="str">
        <f ca="1">O31</f>
        <v>Clemson</v>
      </c>
      <c r="H51" s="178" t="s">
        <v>9</v>
      </c>
      <c r="I51" s="119" t="str">
        <f ca="1">O32</f>
        <v>Purdue</v>
      </c>
      <c r="J51" s="120" cm="1">
        <f t="array" aca="1" ref="J51" ca="1">_xlfn.XLOOKUP(I51,Teams[[#All],[Team]],Teams[[#All],[Seed]],0,0,1)</f>
        <v>4</v>
      </c>
      <c r="K51" s="83" t="e" vm="117">
        <f ca="1">_xlfn.XLOOKUP(G51,Teams!$C:$C,Teams!$E:$E,,0,1)</f>
        <v>#VALUE!</v>
      </c>
      <c r="L51" s="83">
        <f t="shared" ca="1" si="10"/>
        <v>105</v>
      </c>
      <c r="M51" s="83" t="e" vm="119">
        <f ca="1">_xlfn.XLOOKUP(I51,Teams!$C:$C,Teams!$E:$E,,0,1)</f>
        <v>#VALUE!</v>
      </c>
      <c r="N51" s="83">
        <f t="shared" ca="1" si="10"/>
        <v>115</v>
      </c>
      <c r="O51" s="192" t="str">
        <f t="shared" ca="1" si="11"/>
        <v>Purdue</v>
      </c>
      <c r="P51" s="207" t="e" vm="119">
        <f ca="1">_xlfn.XLOOKUP(O51,Teams!$C:$C,Teams!$E:$E,,0,1)</f>
        <v>#VALUE!</v>
      </c>
      <c r="Q51" s="226" t="s">
        <v>1131</v>
      </c>
      <c r="R51" s="6" t="b">
        <f t="shared" ca="1" si="6"/>
        <v>0</v>
      </c>
      <c r="S51" s="98"/>
    </row>
    <row r="52" spans="1:19" ht="24" customHeight="1" x14ac:dyDescent="0.25">
      <c r="A52" s="91" t="str">
        <f t="shared" ca="1" si="12"/>
        <v>Illinois</v>
      </c>
      <c r="B52" s="91" t="str">
        <f t="shared" ca="1" si="13"/>
        <v>Kentucky</v>
      </c>
      <c r="C52" s="91" t="str">
        <f t="shared" ca="1" si="8"/>
        <v>Illinois</v>
      </c>
      <c r="D52" s="91" t="e">
        <f t="shared" si="9"/>
        <v>#REF!</v>
      </c>
      <c r="E52" s="116">
        <v>47</v>
      </c>
      <c r="F52" s="117" cm="1">
        <f t="array" aca="1" ref="F52" ca="1">_xlfn.XLOOKUP(G52,Teams[[#All],[Team]],Teams[[#All],[Seed]],0,0,1)</f>
        <v>6</v>
      </c>
      <c r="G52" s="118" t="str">
        <f ca="1">O33</f>
        <v>Illinois</v>
      </c>
      <c r="H52" s="178" t="s">
        <v>9</v>
      </c>
      <c r="I52" s="119" t="str">
        <f ca="1">O34</f>
        <v>Kentucky</v>
      </c>
      <c r="J52" s="120" cm="1">
        <f t="array" aca="1" ref="J52" ca="1">_xlfn.XLOOKUP(I52,Teams[[#All],[Team]],Teams[[#All],[Seed]],0,0,1)</f>
        <v>3</v>
      </c>
      <c r="K52" s="83" t="e" vm="121">
        <f ca="1">_xlfn.XLOOKUP(G52,Teams!$C:$C,Teams!$E:$E,,0,1)</f>
        <v>#VALUE!</v>
      </c>
      <c r="L52" s="83">
        <f t="shared" ca="1" si="10"/>
        <v>92</v>
      </c>
      <c r="M52" s="83" t="e" vm="123">
        <f ca="1">_xlfn.XLOOKUP(I52,Teams!$C:$C,Teams!$E:$E,,0,1)</f>
        <v>#VALUE!</v>
      </c>
      <c r="N52" s="83">
        <f t="shared" ca="1" si="10"/>
        <v>96</v>
      </c>
      <c r="O52" s="192" t="str">
        <f t="shared" ca="1" si="11"/>
        <v>Kentucky</v>
      </c>
      <c r="P52" s="207" t="e" vm="123">
        <f ca="1">_xlfn.XLOOKUP(O52,Teams!$C:$C,Teams!$E:$E,,0,1)</f>
        <v>#VALUE!</v>
      </c>
      <c r="Q52" s="226" t="s">
        <v>1131</v>
      </c>
      <c r="R52" s="6" t="b">
        <f t="shared" ca="1" si="6"/>
        <v>0</v>
      </c>
      <c r="S52" s="98"/>
    </row>
    <row r="53" spans="1:19" ht="24" customHeight="1" thickBot="1" x14ac:dyDescent="0.3">
      <c r="A53" s="91" t="str">
        <f t="shared" ca="1" si="12"/>
        <v>UCLA</v>
      </c>
      <c r="B53" s="91" t="str">
        <f t="shared" ca="1" si="13"/>
        <v>Tennessee</v>
      </c>
      <c r="C53" s="91" t="str">
        <f t="shared" ca="1" si="8"/>
        <v>UCLA</v>
      </c>
      <c r="D53" s="91" t="e">
        <f t="shared" si="9"/>
        <v>#REF!</v>
      </c>
      <c r="E53" s="146">
        <v>48</v>
      </c>
      <c r="F53" s="147" cm="1">
        <f t="array" aca="1" ref="F53" ca="1">_xlfn.XLOOKUP(G53,Teams[[#All],[Team]],Teams[[#All],[Seed]],0,0,1)</f>
        <v>7</v>
      </c>
      <c r="G53" s="148" t="str">
        <f ca="1">O35</f>
        <v>UCLA</v>
      </c>
      <c r="H53" s="184" t="s">
        <v>9</v>
      </c>
      <c r="I53" s="149" t="str">
        <f ca="1">O36</f>
        <v>Tennessee</v>
      </c>
      <c r="J53" s="150" cm="1">
        <f t="array" aca="1" ref="J53" ca="1">_xlfn.XLOOKUP(I53,Teams[[#All],[Team]],Teams[[#All],[Seed]],0,0,1)</f>
        <v>2</v>
      </c>
      <c r="K53" s="151" t="e" vm="125">
        <f ca="1">_xlfn.XLOOKUP(G53,Teams!$C:$C,Teams!$E:$E,,0,1)</f>
        <v>#VALUE!</v>
      </c>
      <c r="L53" s="151">
        <f t="shared" ca="1" si="10"/>
        <v>117</v>
      </c>
      <c r="M53" s="151" t="e" vm="127">
        <f ca="1">_xlfn.XLOOKUP(I53,Teams!$C:$C,Teams!$E:$E,,0,1)</f>
        <v>#VALUE!</v>
      </c>
      <c r="N53" s="151">
        <f t="shared" ca="1" si="10"/>
        <v>117</v>
      </c>
      <c r="O53" s="197" t="str">
        <f t="shared" ca="1" si="11"/>
        <v>Tennessee</v>
      </c>
      <c r="P53" s="212" t="e" vm="127">
        <f ca="1">_xlfn.XLOOKUP(O53,Teams!$C:$C,Teams!$E:$E,,0,1)</f>
        <v>#VALUE!</v>
      </c>
      <c r="Q53" s="227" t="s">
        <v>1131</v>
      </c>
      <c r="R53" s="6" t="b">
        <f t="shared" ca="1" si="6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 ca="1">G55</f>
        <v>Louisville</v>
      </c>
      <c r="B55" s="91" t="str">
        <f ca="1">I55</f>
        <v>Yale</v>
      </c>
      <c r="C55" s="91" t="str">
        <f t="shared" ref="C55:C62" ca="1" si="14">IF(O55="","",IF(A55=O55,B55,A55))</f>
        <v>Louisville</v>
      </c>
      <c r="D55" s="91" t="e">
        <f t="shared" ref="D55:D62" si="15">IF(SeedType=1,0,IF(SeedType=2,VLOOKUP(O55,SeedInfo,2,FALSE)*3,MAX(VLOOKUP(O55,SeedInfo,2,FALSE)-VLOOKUP(C55,SeedInfo,2,FALSE),0)))</f>
        <v>#REF!</v>
      </c>
      <c r="E55" s="92">
        <v>49</v>
      </c>
      <c r="F55" s="93" cm="1">
        <f t="array" aca="1" ref="F55" ca="1">_xlfn.XLOOKUP(G55,Teams[[#All],[Team]],Teams[[#All],[Seed]],0,0,1)</f>
        <v>8</v>
      </c>
      <c r="G55" s="94" t="str">
        <f ca="1">O38</f>
        <v>Louisville</v>
      </c>
      <c r="H55" s="175" t="s">
        <v>9</v>
      </c>
      <c r="I55" s="95" t="str">
        <f ca="1">O39</f>
        <v>Yale</v>
      </c>
      <c r="J55" s="96" cm="1">
        <f t="array" aca="1" ref="J55" ca="1">_xlfn.XLOOKUP(I55,Teams[[#All],[Team]],Teams[[#All],[Seed]],0,0,1)</f>
        <v>13</v>
      </c>
      <c r="K55" s="97" t="e" vm="67">
        <f ca="1">_xlfn.XLOOKUP(G55,Teams!$C:$C,Teams!$E:$E,,0,1)</f>
        <v>#VALUE!</v>
      </c>
      <c r="L55" s="97">
        <f t="shared" ca="1" si="10"/>
        <v>109</v>
      </c>
      <c r="M55" s="97" t="e" vm="72">
        <f ca="1">_xlfn.XLOOKUP(I55,Teams!$C:$C,Teams!$E:$E,,0,1)</f>
        <v>#VALUE!</v>
      </c>
      <c r="N55" s="97">
        <f t="shared" ca="1" si="10"/>
        <v>118</v>
      </c>
      <c r="O55" s="188" t="str">
        <f t="shared" ref="O55:O62" ca="1" si="16">IF(L55&gt;N55,G55,I55)</f>
        <v>Yale</v>
      </c>
      <c r="P55" s="204" t="e" vm="72">
        <f ca="1">_xlfn.XLOOKUP(O55,Teams!$C:$C,Teams!$E:$E,,0,1)</f>
        <v>#VALUE!</v>
      </c>
      <c r="Q55" s="222" t="s">
        <v>1131</v>
      </c>
      <c r="R55" s="6" t="b">
        <f t="shared" ca="1" si="6"/>
        <v>1</v>
      </c>
      <c r="S55" s="98"/>
    </row>
    <row r="56" spans="1:19" ht="24" customHeight="1" thickBot="1" x14ac:dyDescent="0.3">
      <c r="A56" s="91" t="str">
        <f t="shared" ref="A56:A62" ca="1" si="17">G56</f>
        <v>North Carolina</v>
      </c>
      <c r="B56" s="91" t="str">
        <f t="shared" ref="B56:B62" ca="1" si="18">I56</f>
        <v>Michigan State</v>
      </c>
      <c r="C56" s="91" t="str">
        <f t="shared" ca="1" si="14"/>
        <v>Michigan State</v>
      </c>
      <c r="D56" s="91" t="e">
        <f t="shared" si="15"/>
        <v>#REF!</v>
      </c>
      <c r="E56" s="134">
        <v>50</v>
      </c>
      <c r="F56" s="135" cm="1">
        <f t="array" aca="1" ref="F56" ca="1">_xlfn.XLOOKUP(G56,Teams[[#All],[Team]],Teams[[#All],[Seed]],0,0,1)</f>
        <v>11</v>
      </c>
      <c r="G56" s="136" t="str">
        <f ca="1">O40</f>
        <v>North Carolina</v>
      </c>
      <c r="H56" s="182" t="s">
        <v>9</v>
      </c>
      <c r="I56" s="137" t="str">
        <f ca="1">O41</f>
        <v>Michigan State</v>
      </c>
      <c r="J56" s="138" cm="1">
        <f t="array" aca="1" ref="J56" ca="1">_xlfn.XLOOKUP(I56,Teams[[#All],[Team]],Teams[[#All],[Seed]],0,0,1)</f>
        <v>2</v>
      </c>
      <c r="K56" s="139" t="e" vm="74">
        <f ca="1">_xlfn.XLOOKUP(G56,Teams!$C:$C,Teams!$E:$E,,0,1)</f>
        <v>#VALUE!</v>
      </c>
      <c r="L56" s="139">
        <f t="shared" ca="1" si="10"/>
        <v>98</v>
      </c>
      <c r="M56" s="139" t="e" vm="79">
        <f ca="1">_xlfn.XLOOKUP(I56,Teams!$C:$C,Teams!$E:$E,,0,1)</f>
        <v>#VALUE!</v>
      </c>
      <c r="N56" s="139">
        <f t="shared" ca="1" si="10"/>
        <v>95</v>
      </c>
      <c r="O56" s="195" t="str">
        <f t="shared" ca="1" si="16"/>
        <v>North Carolina</v>
      </c>
      <c r="P56" s="210" t="e" vm="74">
        <f ca="1">_xlfn.XLOOKUP(O56,Teams!$C:$C,Teams!$E:$E,,0,1)</f>
        <v>#VALUE!</v>
      </c>
      <c r="Q56" s="224" t="s">
        <v>1131</v>
      </c>
      <c r="R56" s="6" t="b">
        <f t="shared" ca="1" si="6"/>
        <v>1</v>
      </c>
      <c r="S56" s="98"/>
    </row>
    <row r="57" spans="1:19" ht="24" customHeight="1" x14ac:dyDescent="0.25">
      <c r="A57" s="91" t="str">
        <f t="shared" ca="1" si="17"/>
        <v>Norfolk State</v>
      </c>
      <c r="B57" s="91" t="str">
        <f t="shared" ca="1" si="18"/>
        <v>Colorado State</v>
      </c>
      <c r="C57" s="91" t="str">
        <f t="shared" ca="1" si="14"/>
        <v>Norfolk State</v>
      </c>
      <c r="D57" s="91" t="e">
        <f t="shared" si="15"/>
        <v>#REF!</v>
      </c>
      <c r="E57" s="140">
        <v>51</v>
      </c>
      <c r="F57" s="234" cm="1">
        <f t="array" aca="1" ref="F57" ca="1">_xlfn.XLOOKUP(G57,Teams[[#All],[Team]],Teams[[#All],[Seed]],0,0,1)</f>
        <v>16</v>
      </c>
      <c r="G57" s="142" t="str">
        <f ca="1">O42</f>
        <v>Norfolk State</v>
      </c>
      <c r="H57" s="183" t="s">
        <v>9</v>
      </c>
      <c r="I57" s="143" t="str">
        <f ca="1">O43</f>
        <v>Colorado State</v>
      </c>
      <c r="J57" s="144" cm="1">
        <f t="array" aca="1" ref="J57" ca="1">_xlfn.XLOOKUP(I57,Teams[[#All],[Team]],Teams[[#All],[Seed]],0,0,1)</f>
        <v>12</v>
      </c>
      <c r="K57" s="145" t="e" vm="82">
        <f ca="1">_xlfn.XLOOKUP(G57,Teams!$C:$C,Teams!$E:$E,,0,1)</f>
        <v>#VALUE!</v>
      </c>
      <c r="L57" s="145">
        <f t="shared" ca="1" si="10"/>
        <v>98</v>
      </c>
      <c r="M57" s="145" t="e" vm="86">
        <f ca="1">_xlfn.XLOOKUP(I57,Teams!$C:$C,Teams!$E:$E,,0,1)</f>
        <v>#VALUE!</v>
      </c>
      <c r="N57" s="145">
        <f t="shared" ca="1" si="10"/>
        <v>110</v>
      </c>
      <c r="O57" s="196" t="str">
        <f t="shared" ca="1" si="16"/>
        <v>Colorado State</v>
      </c>
      <c r="P57" s="211" t="e" vm="86">
        <f ca="1">_xlfn.XLOOKUP(O57,Teams!$C:$C,Teams!$E:$E,,0,1)</f>
        <v>#VALUE!</v>
      </c>
      <c r="Q57" s="225" t="s">
        <v>1131</v>
      </c>
      <c r="R57" s="6" t="b">
        <f t="shared" ca="1" si="6"/>
        <v>0</v>
      </c>
      <c r="S57" s="98"/>
    </row>
    <row r="58" spans="1:19" ht="24" customHeight="1" thickBot="1" x14ac:dyDescent="0.3">
      <c r="A58" s="91" t="str">
        <f t="shared" ca="1" si="17"/>
        <v>UNC Wilmington</v>
      </c>
      <c r="B58" s="91" t="str">
        <f t="shared" ca="1" si="18"/>
        <v>St. John's (NY)</v>
      </c>
      <c r="C58" s="91" t="str">
        <f t="shared" ca="1" si="14"/>
        <v>St. John's (NY)</v>
      </c>
      <c r="D58" s="91" t="e">
        <f t="shared" si="15"/>
        <v>#REF!</v>
      </c>
      <c r="E58" s="146">
        <v>52</v>
      </c>
      <c r="F58" s="235" cm="1">
        <f t="array" aca="1" ref="F58" ca="1">_xlfn.XLOOKUP(G58,Teams[[#All],[Team]],Teams[[#All],[Seed]],0,0,1)</f>
        <v>14</v>
      </c>
      <c r="G58" s="148" t="str">
        <f ca="1">O44</f>
        <v>UNC Wilmington</v>
      </c>
      <c r="H58" s="184" t="s">
        <v>9</v>
      </c>
      <c r="I58" s="149" t="str">
        <f ca="1">O45</f>
        <v>St. John's (NY)</v>
      </c>
      <c r="J58" s="150" cm="1">
        <f t="array" aca="1" ref="J58" ca="1">_xlfn.XLOOKUP(I58,Teams[[#All],[Team]],Teams[[#All],[Seed]],0,0,1)</f>
        <v>2</v>
      </c>
      <c r="K58" s="151" t="e" vm="92">
        <f ca="1">_xlfn.XLOOKUP(G58,Teams!$C:$C,Teams!$E:$E,,0,1)</f>
        <v>#VALUE!</v>
      </c>
      <c r="L58" s="151">
        <f t="shared" ca="1" si="10"/>
        <v>106</v>
      </c>
      <c r="M58" s="151" t="e" vm="95">
        <f ca="1">_xlfn.XLOOKUP(I58,Teams!$C:$C,Teams!$E:$E,,0,1)</f>
        <v>#VALUE!</v>
      </c>
      <c r="N58" s="151">
        <f t="shared" ca="1" si="10"/>
        <v>90</v>
      </c>
      <c r="O58" s="197" t="str">
        <f t="shared" ca="1" si="16"/>
        <v>UNC Wilmington</v>
      </c>
      <c r="P58" s="212" t="e" vm="92">
        <f ca="1">_xlfn.XLOOKUP(O58,Teams!$C:$C,Teams!$E:$E,,0,1)</f>
        <v>#VALUE!</v>
      </c>
      <c r="Q58" s="227" t="s">
        <v>1131</v>
      </c>
      <c r="R58" s="6" t="b">
        <f t="shared" ca="1" si="6"/>
        <v>1</v>
      </c>
      <c r="S58" s="98"/>
    </row>
    <row r="59" spans="1:19" ht="24" customHeight="1" x14ac:dyDescent="0.25">
      <c r="A59" s="152" t="str">
        <f t="shared" ca="1" si="17"/>
        <v>Baylor</v>
      </c>
      <c r="B59" s="152" t="str">
        <f t="shared" ca="1" si="18"/>
        <v>Liberty</v>
      </c>
      <c r="C59" s="152" t="str">
        <f t="shared" ca="1" si="14"/>
        <v>Baylor</v>
      </c>
      <c r="D59" s="152" t="e">
        <f t="shared" si="15"/>
        <v>#REF!</v>
      </c>
      <c r="E59" s="129">
        <v>53</v>
      </c>
      <c r="F59" s="130" cm="1">
        <f t="array" aca="1" ref="F59" ca="1">_xlfn.XLOOKUP(G59,Teams[[#All],[Team]],Teams[[#All],[Seed]],0,0,1)</f>
        <v>9</v>
      </c>
      <c r="G59" s="131" t="str">
        <f ca="1">O46</f>
        <v>Baylor</v>
      </c>
      <c r="H59" s="181" t="s">
        <v>9</v>
      </c>
      <c r="I59" s="132" t="str">
        <f ca="1">O47</f>
        <v>Liberty</v>
      </c>
      <c r="J59" s="133" cm="1">
        <f t="array" aca="1" ref="J59" ca="1">_xlfn.XLOOKUP(I59,Teams[[#All],[Team]],Teams[[#All],[Seed]],0,0,1)</f>
        <v>12</v>
      </c>
      <c r="K59" s="84" t="e" vm="100">
        <f ca="1">_xlfn.XLOOKUP(G59,Teams!$C:$C,Teams!$E:$E,,0,1)</f>
        <v>#VALUE!</v>
      </c>
      <c r="L59" s="84">
        <f t="shared" ca="1" si="10"/>
        <v>110</v>
      </c>
      <c r="M59" s="84" t="e" vm="102">
        <f ca="1">_xlfn.XLOOKUP(I59,Teams!$C:$C,Teams!$E:$E,,0,1)</f>
        <v>#VALUE!</v>
      </c>
      <c r="N59" s="84">
        <f t="shared" ca="1" si="10"/>
        <v>116</v>
      </c>
      <c r="O59" s="194" t="str">
        <f t="shared" ca="1" si="16"/>
        <v>Liberty</v>
      </c>
      <c r="P59" s="209" t="e" vm="102">
        <f ca="1">_xlfn.XLOOKUP(O59,Teams!$C:$C,Teams!$E:$E,,0,1)</f>
        <v>#VALUE!</v>
      </c>
      <c r="Q59" s="228" t="s">
        <v>1131</v>
      </c>
      <c r="R59" s="6" t="b">
        <f t="shared" ca="1" si="6"/>
        <v>1</v>
      </c>
      <c r="S59" s="98"/>
    </row>
    <row r="60" spans="1:19" ht="24" customHeight="1" thickBot="1" x14ac:dyDescent="0.3">
      <c r="A60" s="152" t="str">
        <f t="shared" ca="1" si="17"/>
        <v>Brigham Young</v>
      </c>
      <c r="B60" s="152" t="str">
        <f t="shared" ca="1" si="18"/>
        <v>Saint Mary's (CA)</v>
      </c>
      <c r="C60" s="152" t="str">
        <f t="shared" ca="1" si="14"/>
        <v>Brigham Young</v>
      </c>
      <c r="D60" s="152" t="e">
        <f t="shared" si="15"/>
        <v>#REF!</v>
      </c>
      <c r="E60" s="134">
        <v>54</v>
      </c>
      <c r="F60" s="135" cm="1">
        <f t="array" aca="1" ref="F60" ca="1">_xlfn.XLOOKUP(G60,Teams[[#All],[Team]],Teams[[#All],[Seed]],0,0,1)</f>
        <v>6</v>
      </c>
      <c r="G60" s="136" t="str">
        <f ca="1">O48</f>
        <v>Brigham Young</v>
      </c>
      <c r="H60" s="182" t="s">
        <v>9</v>
      </c>
      <c r="I60" s="137" t="str">
        <f ca="1">O49</f>
        <v>Saint Mary's (CA)</v>
      </c>
      <c r="J60" s="138" cm="1">
        <f t="array" aca="1" ref="J60" ca="1">_xlfn.XLOOKUP(I60,Teams[[#All],[Team]],Teams[[#All],[Seed]],0,0,1)</f>
        <v>7</v>
      </c>
      <c r="K60" s="139" t="e" vm="105">
        <f ca="1">_xlfn.XLOOKUP(G60,Teams!$C:$C,Teams!$E:$E,,0,1)</f>
        <v>#VALUE!</v>
      </c>
      <c r="L60" s="139">
        <f t="shared" ca="1" si="10"/>
        <v>94</v>
      </c>
      <c r="M60" s="139" t="e" vm="109">
        <f ca="1">_xlfn.XLOOKUP(I60,Teams!$C:$C,Teams!$E:$E,,0,1)</f>
        <v>#VALUE!</v>
      </c>
      <c r="N60" s="139">
        <f t="shared" ca="1" si="10"/>
        <v>117</v>
      </c>
      <c r="O60" s="195" t="str">
        <f t="shared" ca="1" si="16"/>
        <v>Saint Mary's (CA)</v>
      </c>
      <c r="P60" s="210" t="e" vm="109">
        <f ca="1">_xlfn.XLOOKUP(O60,Teams!$C:$C,Teams!$E:$E,,0,1)</f>
        <v>#VALUE!</v>
      </c>
      <c r="Q60" s="224" t="s">
        <v>1131</v>
      </c>
      <c r="R60" s="6" t="b">
        <f t="shared" ca="1" si="6"/>
        <v>1</v>
      </c>
      <c r="S60" s="98"/>
    </row>
    <row r="61" spans="1:19" ht="24" customHeight="1" x14ac:dyDescent="0.25">
      <c r="A61" s="91" t="str">
        <f t="shared" ca="1" si="17"/>
        <v>Georgia</v>
      </c>
      <c r="B61" s="91" t="str">
        <f t="shared" ca="1" si="18"/>
        <v>Purdue</v>
      </c>
      <c r="C61" s="91" t="str">
        <f t="shared" ca="1" si="14"/>
        <v>Georgia</v>
      </c>
      <c r="D61" s="91" t="e">
        <f t="shared" si="15"/>
        <v>#REF!</v>
      </c>
      <c r="E61" s="140">
        <v>55</v>
      </c>
      <c r="F61" s="141" cm="1">
        <f t="array" aca="1" ref="F61" ca="1">_xlfn.XLOOKUP(G61,Teams[[#All],[Team]],Teams[[#All],[Seed]],0,0,1)</f>
        <v>9</v>
      </c>
      <c r="G61" s="142" t="str">
        <f ca="1">O50</f>
        <v>Georgia</v>
      </c>
      <c r="H61" s="183" t="s">
        <v>9</v>
      </c>
      <c r="I61" s="143" t="str">
        <f ca="1">O51</f>
        <v>Purdue</v>
      </c>
      <c r="J61" s="144" cm="1">
        <f t="array" aca="1" ref="J61" ca="1">_xlfn.XLOOKUP(I61,Teams[[#All],[Team]],Teams[[#All],[Seed]],0,0,1)</f>
        <v>4</v>
      </c>
      <c r="K61" s="145" t="e" vm="116">
        <f ca="1">_xlfn.XLOOKUP(G61,Teams!$C:$C,Teams!$E:$E,,0,1)</f>
        <v>#VALUE!</v>
      </c>
      <c r="L61" s="145">
        <f t="shared" ca="1" si="10"/>
        <v>93</v>
      </c>
      <c r="M61" s="145" t="e" vm="119">
        <f ca="1">_xlfn.XLOOKUP(I61,Teams!$C:$C,Teams!$E:$E,,0,1)</f>
        <v>#VALUE!</v>
      </c>
      <c r="N61" s="145">
        <f t="shared" ca="1" si="10"/>
        <v>119</v>
      </c>
      <c r="O61" s="196" t="str">
        <f t="shared" ca="1" si="16"/>
        <v>Purdue</v>
      </c>
      <c r="P61" s="211" t="e" vm="119">
        <f ca="1">_xlfn.XLOOKUP(O61,Teams!$C:$C,Teams!$E:$E,,0,1)</f>
        <v>#VALUE!</v>
      </c>
      <c r="Q61" s="225" t="s">
        <v>1131</v>
      </c>
      <c r="R61" s="6" t="b">
        <f t="shared" ca="1" si="6"/>
        <v>0</v>
      </c>
      <c r="S61" s="98"/>
    </row>
    <row r="62" spans="1:19" ht="24" customHeight="1" thickBot="1" x14ac:dyDescent="0.3">
      <c r="A62" s="91" t="str">
        <f t="shared" ca="1" si="17"/>
        <v>Kentucky</v>
      </c>
      <c r="B62" s="91" t="str">
        <f t="shared" ca="1" si="18"/>
        <v>Tennessee</v>
      </c>
      <c r="C62" s="91" t="str">
        <f t="shared" ca="1" si="14"/>
        <v>Kentucky</v>
      </c>
      <c r="D62" s="91" t="e">
        <f t="shared" si="15"/>
        <v>#REF!</v>
      </c>
      <c r="E62" s="146">
        <v>56</v>
      </c>
      <c r="F62" s="147" cm="1">
        <f t="array" aca="1" ref="F62" ca="1">_xlfn.XLOOKUP(G62,Teams[[#All],[Team]],Teams[[#All],[Seed]],0,0,1)</f>
        <v>3</v>
      </c>
      <c r="G62" s="148" t="str">
        <f ca="1">O52</f>
        <v>Kentucky</v>
      </c>
      <c r="H62" s="184" t="s">
        <v>9</v>
      </c>
      <c r="I62" s="149" t="str">
        <f ca="1">O53</f>
        <v>Tennessee</v>
      </c>
      <c r="J62" s="150" cm="1">
        <f t="array" aca="1" ref="J62" ca="1">_xlfn.XLOOKUP(I62,Teams[[#All],[Team]],Teams[[#All],[Seed]],0,0,1)</f>
        <v>2</v>
      </c>
      <c r="K62" s="151" t="e" vm="123">
        <f ca="1">_xlfn.XLOOKUP(G62,Teams!$C:$C,Teams!$E:$E,,0,1)</f>
        <v>#VALUE!</v>
      </c>
      <c r="L62" s="151">
        <f t="shared" ca="1" si="10"/>
        <v>108</v>
      </c>
      <c r="M62" s="151" t="e" vm="127">
        <f ca="1">_xlfn.XLOOKUP(I62,Teams!$C:$C,Teams!$E:$E,,0,1)</f>
        <v>#VALUE!</v>
      </c>
      <c r="N62" s="151">
        <f t="shared" ca="1" si="10"/>
        <v>113</v>
      </c>
      <c r="O62" s="197" t="str">
        <f t="shared" ca="1" si="16"/>
        <v>Tennessee</v>
      </c>
      <c r="P62" s="212" t="e" vm="127">
        <f ca="1">_xlfn.XLOOKUP(O62,Teams!$C:$C,Teams!$E:$E,,0,1)</f>
        <v>#VALUE!</v>
      </c>
      <c r="Q62" s="227" t="s">
        <v>1131</v>
      </c>
      <c r="R62" s="6" t="b">
        <f t="shared" ca="1" si="6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 ca="1">G64</f>
        <v>Yale</v>
      </c>
      <c r="B64" s="91" t="str">
        <f ca="1">I64</f>
        <v>North Carolina</v>
      </c>
      <c r="C64" s="91" t="str">
        <f ca="1">IF(O64="","",IF(A64=O64,B64,A64))</f>
        <v>Yale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aca="1" ref="F64" ca="1">_xlfn.XLOOKUP(G64,Teams[[#All],[Team]],Teams[[#All],[Seed]],0,0,1)</f>
        <v>13</v>
      </c>
      <c r="G64" s="155" t="str">
        <f ca="1">O55</f>
        <v>Yale</v>
      </c>
      <c r="H64" s="185" t="s">
        <v>9</v>
      </c>
      <c r="I64" s="156" t="str">
        <f ca="1">O56</f>
        <v>North Carolina</v>
      </c>
      <c r="J64" s="157" cm="1">
        <f t="array" aca="1" ref="J64" ca="1">_xlfn.XLOOKUP(I64,Teams[[#All],[Team]],Teams[[#All],[Seed]],0,0,1)</f>
        <v>11</v>
      </c>
      <c r="K64" s="158" t="e" vm="72">
        <f ca="1">_xlfn.XLOOKUP(G64,Teams!$C:$C,Teams!$E:$E,,0,1)</f>
        <v>#VALUE!</v>
      </c>
      <c r="L64" s="158">
        <f t="shared" ca="1" si="10"/>
        <v>108</v>
      </c>
      <c r="M64" s="158" t="e" vm="74">
        <f ca="1">_xlfn.XLOOKUP(I64,Teams!$C:$C,Teams!$E:$E,,0,1)</f>
        <v>#VALUE!</v>
      </c>
      <c r="N64" s="158">
        <f t="shared" ca="1" si="10"/>
        <v>109</v>
      </c>
      <c r="O64" s="198" t="str">
        <f ca="1">IF(L64&gt;N64,G64,I64)</f>
        <v>North Carolina</v>
      </c>
      <c r="P64" s="204" t="e" vm="74">
        <f ca="1">_xlfn.XLOOKUP(O64,Teams!$C:$C,Teams!$E:$E,,0,1)</f>
        <v>#VALUE!</v>
      </c>
      <c r="Q64" s="230" t="s">
        <v>1131</v>
      </c>
      <c r="R64" s="6" t="b">
        <f t="shared" ca="1" si="6"/>
        <v>0</v>
      </c>
      <c r="S64" s="98"/>
    </row>
    <row r="65" spans="1:19" ht="24" customHeight="1" thickBot="1" x14ac:dyDescent="0.3">
      <c r="A65" s="91" t="str">
        <f ca="1">G65</f>
        <v>Colorado State</v>
      </c>
      <c r="B65" s="91" t="str">
        <f ca="1">I65</f>
        <v>UNC Wilmington</v>
      </c>
      <c r="C65" s="91" t="str">
        <f ca="1">IF(O65="","",IF(A65=O65,B65,A65))</f>
        <v>Colorado State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aca="1" ref="F65" ca="1">_xlfn.XLOOKUP(G65,Teams[[#All],[Team]],Teams[[#All],[Seed]],0,0,1)</f>
        <v>12</v>
      </c>
      <c r="G65" s="161" t="str">
        <f ca="1">O57</f>
        <v>Colorado State</v>
      </c>
      <c r="H65" s="186" t="s">
        <v>9</v>
      </c>
      <c r="I65" s="162" t="str">
        <f ca="1">O58</f>
        <v>UNC Wilmington</v>
      </c>
      <c r="J65" s="163" cm="1">
        <f t="array" aca="1" ref="J65" ca="1">_xlfn.XLOOKUP(I65,Teams[[#All],[Team]],Teams[[#All],[Seed]],0,0,1)</f>
        <v>14</v>
      </c>
      <c r="K65" s="164" t="e" vm="86">
        <f ca="1">_xlfn.XLOOKUP(G65,Teams!$C:$C,Teams!$E:$E,,0,1)</f>
        <v>#VALUE!</v>
      </c>
      <c r="L65" s="164">
        <f t="shared" ca="1" si="10"/>
        <v>109</v>
      </c>
      <c r="M65" s="164" t="e" vm="92">
        <f ca="1">_xlfn.XLOOKUP(I65,Teams!$C:$C,Teams!$E:$E,,0,1)</f>
        <v>#VALUE!</v>
      </c>
      <c r="N65" s="164">
        <f t="shared" ca="1" si="10"/>
        <v>112</v>
      </c>
      <c r="O65" s="199" t="str">
        <f ca="1">IF(L65&gt;N65,G65,I65)</f>
        <v>UNC Wilmington</v>
      </c>
      <c r="P65" s="207" t="e" vm="92">
        <f ca="1">_xlfn.XLOOKUP(O65,Teams!$C:$C,Teams!$E:$E,,0,1)</f>
        <v>#VALUE!</v>
      </c>
      <c r="Q65" s="231" t="s">
        <v>1131</v>
      </c>
      <c r="R65" s="6" t="b">
        <f t="shared" ca="1" si="6"/>
        <v>1</v>
      </c>
      <c r="S65" s="98"/>
    </row>
    <row r="66" spans="1:19" ht="24" customHeight="1" thickBot="1" x14ac:dyDescent="0.3">
      <c r="A66" s="91" t="str">
        <f ca="1">G66</f>
        <v>Liberty</v>
      </c>
      <c r="B66" s="91" t="str">
        <f ca="1">I66</f>
        <v>Saint Mary's (CA)</v>
      </c>
      <c r="C66" s="91" t="str">
        <f ca="1">IF(O66="","",IF(A66=O66,B66,A66))</f>
        <v>Liberty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aca="1" ref="F66" ca="1">_xlfn.XLOOKUP(G66,Teams[[#All],[Team]],Teams[[#All],[Seed]],0,0,1)</f>
        <v>12</v>
      </c>
      <c r="G66" s="155" t="str">
        <f ca="1">O59</f>
        <v>Liberty</v>
      </c>
      <c r="H66" s="185" t="s">
        <v>9</v>
      </c>
      <c r="I66" s="156" t="str">
        <f ca="1">O60</f>
        <v>Saint Mary's (CA)</v>
      </c>
      <c r="J66" s="157" cm="1">
        <f t="array" aca="1" ref="J66" ca="1">_xlfn.XLOOKUP(I66,Teams[[#All],[Team]],Teams[[#All],[Seed]],0,0,1)</f>
        <v>7</v>
      </c>
      <c r="K66" s="158" t="e" vm="102">
        <f ca="1">_xlfn.XLOOKUP(G66,Teams!$C:$C,Teams!$E:$E,,0,1)</f>
        <v>#VALUE!</v>
      </c>
      <c r="L66" s="158">
        <f t="shared" ca="1" si="10"/>
        <v>103</v>
      </c>
      <c r="M66" s="158" t="e" vm="109">
        <f ca="1">_xlfn.XLOOKUP(I66,Teams!$C:$C,Teams!$E:$E,,0,1)</f>
        <v>#VALUE!</v>
      </c>
      <c r="N66" s="158">
        <f t="shared" ca="1" si="10"/>
        <v>113</v>
      </c>
      <c r="O66" s="198" t="str">
        <f ca="1">IF(L66&gt;N66,G66,I66)</f>
        <v>Saint Mary's (CA)</v>
      </c>
      <c r="P66" s="204" t="e" vm="109">
        <f ca="1">_xlfn.XLOOKUP(O66,Teams!$C:$C,Teams!$E:$E,,0,1)</f>
        <v>#VALUE!</v>
      </c>
      <c r="Q66" s="232" t="s">
        <v>1131</v>
      </c>
      <c r="R66" s="6" t="b">
        <f t="shared" ca="1" si="6"/>
        <v>0</v>
      </c>
      <c r="S66" s="98"/>
    </row>
    <row r="67" spans="1:19" ht="24" customHeight="1" thickBot="1" x14ac:dyDescent="0.3">
      <c r="A67" s="91" t="str">
        <f ca="1">G67</f>
        <v>Purdue</v>
      </c>
      <c r="B67" s="91" t="str">
        <f ca="1">I67</f>
        <v>Tennessee</v>
      </c>
      <c r="C67" s="91" t="str">
        <f ca="1">IF(O67="","",IF(A67=O67,B67,A67))</f>
        <v>Purdue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aca="1" ref="F67" ca="1">_xlfn.XLOOKUP(G67,Teams[[#All],[Team]],Teams[[#All],[Seed]],0,0,1)</f>
        <v>4</v>
      </c>
      <c r="G67" s="161" t="str">
        <f ca="1">O61</f>
        <v>Purdue</v>
      </c>
      <c r="H67" s="186" t="s">
        <v>9</v>
      </c>
      <c r="I67" s="162" t="str">
        <f ca="1">O62</f>
        <v>Tennessee</v>
      </c>
      <c r="J67" s="163" cm="1">
        <f t="array" aca="1" ref="J67" ca="1">_xlfn.XLOOKUP(I67,Teams[[#All],[Team]],Teams[[#All],[Seed]],0,0,1)</f>
        <v>2</v>
      </c>
      <c r="K67" s="164" t="e" vm="119">
        <f ca="1">_xlfn.XLOOKUP(G67,Teams!$C:$C,Teams!$E:$E,,0,1)</f>
        <v>#VALUE!</v>
      </c>
      <c r="L67" s="164">
        <f t="shared" ca="1" si="10"/>
        <v>91</v>
      </c>
      <c r="M67" s="164" t="e" vm="127">
        <f ca="1">_xlfn.XLOOKUP(I67,Teams!$C:$C,Teams!$E:$E,,0,1)</f>
        <v>#VALUE!</v>
      </c>
      <c r="N67" s="164">
        <f t="shared" ca="1" si="10"/>
        <v>97</v>
      </c>
      <c r="O67" s="199" t="str">
        <f ca="1">IF(L67&gt;N67,G67,I67)</f>
        <v>Tennessee</v>
      </c>
      <c r="P67" s="207" t="e" vm="127">
        <f ca="1">_xlfn.XLOOKUP(O67,Teams!$C:$C,Teams!$E:$E,,0,1)</f>
        <v>#VALUE!</v>
      </c>
      <c r="Q67" s="231" t="s">
        <v>1131</v>
      </c>
      <c r="R67" s="6" t="b">
        <f t="shared" ca="1" si="6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 ca="1">G69</f>
        <v>North Carolina</v>
      </c>
      <c r="B69" s="91" t="str">
        <f ca="1">I69</f>
        <v>UNC Wilmington</v>
      </c>
      <c r="C69" s="91" t="str">
        <f ca="1">IF(O69="","",IF(A69=O69,B69,A69))</f>
        <v>North Carolina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aca="1" ref="F69" ca="1">_xlfn.XLOOKUP(G69,Teams[[#All],[Team]],Teams[[#All],[Seed]],0,0,1)</f>
        <v>11</v>
      </c>
      <c r="G69" s="167" t="str">
        <f ca="1">O64</f>
        <v>North Carolina</v>
      </c>
      <c r="H69" s="187" t="s">
        <v>9</v>
      </c>
      <c r="I69" s="168" t="str">
        <f ca="1">O65</f>
        <v>UNC Wilmington</v>
      </c>
      <c r="J69" s="169" cm="1">
        <f t="array" aca="1" ref="J69" ca="1">_xlfn.XLOOKUP(I69,Teams[[#All],[Team]],Teams[[#All],[Seed]],0,0,1)</f>
        <v>14</v>
      </c>
      <c r="K69" s="170" t="e" vm="74">
        <f ca="1">_xlfn.XLOOKUP(G69,Teams!$C:$C,Teams!$E:$E,,0,1)</f>
        <v>#VALUE!</v>
      </c>
      <c r="L69" s="170">
        <f t="shared" ca="1" si="10"/>
        <v>96</v>
      </c>
      <c r="M69" s="170" t="e" vm="92">
        <f ca="1">_xlfn.XLOOKUP(I69,Teams!$C:$C,Teams!$E:$E,,0,1)</f>
        <v>#VALUE!</v>
      </c>
      <c r="N69" s="170">
        <f t="shared" ca="1" si="10"/>
        <v>99</v>
      </c>
      <c r="O69" s="200" t="str">
        <f ca="1">IF(L69&gt;N69,G69,I69)</f>
        <v>UNC Wilmington</v>
      </c>
      <c r="P69" s="210" t="e" vm="92">
        <f ca="1">_xlfn.XLOOKUP(O69,Teams!$C:$C,Teams!$E:$E,,0,1)</f>
        <v>#VALUE!</v>
      </c>
      <c r="Q69" s="230" t="s">
        <v>1131</v>
      </c>
      <c r="R69" s="6" t="b">
        <f t="shared" ca="1" si="6"/>
        <v>1</v>
      </c>
      <c r="S69" s="98"/>
    </row>
    <row r="70" spans="1:19" ht="24" customHeight="1" thickBot="1" x14ac:dyDescent="0.3">
      <c r="A70" s="91" t="str">
        <f ca="1">G70</f>
        <v>Saint Mary's (CA)</v>
      </c>
      <c r="B70" s="91" t="str">
        <f ca="1">I70</f>
        <v>Tennessee</v>
      </c>
      <c r="C70" s="91" t="str">
        <f ca="1">IF(O70="","",IF(A70=O70,B70,A70))</f>
        <v>Tennessee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aca="1" ref="F70" ca="1">_xlfn.XLOOKUP(G70,Teams[[#All],[Team]],Teams[[#All],[Seed]],0,0,1)</f>
        <v>7</v>
      </c>
      <c r="G70" s="161" t="str">
        <f ca="1">O66</f>
        <v>Saint Mary's (CA)</v>
      </c>
      <c r="H70" s="186" t="s">
        <v>9</v>
      </c>
      <c r="I70" s="162" t="str">
        <f ca="1">O67</f>
        <v>Tennessee</v>
      </c>
      <c r="J70" s="163" cm="1">
        <f t="array" aca="1" ref="J70" ca="1">_xlfn.XLOOKUP(I70,Teams[[#All],[Team]],Teams[[#All],[Seed]],0,0,1)</f>
        <v>2</v>
      </c>
      <c r="K70" s="164" t="e" vm="109">
        <f ca="1">_xlfn.XLOOKUP(G70,Teams!$C:$C,Teams!$E:$E,,0,1)</f>
        <v>#VALUE!</v>
      </c>
      <c r="L70" s="164">
        <f t="shared" ca="1" si="10"/>
        <v>117</v>
      </c>
      <c r="M70" s="164" t="e" vm="127">
        <f ca="1">_xlfn.XLOOKUP(I70,Teams!$C:$C,Teams!$E:$E,,0,1)</f>
        <v>#VALUE!</v>
      </c>
      <c r="N70" s="164">
        <f t="shared" ca="1" si="10"/>
        <v>109</v>
      </c>
      <c r="O70" s="199" t="str">
        <f ca="1">IF(L70&gt;N70,G70,I70)</f>
        <v>Saint Mary's (CA)</v>
      </c>
      <c r="P70" s="213" t="e" vm="109">
        <f ca="1">_xlfn.XLOOKUP(O70,Teams!$C:$C,Teams!$E:$E,,0,1)</f>
        <v>#VALUE!</v>
      </c>
      <c r="Q70" s="231" t="s">
        <v>1131</v>
      </c>
      <c r="R70" s="6" t="b">
        <f t="shared" ref="R70:R72" ca="1" si="19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 ca="1">G72</f>
        <v>UNC Wilmington</v>
      </c>
      <c r="B72" s="91" t="str">
        <f ca="1">I72</f>
        <v>Saint Mary's (CA)</v>
      </c>
      <c r="C72" s="91" t="str">
        <f ca="1">IF(O72="","",IF(A72=O72,B72,A72))</f>
        <v>UNC Wilmington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aca="1" ref="F72" ca="1">_xlfn.XLOOKUP(G72,Teams[[#All],[Team]],Teams[[#All],[Seed]],0,0,1)</f>
        <v>14</v>
      </c>
      <c r="G72" s="155" t="str">
        <f ca="1">O69</f>
        <v>UNC Wilmington</v>
      </c>
      <c r="H72" s="185" t="s">
        <v>9</v>
      </c>
      <c r="I72" s="156" t="str">
        <f ca="1">O70</f>
        <v>Saint Mary's (CA)</v>
      </c>
      <c r="J72" s="157" cm="1">
        <f t="array" aca="1" ref="J72" ca="1">_xlfn.XLOOKUP(I72,Teams[[#All],[Team]],Teams[[#All],[Seed]],0,0,1)</f>
        <v>7</v>
      </c>
      <c r="K72" s="158" t="e" vm="92">
        <f ca="1">_xlfn.XLOOKUP(G72,Teams!$C:$C,Teams!$E:$E,,0,1)</f>
        <v>#VALUE!</v>
      </c>
      <c r="L72" s="158">
        <f t="shared" ca="1" si="10"/>
        <v>105</v>
      </c>
      <c r="M72" s="158" t="e" vm="109">
        <f ca="1">_xlfn.XLOOKUP(I72,Teams!$C:$C,Teams!$E:$E,,0,1)</f>
        <v>#VALUE!</v>
      </c>
      <c r="N72" s="158">
        <f t="shared" ca="1" si="10"/>
        <v>116</v>
      </c>
      <c r="O72" s="198" t="str">
        <f ca="1">IF(L72&gt;N72,G72,I72)</f>
        <v>Saint Mary's (CA)</v>
      </c>
      <c r="P72" s="205" t="e" vm="109">
        <f ca="1">_xlfn.XLOOKUP(O72,Teams!$C:$C,Teams!$E:$E,,0,1)</f>
        <v>#VALUE!</v>
      </c>
      <c r="Q72" s="233" t="s">
        <v>1131</v>
      </c>
      <c r="R72" s="6" t="b">
        <f t="shared" ca="1" si="19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Auburn</v>
      </c>
      <c r="D5" s="70" t="e" vm="65">
        <f>_xlfn.XLOOKUP(C5,Teams!$C:$C,Teams!$E:$E,,0,1)</f>
        <v>#VALUE!</v>
      </c>
      <c r="E5" s="46">
        <f ca="1">Games!L5</f>
        <v>103</v>
      </c>
      <c r="F5" s="262" t="str">
        <f ca="1">Games!O5</f>
        <v>Auburn</v>
      </c>
      <c r="G5" s="247" t="e" vm="65">
        <f ca="1">_xlfn.XLOOKUP(F5,Teams!$C:$C,Teams!$E:$E,,0,1)</f>
        <v>#VALUE!</v>
      </c>
      <c r="H5" s="284">
        <f ca="1">Games!L38</f>
        <v>102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 ca="1">Games!L46</f>
        <v>99</v>
      </c>
      <c r="AI5" s="297" t="e" vm="98">
        <f ca="1">_xlfn.XLOOKUP(AJ5,Teams!$C:$C,Teams!$E:$E,,0,1)</f>
        <v>#VALUE!</v>
      </c>
      <c r="AJ5" s="262" t="str">
        <f ca="1">Games!O21</f>
        <v>Mount St. Mary's</v>
      </c>
      <c r="AK5" s="58">
        <f ca="1">Games!L21</f>
        <v>105</v>
      </c>
      <c r="AL5" s="46" t="e" vm="97">
        <f>_xlfn.XLOOKUP(AM5,Teams!$C:$C,Teams!$E:$E,,0,1)</f>
        <v>#VALUE!</v>
      </c>
      <c r="AM5" s="37" t="str">
        <f>Games!G21</f>
        <v>Duke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Alabama State</v>
      </c>
      <c r="D7" s="70" t="e" vm="66">
        <f>_xlfn.XLOOKUP(C7,Teams!$C:$C,Teams!$E:$E,,0,1)</f>
        <v>#VALUE!</v>
      </c>
      <c r="E7" s="48">
        <f ca="1">Games!N5</f>
        <v>99</v>
      </c>
      <c r="F7" s="282">
        <f>IF($AU$5=TRUE,AO66+1,"")</f>
        <v>33</v>
      </c>
      <c r="G7" s="14"/>
      <c r="H7" s="49"/>
      <c r="I7" s="279" t="str">
        <f ca="1">Games!O38</f>
        <v>Louisville</v>
      </c>
      <c r="J7" s="247" t="e" vm="67">
        <f ca="1">_xlfn.XLOOKUP(I7,Teams!$C:$C,Teams!$E:$E,,0,1)</f>
        <v>#VALUE!</v>
      </c>
      <c r="K7" s="264">
        <f ca="1">Games!L55</f>
        <v>109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 ca="1">Games!L59</f>
        <v>110</v>
      </c>
      <c r="AF7" s="297" t="e" vm="100">
        <f ca="1">_xlfn.XLOOKUP(AG7,Teams!$C:$C,Teams!$E:$E,,0,1)</f>
        <v>#VALUE!</v>
      </c>
      <c r="AG7" s="262" t="str">
        <f ca="1">Games!O46</f>
        <v>Baylor</v>
      </c>
      <c r="AH7" s="55"/>
      <c r="AI7" s="51"/>
      <c r="AJ7" s="282">
        <f>IF($AU$5=TRUE,F63+1,"")</f>
        <v>41</v>
      </c>
      <c r="AK7" s="59">
        <f ca="1">Games!N21</f>
        <v>111</v>
      </c>
      <c r="AL7" s="46" t="e" vm="98">
        <f>_xlfn.XLOOKUP(AM7,Teams!$C:$C,Teams!$E:$E,,0,1)</f>
        <v>#VALUE!</v>
      </c>
      <c r="AM7" s="37" t="str">
        <f>Games!I21</f>
        <v>Mount St. Mary's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Louisville</v>
      </c>
      <c r="D9" s="70" t="e" vm="67">
        <f>_xlfn.XLOOKUP(C9,Teams!$C:$C,Teams!$E:$E,,0,1)</f>
        <v>#VALUE!</v>
      </c>
      <c r="E9" s="46">
        <f ca="1">Games!L6</f>
        <v>114</v>
      </c>
      <c r="F9" s="262" t="str">
        <f ca="1">Games!O6</f>
        <v>Louisville</v>
      </c>
      <c r="G9" s="247" t="e" vm="67">
        <f ca="1">_xlfn.XLOOKUP(F9,Teams!$C:$C,Teams!$E:$E,,0,1)</f>
        <v>#VALUE!</v>
      </c>
      <c r="H9" s="277">
        <f ca="1">Games!N38</f>
        <v>105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 ca="1">Games!N46</f>
        <v>105</v>
      </c>
      <c r="AI9" s="297" t="e" vm="100">
        <f ca="1">_xlfn.XLOOKUP(AJ9,Teams!$C:$C,Teams!$E:$E,,0,1)</f>
        <v>#VALUE!</v>
      </c>
      <c r="AJ9" s="262" t="str">
        <f ca="1">Games!O22</f>
        <v>Baylor</v>
      </c>
      <c r="AK9" s="58">
        <f ca="1">Games!L22</f>
        <v>97</v>
      </c>
      <c r="AL9" s="46" t="e" vm="99">
        <f>_xlfn.XLOOKUP(AM9,Teams!$C:$C,Teams!$E:$E,,0,1)</f>
        <v>#VALUE!</v>
      </c>
      <c r="AM9" s="37" t="str">
        <f>Games!G22</f>
        <v>Mississippi State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Creighton</v>
      </c>
      <c r="D11" s="70" t="e" vm="68">
        <f>_xlfn.XLOOKUP(C11,Teams!$C:$C,Teams!$E:$E,,0,1)</f>
        <v>#VALUE!</v>
      </c>
      <c r="E11" s="48">
        <f ca="1">Games!N6</f>
        <v>102</v>
      </c>
      <c r="F11" s="24"/>
      <c r="G11" s="24"/>
      <c r="I11" s="283">
        <f>IF($AU$5=TRUE,AJ63+1,"")</f>
        <v>49</v>
      </c>
      <c r="J11" s="15"/>
      <c r="K11" s="50"/>
      <c r="L11" s="279" t="str">
        <f ca="1">Games!O55</f>
        <v>Yale</v>
      </c>
      <c r="M11" s="247" t="e" vm="72">
        <f ca="1">_xlfn.XLOOKUP(L11,Teams!$C:$C,Teams!$E:$E,,0,1)</f>
        <v>#VALUE!</v>
      </c>
      <c r="N11" s="264">
        <f ca="1">Games!L64</f>
        <v>108</v>
      </c>
      <c r="O11" s="25"/>
      <c r="P11" s="25"/>
      <c r="R11" s="25"/>
      <c r="S11" s="25"/>
      <c r="T11" s="251" t="e" vm="109">
        <f ca="1">_xlfn.XLOOKUP(S32,Teams!$C:$C,Teams!$E:$E,,0,1)</f>
        <v>#VALUE!</v>
      </c>
      <c r="U11" s="252"/>
      <c r="V11" s="253"/>
      <c r="W11" s="25"/>
      <c r="X11" s="25"/>
      <c r="AA11" s="25"/>
      <c r="AB11" s="264">
        <f ca="1">Games!L66</f>
        <v>103</v>
      </c>
      <c r="AC11" s="249" t="e" vm="102">
        <f ca="1">_xlfn.XLOOKUP(AD11,Teams!$C:$C,Teams!$E:$E,,0,1)</f>
        <v>#VALUE!</v>
      </c>
      <c r="AD11" s="262" t="str">
        <f ca="1">Games!O59</f>
        <v>Liberty</v>
      </c>
      <c r="AE11" s="56"/>
      <c r="AG11" s="283">
        <f>IF($AU$5=TRUE,I59+1,"")</f>
        <v>53</v>
      </c>
      <c r="AJ11" s="24"/>
      <c r="AK11" s="59">
        <f ca="1">Games!N22</f>
        <v>109</v>
      </c>
      <c r="AL11" s="46" t="e" vm="100">
        <f>_xlfn.XLOOKUP(AM11,Teams!$C:$C,Teams!$E:$E,,0,1)</f>
        <v>#VALUE!</v>
      </c>
      <c r="AM11" s="37" t="str">
        <f>Games!I22</f>
        <v>Baylor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Michigan</v>
      </c>
      <c r="D13" s="70" t="e" vm="69">
        <f>_xlfn.XLOOKUP(C13,Teams!$C:$C,Teams!$E:$E,,0,1)</f>
        <v>#VALUE!</v>
      </c>
      <c r="E13" s="46">
        <f ca="1">Games!L7</f>
        <v>95</v>
      </c>
      <c r="F13" s="262" t="str">
        <f ca="1">Games!O7</f>
        <v>UC San Diego</v>
      </c>
      <c r="G13" s="247" t="e" vm="70">
        <f ca="1">_xlfn.XLOOKUP(F13,Teams!$C:$C,Teams!$E:$E,,0,1)</f>
        <v>#VALUE!</v>
      </c>
      <c r="H13" s="264">
        <f ca="1">Games!L39</f>
        <v>103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 ca="1">Games!L47</f>
        <v>108</v>
      </c>
      <c r="AI13" s="249" t="e" vm="102">
        <f ca="1">_xlfn.XLOOKUP(AJ13,Teams!$C:$C,Teams!$E:$E,,0,1)</f>
        <v>#VALUE!</v>
      </c>
      <c r="AJ13" s="262" t="str">
        <f ca="1">Games!O23</f>
        <v>Liberty</v>
      </c>
      <c r="AK13" s="58">
        <f ca="1">Games!L23</f>
        <v>99</v>
      </c>
      <c r="AL13" s="46" t="e" vm="101">
        <f>_xlfn.XLOOKUP(AM13,Teams!$C:$C,Teams!$E:$E,,0,1)</f>
        <v>#VALUE!</v>
      </c>
      <c r="AM13" s="37" t="str">
        <f>Games!G23</f>
        <v>Oregon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UC San Diego</v>
      </c>
      <c r="D15" s="70" t="e" vm="70">
        <f>_xlfn.XLOOKUP(C15,Teams!$C:$C,Teams!$E:$E,,0,1)</f>
        <v>#VALUE!</v>
      </c>
      <c r="E15" s="48">
        <f ca="1">Games!N7</f>
        <v>99</v>
      </c>
      <c r="F15" s="282">
        <f>IF($AU$5=TRUE,F7+1,"")</f>
        <v>34</v>
      </c>
      <c r="G15" s="14"/>
      <c r="H15" s="49"/>
      <c r="I15" s="279" t="str">
        <f ca="1">Games!O39</f>
        <v>Yale</v>
      </c>
      <c r="J15" s="247" t="e" vm="72">
        <f ca="1">_xlfn.XLOOKUP(I15,Teams!$C:$C,Teams!$E:$E,,0,1)</f>
        <v>#VALUE!</v>
      </c>
      <c r="K15" s="277">
        <f ca="1">Games!N55</f>
        <v>118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 ca="1">Games!N59</f>
        <v>116</v>
      </c>
      <c r="AF15" s="249" t="e" vm="102">
        <f ca="1">_xlfn.XLOOKUP(AG15,Teams!$C:$C,Teams!$E:$E,,0,1)</f>
        <v>#VALUE!</v>
      </c>
      <c r="AG15" s="262" t="str">
        <f ca="1">Games!O47</f>
        <v>Liberty</v>
      </c>
      <c r="AH15" s="55"/>
      <c r="AI15" s="51"/>
      <c r="AJ15" s="282">
        <f>IF($AU$5=TRUE,AJ7+1,"")</f>
        <v>42</v>
      </c>
      <c r="AK15" s="59">
        <f ca="1">Games!N23</f>
        <v>120</v>
      </c>
      <c r="AL15" s="46" t="e" vm="102">
        <f>_xlfn.XLOOKUP(AM15,Teams!$C:$C,Teams!$E:$E,,0,1)</f>
        <v>#VALUE!</v>
      </c>
      <c r="AM15" s="37" t="str">
        <f>Games!I23</f>
        <v>Liberty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Texas A&amp;M</v>
      </c>
      <c r="D17" s="70" t="e" vm="71">
        <f>_xlfn.XLOOKUP(C17,Teams!$C:$C,Teams!$E:$E,,0,1)</f>
        <v>#VALUE!</v>
      </c>
      <c r="E17" s="46">
        <f ca="1">Games!L8</f>
        <v>97</v>
      </c>
      <c r="F17" s="262" t="str">
        <f ca="1">Games!O8</f>
        <v>Yale</v>
      </c>
      <c r="G17" s="247" t="e" vm="72">
        <f ca="1">_xlfn.XLOOKUP(F17,Teams!$C:$C,Teams!$E:$E,,0,1)</f>
        <v>#VALUE!</v>
      </c>
      <c r="H17" s="277">
        <f ca="1">Games!N39</f>
        <v>114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 ca="1">Games!N47</f>
        <v>91</v>
      </c>
      <c r="AI17" s="249" t="e" vm="103">
        <f ca="1">_xlfn.XLOOKUP(AJ17,Teams!$C:$C,Teams!$E:$E,,0,1)</f>
        <v>#VALUE!</v>
      </c>
      <c r="AJ17" s="262" t="str">
        <f ca="1">Games!O24</f>
        <v>Arizona</v>
      </c>
      <c r="AK17" s="58">
        <f ca="1">Games!L24</f>
        <v>110</v>
      </c>
      <c r="AL17" s="46" t="e" vm="103">
        <f>_xlfn.XLOOKUP(AM17,Teams!$C:$C,Teams!$E:$E,,0,1)</f>
        <v>#VALUE!</v>
      </c>
      <c r="AM17" s="37" t="str">
        <f>Games!G24</f>
        <v>Arizona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Yale</v>
      </c>
      <c r="D19" s="70" t="e" vm="72">
        <f>_xlfn.XLOOKUP(C19,Teams!$C:$C,Teams!$E:$E,,0,1)</f>
        <v>#VALUE!</v>
      </c>
      <c r="E19" s="48">
        <f ca="1">Games!N8</f>
        <v>114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 ca="1">Games!O64</f>
        <v>North Carolina</v>
      </c>
      <c r="P19" s="247" t="e" vm="74">
        <f ca="1">_xlfn.XLOOKUP(O19,Teams!$C:$C,Teams!$E:$E,,0,1)</f>
        <v>#VALUE!</v>
      </c>
      <c r="Q19" s="264">
        <f ca="1">Games!L69</f>
        <v>96</v>
      </c>
      <c r="R19" s="25"/>
      <c r="S19" s="25"/>
      <c r="T19" s="257"/>
      <c r="U19" s="258"/>
      <c r="V19" s="259"/>
      <c r="W19" s="25"/>
      <c r="X19" s="25"/>
      <c r="Y19" s="264">
        <f ca="1">Games!L70</f>
        <v>117</v>
      </c>
      <c r="Z19" s="249" t="e" vm="109">
        <f ca="1">_xlfn.XLOOKUP(AA19,Teams!$C:$C,Teams!$E:$E,,0,1)</f>
        <v>#VALUE!</v>
      </c>
      <c r="AA19" s="262" t="str">
        <f ca="1">Games!O66</f>
        <v>Saint Mary's (CA)</v>
      </c>
      <c r="AB19" s="56"/>
      <c r="AD19" s="266" t="s">
        <v>3</v>
      </c>
      <c r="AE19" s="266"/>
      <c r="AF19" s="20"/>
      <c r="AG19" s="24"/>
      <c r="AJ19" s="24"/>
      <c r="AK19" s="59">
        <f ca="1">Games!N24</f>
        <v>107</v>
      </c>
      <c r="AL19" s="46" t="e" vm="104">
        <f>_xlfn.XLOOKUP(AM19,Teams!$C:$C,Teams!$E:$E,,0,1)</f>
        <v>#VALUE!</v>
      </c>
      <c r="AM19" s="37" t="str">
        <f>Games!I24</f>
        <v>Akron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Mississippi</v>
      </c>
      <c r="D21" s="70" t="e" vm="73">
        <f>_xlfn.XLOOKUP(C21,Teams!$C:$C,Teams!$E:$E,,0,1)</f>
        <v>#VALUE!</v>
      </c>
      <c r="E21" s="46">
        <f ca="1">Games!L9</f>
        <v>110</v>
      </c>
      <c r="F21" s="262" t="str">
        <f ca="1">Games!O9</f>
        <v>North Carolina</v>
      </c>
      <c r="G21" s="247" t="e" vm="74">
        <f ca="1">_xlfn.XLOOKUP(F21,Teams!$C:$C,Teams!$E:$E,,0,1)</f>
        <v>#VALUE!</v>
      </c>
      <c r="H21" s="264">
        <f ca="1">Games!L40</f>
        <v>106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 ca="1">Games!L48</f>
        <v>107</v>
      </c>
      <c r="AI21" s="249" t="e" vm="105">
        <f ca="1">_xlfn.XLOOKUP(AJ21,Teams!$C:$C,Teams!$E:$E,,0,1)</f>
        <v>#VALUE!</v>
      </c>
      <c r="AJ21" s="262" t="str">
        <f ca="1">Games!O25</f>
        <v>Brigham Young</v>
      </c>
      <c r="AK21" s="58">
        <f ca="1">Games!L25</f>
        <v>119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North Carolina</v>
      </c>
      <c r="D23" s="70" t="e" vm="74">
        <f>_xlfn.XLOOKUP(C23,Teams!$C:$C,Teams!$E:$E,,0,1)</f>
        <v>#VALUE!</v>
      </c>
      <c r="E23" s="48">
        <f ca="1">Games!N9</f>
        <v>110</v>
      </c>
      <c r="F23" s="282">
        <f>IF($AU$5=TRUE,F15+1,"")</f>
        <v>35</v>
      </c>
      <c r="G23" s="14"/>
      <c r="H23" s="49"/>
      <c r="I23" s="279" t="str">
        <f ca="1">Games!O40</f>
        <v>North Carolina</v>
      </c>
      <c r="J23" s="247" t="e" vm="74">
        <f ca="1">_xlfn.XLOOKUP(I23,Teams!$C:$C,Teams!$E:$E,,0,1)</f>
        <v>#VALUE!</v>
      </c>
      <c r="K23" s="264">
        <f ca="1">Games!L56</f>
        <v>98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 ca="1">Games!L60</f>
        <v>94</v>
      </c>
      <c r="AF23" s="249" t="e" vm="105">
        <f ca="1">_xlfn.XLOOKUP(AG23,Teams!$C:$C,Teams!$E:$E,,0,1)</f>
        <v>#VALUE!</v>
      </c>
      <c r="AG23" s="262" t="str">
        <f ca="1">Games!O48</f>
        <v>Brigham Young</v>
      </c>
      <c r="AH23" s="55"/>
      <c r="AI23" s="51"/>
      <c r="AJ23" s="282">
        <f>IF($AU$5=TRUE,AJ15+1,"")</f>
        <v>43</v>
      </c>
      <c r="AK23" s="59">
        <f ca="1">Games!N25</f>
        <v>91</v>
      </c>
      <c r="AL23" s="46" t="e" vm="106">
        <f>_xlfn.XLOOKUP(AM23,Teams!$C:$C,Teams!$E:$E,,0,1)</f>
        <v>#VALUE!</v>
      </c>
      <c r="AM23" s="37" t="str">
        <f>Games!I25</f>
        <v>Virginia Commonwealth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Iowa State</v>
      </c>
      <c r="D25" s="70" t="e" vm="75">
        <f>_xlfn.XLOOKUP(C25,Teams!$C:$C,Teams!$E:$E,,0,1)</f>
        <v>#VALUE!</v>
      </c>
      <c r="E25" s="46">
        <f ca="1">Games!L10</f>
        <v>94</v>
      </c>
      <c r="F25" s="262" t="str">
        <f ca="1">Games!O10</f>
        <v>Lipscomb</v>
      </c>
      <c r="G25" s="247" t="e" vm="76">
        <f ca="1">_xlfn.XLOOKUP(F25,Teams!$C:$C,Teams!$E:$E,,0,1)</f>
        <v>#VALUE!</v>
      </c>
      <c r="H25" s="277">
        <f ca="1">Games!N40</f>
        <v>97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 ca="1">Games!N48</f>
        <v>102</v>
      </c>
      <c r="AI25" s="249" t="e" vm="108">
        <f ca="1">_xlfn.XLOOKUP(AJ25,Teams!$C:$C,Teams!$E:$E,,0,1)</f>
        <v>#VALUE!</v>
      </c>
      <c r="AJ25" s="262" t="str">
        <f ca="1">Games!O26</f>
        <v>Montana</v>
      </c>
      <c r="AK25" s="58">
        <f ca="1">Games!L26</f>
        <v>94</v>
      </c>
      <c r="AL25" s="46" t="e" vm="107">
        <f>_xlfn.XLOOKUP(AM25,Teams!$C:$C,Teams!$E:$E,,0,1)</f>
        <v>#VALUE!</v>
      </c>
      <c r="AM25" s="37" t="str">
        <f>Games!G26</f>
        <v>Wisconsin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Lipscomb</v>
      </c>
      <c r="D27" s="70" t="e" vm="76">
        <f>_xlfn.XLOOKUP(C27,Teams!$C:$C,Teams!$E:$E,,0,1)</f>
        <v>#VALUE!</v>
      </c>
      <c r="E27" s="48">
        <f ca="1">Games!N10</f>
        <v>97</v>
      </c>
      <c r="F27" s="24"/>
      <c r="G27" s="24"/>
      <c r="I27" s="283">
        <f>IF($AU$5=TRUE,I11+1,"")</f>
        <v>50</v>
      </c>
      <c r="J27" s="15"/>
      <c r="K27" s="50"/>
      <c r="L27" s="279" t="str">
        <f ca="1">Games!O56</f>
        <v>North Carolina</v>
      </c>
      <c r="M27" s="247" t="e" vm="74">
        <f ca="1">_xlfn.XLOOKUP(L27,Teams!$C:$C,Teams!$E:$E,,0,1)</f>
        <v>#VALUE!</v>
      </c>
      <c r="N27" s="277">
        <f ca="1">Games!N64</f>
        <v>109</v>
      </c>
      <c r="O27" s="25"/>
      <c r="P27" s="25"/>
      <c r="Q27" s="50"/>
      <c r="R27" s="279" t="str">
        <f ca="1">Games!O69</f>
        <v>UNC Wilmington</v>
      </c>
      <c r="S27" s="262"/>
      <c r="T27" s="262"/>
      <c r="U27" s="289" t="e" vm="92">
        <f ca="1">_xlfn.XLOOKUP(R27,Teams!$C:$C,Teams!$E:$E,,0,1)</f>
        <v>#VALUE!</v>
      </c>
      <c r="V27" s="267">
        <f ca="1">Games!L72</f>
        <v>105</v>
      </c>
      <c r="W27" s="24"/>
      <c r="X27" s="25"/>
      <c r="Y27" s="56"/>
      <c r="AA27" s="25"/>
      <c r="AB27" s="269">
        <f ca="1">Games!N66</f>
        <v>113</v>
      </c>
      <c r="AC27" s="249" t="e" vm="109">
        <f ca="1">_xlfn.XLOOKUP(AD27,Teams!$C:$C,Teams!$E:$E,,0,1)</f>
        <v>#VALUE!</v>
      </c>
      <c r="AD27" s="262" t="str">
        <f ca="1">Games!O60</f>
        <v>Saint Mary's (CA)</v>
      </c>
      <c r="AE27" s="56"/>
      <c r="AG27" s="283">
        <f>IF($AU$5=TRUE,AG11+1,"")</f>
        <v>54</v>
      </c>
      <c r="AJ27" s="24"/>
      <c r="AK27" s="59">
        <f ca="1">Games!N26</f>
        <v>109</v>
      </c>
      <c r="AL27" s="46" t="e" vm="108">
        <f>_xlfn.XLOOKUP(AM27,Teams!$C:$C,Teams!$E:$E,,0,1)</f>
        <v>#VALUE!</v>
      </c>
      <c r="AM27" s="37" t="str">
        <f>Games!I26</f>
        <v>Montana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Marquette</v>
      </c>
      <c r="D29" s="70" t="e" vm="77">
        <f>_xlfn.XLOOKUP(C29,Teams!$C:$C,Teams!$E:$E,,0,1)</f>
        <v>#VALUE!</v>
      </c>
      <c r="E29" s="46">
        <f ca="1">Games!L11</f>
        <v>112</v>
      </c>
      <c r="F29" s="262" t="str">
        <f ca="1">Games!O11</f>
        <v>Marquette</v>
      </c>
      <c r="G29" s="247" t="e" vm="77">
        <f ca="1">_xlfn.XLOOKUP(F29,Teams!$C:$C,Teams!$E:$E,,0,1)</f>
        <v>#VALUE!</v>
      </c>
      <c r="H29" s="264">
        <f ca="1">Games!L41</f>
        <v>102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 ca="1">Games!L49</f>
        <v>96</v>
      </c>
      <c r="AI29" s="249" t="e" vm="109">
        <f ca="1">_xlfn.XLOOKUP(AJ29,Teams!$C:$C,Teams!$E:$E,,0,1)</f>
        <v>#VALUE!</v>
      </c>
      <c r="AJ29" s="262" t="str">
        <f ca="1">Games!O27</f>
        <v>Saint Mary's (CA)</v>
      </c>
      <c r="AK29" s="58">
        <f ca="1">Games!L27</f>
        <v>103</v>
      </c>
      <c r="AL29" s="46" t="e" vm="109">
        <f>_xlfn.XLOOKUP(AM29,Teams!$C:$C,Teams!$E:$E,,0,1)</f>
        <v>#VALUE!</v>
      </c>
      <c r="AM29" s="37" t="str">
        <f>Games!G27</f>
        <v>Saint Mary's (CA)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 ca="1">Games!N11</f>
        <v>107</v>
      </c>
      <c r="F31" s="282">
        <f>IF($AU$5=TRUE,F23+1,"")</f>
        <v>36</v>
      </c>
      <c r="G31" s="14"/>
      <c r="H31" s="49"/>
      <c r="I31" s="279" t="str">
        <f ca="1">Games!O41</f>
        <v>Michigan State</v>
      </c>
      <c r="J31" s="247" t="e" vm="79">
        <f ca="1">_xlfn.XLOOKUP(I31,Teams!$C:$C,Teams!$E:$E,,0,1)</f>
        <v>#VALUE!</v>
      </c>
      <c r="K31" s="277">
        <f ca="1">Games!N56</f>
        <v>95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 ca="1">Games!N60</f>
        <v>117</v>
      </c>
      <c r="AF31" s="249" t="e" vm="109">
        <f ca="1">_xlfn.XLOOKUP(AG31,Teams!$C:$C,Teams!$E:$E,,0,1)</f>
        <v>#VALUE!</v>
      </c>
      <c r="AG31" s="262" t="str">
        <f ca="1">Games!O49</f>
        <v>Saint Mary's (CA)</v>
      </c>
      <c r="AH31" s="55"/>
      <c r="AI31" s="51"/>
      <c r="AJ31" s="282">
        <f>IF($AU$5=TRUE,AJ23+1,"")</f>
        <v>44</v>
      </c>
      <c r="AK31" s="59">
        <f ca="1">Games!N27</f>
        <v>91</v>
      </c>
      <c r="AL31" s="46" t="e" vm="110">
        <f>_xlfn.XLOOKUP(AM31,Teams!$C:$C,Teams!$E:$E,,0,1)</f>
        <v>#VALUE!</v>
      </c>
      <c r="AM31" s="37" t="str">
        <f>Games!I27</f>
        <v>Vanderbilt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 ca="1">Games!O72</f>
        <v>Saint Mary's (CA)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Michigan State</v>
      </c>
      <c r="D33" s="70" t="e" vm="79">
        <f>_xlfn.XLOOKUP(C33,Teams!$C:$C,Teams!$E:$E,,0,1)</f>
        <v>#VALUE!</v>
      </c>
      <c r="E33" s="46">
        <f ca="1">Games!L12</f>
        <v>120</v>
      </c>
      <c r="F33" s="262" t="str">
        <f ca="1">Games!O12</f>
        <v>Michigan State</v>
      </c>
      <c r="G33" s="247" t="e" vm="79">
        <f ca="1">_xlfn.XLOOKUP(F33,Teams!$C:$C,Teams!$E:$E,,0,1)</f>
        <v>#VALUE!</v>
      </c>
      <c r="H33" s="277">
        <f ca="1">Games!N41</f>
        <v>105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 ca="1">Games!N49</f>
        <v>93</v>
      </c>
      <c r="AI33" s="249" t="e" vm="111">
        <f ca="1">_xlfn.XLOOKUP(AJ33,Teams!$C:$C,Teams!$E:$E,,0,1)</f>
        <v>#VALUE!</v>
      </c>
      <c r="AJ33" s="262" t="str">
        <f ca="1">Games!O28</f>
        <v>Alabama</v>
      </c>
      <c r="AK33" s="58">
        <f ca="1">Games!L28</f>
        <v>120</v>
      </c>
      <c r="AL33" s="46" t="e" vm="111">
        <f>_xlfn.XLOOKUP(AM33,Teams!$C:$C,Teams!$E:$E,,0,1)</f>
        <v>#VALUE!</v>
      </c>
      <c r="AM33" s="37" t="str">
        <f>Games!G28</f>
        <v>Alabama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Bryant</v>
      </c>
      <c r="D35" s="70" t="e" vm="80">
        <f>_xlfn.XLOOKUP(C35,Teams!$C:$C,Teams!$E:$E,,0,1)</f>
        <v>#VALUE!</v>
      </c>
      <c r="E35" s="48">
        <f ca="1">Games!N12</f>
        <v>95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 ca="1">Games!N28</f>
        <v>91</v>
      </c>
      <c r="AL35" s="46" t="e" vm="112">
        <f>_xlfn.XLOOKUP(AM35,Teams!$C:$C,Teams!$E:$E,,0,1)</f>
        <v>#VALUE!</v>
      </c>
      <c r="AM35" s="37" t="str">
        <f>Games!I28</f>
        <v>Robert Morris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 ca="1">Games!L13</f>
        <v>102</v>
      </c>
      <c r="F37" s="262" t="str">
        <f ca="1">Games!O13</f>
        <v>Norfolk State</v>
      </c>
      <c r="G37" s="247" t="e" vm="82">
        <f ca="1">_xlfn.XLOOKUP(F37,Teams!$C:$C,Teams!$E:$E,,0,1)</f>
        <v>#VALUE!</v>
      </c>
      <c r="H37" s="264">
        <f ca="1">Games!L42</f>
        <v>119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 ca="1">Games!L50</f>
        <v>94</v>
      </c>
      <c r="AI37" s="249" t="e" vm="113">
        <f ca="1">_xlfn.XLOOKUP(AJ37,Teams!$C:$C,Teams!$E:$E,,0,1)</f>
        <v>#VALUE!</v>
      </c>
      <c r="AJ37" s="262" t="str">
        <f ca="1">Games!O29</f>
        <v>Houston</v>
      </c>
      <c r="AK37" s="58">
        <f ca="1">Games!L29</f>
        <v>105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 ca="1">Games!N13</f>
        <v>113</v>
      </c>
      <c r="F39" s="282">
        <f>IF($AU$5=TRUE,F31+1,"")</f>
        <v>37</v>
      </c>
      <c r="G39" s="14"/>
      <c r="H39" s="49"/>
      <c r="I39" s="279" t="str">
        <f ca="1">Games!O42</f>
        <v>Norfolk State</v>
      </c>
      <c r="J39" s="247" t="e" vm="82">
        <f ca="1">_xlfn.XLOOKUP(I39,Teams!$C:$C,Teams!$E:$E,,0,1)</f>
        <v>#VALUE!</v>
      </c>
      <c r="K39" s="264">
        <f ca="1">Games!L57</f>
        <v>98</v>
      </c>
      <c r="L39" s="25"/>
      <c r="M39" s="25"/>
      <c r="O39" s="25"/>
      <c r="P39" s="25"/>
      <c r="Q39" s="50"/>
      <c r="R39" s="25"/>
      <c r="S39" s="25"/>
      <c r="T39" s="267">
        <f ca="1">Games!N72</f>
        <v>116</v>
      </c>
      <c r="U39" s="293" t="e" vm="109">
        <f ca="1">_xlfn.XLOOKUP(V39,Teams!$C:$C,Teams!$E:$E,,0,1)</f>
        <v>#VALUE!</v>
      </c>
      <c r="V39" s="262" t="str">
        <f ca="1">Games!O70</f>
        <v>Saint Mary's (CA)</v>
      </c>
      <c r="W39" s="262"/>
      <c r="X39" s="295"/>
      <c r="Y39" s="56"/>
      <c r="AA39" s="25"/>
      <c r="AD39" s="25"/>
      <c r="AE39" s="269">
        <f ca="1">Games!L61</f>
        <v>93</v>
      </c>
      <c r="AF39" s="249" t="e" vm="116">
        <f ca="1">_xlfn.XLOOKUP(AG39,Teams!$C:$C,Teams!$E:$E,,0,1)</f>
        <v>#VALUE!</v>
      </c>
      <c r="AG39" s="262" t="str">
        <f ca="1">Games!O50</f>
        <v>Georgia</v>
      </c>
      <c r="AH39" s="55"/>
      <c r="AI39" s="51"/>
      <c r="AJ39" s="282">
        <f>IF($AU$5=TRUE,AJ31+1,"")</f>
        <v>45</v>
      </c>
      <c r="AK39" s="59">
        <f ca="1">Games!N29</f>
        <v>99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 ca="1">Games!L14</f>
        <v>94</v>
      </c>
      <c r="F41" s="262" t="str">
        <f ca="1">Games!O14</f>
        <v>Connecticut</v>
      </c>
      <c r="G41" s="247" t="e" vm="83">
        <f ca="1">_xlfn.XLOOKUP(F41,Teams!$C:$C,Teams!$E:$E,,0,1)</f>
        <v>#VALUE!</v>
      </c>
      <c r="H41" s="277">
        <f ca="1">Games!N42</f>
        <v>93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 ca="1">Games!N50</f>
        <v>97</v>
      </c>
      <c r="AI41" s="249" t="e" vm="116">
        <f ca="1">_xlfn.XLOOKUP(AJ41,Teams!$C:$C,Teams!$E:$E,,0,1)</f>
        <v>#VALUE!</v>
      </c>
      <c r="AJ41" s="262" t="str">
        <f ca="1">Games!O30</f>
        <v>Georgia</v>
      </c>
      <c r="AK41" s="58">
        <f ca="1">Games!L30</f>
        <v>94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 ca="1">Games!N14</f>
        <v>90</v>
      </c>
      <c r="F43" s="24"/>
      <c r="G43" s="24"/>
      <c r="I43" s="283">
        <f>IF($AU$5=TRUE,I27+1,"")</f>
        <v>51</v>
      </c>
      <c r="J43" s="15"/>
      <c r="K43" s="50"/>
      <c r="L43" s="279" t="str">
        <f ca="1">Games!O57</f>
        <v>Colorado State</v>
      </c>
      <c r="M43" s="247" t="e" vm="86">
        <f ca="1">_xlfn.XLOOKUP(L43,Teams!$C:$C,Teams!$E:$E,,0,1)</f>
        <v>#VALUE!</v>
      </c>
      <c r="N43" s="264">
        <f ca="1">Games!L65</f>
        <v>109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 ca="1">Games!L67</f>
        <v>91</v>
      </c>
      <c r="AC43" s="249" t="e" vm="119">
        <f ca="1">_xlfn.XLOOKUP(AD43,Teams!$C:$C,Teams!$E:$E,,0,1)</f>
        <v>#VALUE!</v>
      </c>
      <c r="AD43" s="291" t="str">
        <f ca="1">Games!O61</f>
        <v>Purdue</v>
      </c>
      <c r="AE43" s="56"/>
      <c r="AG43" s="283">
        <f>IF($AU$5=TRUE,AG27+1,"")</f>
        <v>55</v>
      </c>
      <c r="AJ43" s="24"/>
      <c r="AK43" s="59">
        <f ca="1">Games!N30</f>
        <v>114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 ca="1">Games!L15</f>
        <v>92</v>
      </c>
      <c r="F45" s="262" t="str">
        <f ca="1">Games!O15</f>
        <v>Colorado State</v>
      </c>
      <c r="G45" s="247" t="e" vm="86">
        <f ca="1">_xlfn.XLOOKUP(F45,Teams!$C:$C,Teams!$E:$E,,0,1)</f>
        <v>#VALUE!</v>
      </c>
      <c r="H45" s="264">
        <f ca="1">Games!L43</f>
        <v>115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 ca="1">Games!L51</f>
        <v>105</v>
      </c>
      <c r="AI45" s="249" t="e" vm="117">
        <f ca="1">_xlfn.XLOOKUP(AJ45,Teams!$C:$C,Teams!$E:$E,,0,1)</f>
        <v>#VALUE!</v>
      </c>
      <c r="AJ45" s="262" t="str">
        <f ca="1">Games!O31</f>
        <v>Clemson</v>
      </c>
      <c r="AK45" s="58">
        <f ca="1">Games!L31</f>
        <v>115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 ca="1">Games!N15</f>
        <v>113</v>
      </c>
      <c r="F47" s="282">
        <f>IF($AU$5=TRUE,F39+1,"")</f>
        <v>38</v>
      </c>
      <c r="G47" s="14"/>
      <c r="H47" s="49"/>
      <c r="I47" s="279" t="str">
        <f ca="1">Games!O43</f>
        <v>Colorado State</v>
      </c>
      <c r="J47" s="247" t="e" vm="86">
        <f ca="1">_xlfn.XLOOKUP(I47,Teams!$C:$C,Teams!$E:$E,,0,1)</f>
        <v>#VALUE!</v>
      </c>
      <c r="K47" s="277">
        <f ca="1">Games!N57</f>
        <v>110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 ca="1">Games!N61</f>
        <v>119</v>
      </c>
      <c r="AF47" s="249" t="e" vm="119">
        <f ca="1">_xlfn.XLOOKUP(AG47,Teams!$C:$C,Teams!$E:$E,,0,1)</f>
        <v>#VALUE!</v>
      </c>
      <c r="AG47" s="262" t="str">
        <f ca="1">Games!O51</f>
        <v>Purdue</v>
      </c>
      <c r="AH47" s="55"/>
      <c r="AI47" s="51"/>
      <c r="AJ47" s="282">
        <f>IF($AU$5=TRUE,AJ39+1,"")</f>
        <v>46</v>
      </c>
      <c r="AK47" s="59">
        <f ca="1">Games!N31</f>
        <v>102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 ca="1">Games!L16</f>
        <v>102</v>
      </c>
      <c r="F49" s="262" t="str">
        <f ca="1">Games!O16</f>
        <v>Maryland</v>
      </c>
      <c r="G49" s="247" t="e" vm="87">
        <f ca="1">_xlfn.XLOOKUP(F49,Teams!$C:$C,Teams!$E:$E,,0,1)</f>
        <v>#VALUE!</v>
      </c>
      <c r="H49" s="277">
        <f ca="1">Games!N43</f>
        <v>94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 ca="1">Games!N51</f>
        <v>115</v>
      </c>
      <c r="AI49" s="249" t="e" vm="119">
        <f ca="1">_xlfn.XLOOKUP(AJ49,Teams!$C:$C,Teams!$E:$E,,0,1)</f>
        <v>#VALUE!</v>
      </c>
      <c r="AJ49" s="262" t="str">
        <f ca="1">Games!O32</f>
        <v>Purdue</v>
      </c>
      <c r="AK49" s="58">
        <f ca="1">Games!L32</f>
        <v>101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 ca="1">Games!N16</f>
        <v>95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 ca="1">Games!O65</f>
        <v>UNC Wilmington</v>
      </c>
      <c r="P51" s="247" t="e" vm="92">
        <f ca="1">_xlfn.XLOOKUP(O51,Teams!$C:$C,Teams!$E:$E,,0,1)</f>
        <v>#VALUE!</v>
      </c>
      <c r="Q51" s="277">
        <f ca="1">Games!N69</f>
        <v>99</v>
      </c>
      <c r="R51" s="25"/>
      <c r="S51" s="25"/>
      <c r="T51" s="25"/>
      <c r="U51" s="75"/>
      <c r="V51" s="25"/>
      <c r="W51" s="25"/>
      <c r="X51" s="25"/>
      <c r="Y51" s="269">
        <f ca="1">Games!N70</f>
        <v>109</v>
      </c>
      <c r="Z51" s="249" t="e" vm="127">
        <f ca="1">_xlfn.XLOOKUP(AA51,Teams!$C:$C,Teams!$E:$E,,0,1)</f>
        <v>#VALUE!</v>
      </c>
      <c r="AA51" s="262" t="str">
        <f ca="1">Games!O67</f>
        <v>Tennessee</v>
      </c>
      <c r="AB51" s="56"/>
      <c r="AD51" s="266" t="s">
        <v>14</v>
      </c>
      <c r="AE51" s="266"/>
      <c r="AF51" s="20"/>
      <c r="AG51" s="24"/>
      <c r="AJ51" s="24"/>
      <c r="AK51" s="59">
        <f ca="1">Games!N32</f>
        <v>98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 ca="1">Games!L17</f>
        <v>104</v>
      </c>
      <c r="F53" s="262" t="str">
        <f ca="1">Games!O17</f>
        <v>Missouri</v>
      </c>
      <c r="G53" s="247" t="e" vm="89">
        <f ca="1">_xlfn.XLOOKUP(F53,Teams!$C:$C,Teams!$E:$E,,0,1)</f>
        <v>#VALUE!</v>
      </c>
      <c r="H53" s="264">
        <f ca="1">Games!L44</f>
        <v>101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 ca="1">Games!L52</f>
        <v>92</v>
      </c>
      <c r="AI53" s="249" t="e" vm="121">
        <f ca="1">_xlfn.XLOOKUP(AJ53,Teams!$C:$C,Teams!$E:$E,,0,1)</f>
        <v>#VALUE!</v>
      </c>
      <c r="AJ53" s="262" t="str">
        <f ca="1">Games!O33</f>
        <v>Illinois</v>
      </c>
      <c r="AK53" s="58">
        <f ca="1">Games!L33</f>
        <v>103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 ca="1">Games!N17</f>
        <v>96</v>
      </c>
      <c r="F55" s="282">
        <f>IF($AU$5=TRUE,F47+1,"")</f>
        <v>39</v>
      </c>
      <c r="G55" s="14"/>
      <c r="H55" s="49"/>
      <c r="I55" s="279" t="str">
        <f ca="1">Games!O44</f>
        <v>UNC Wilmington</v>
      </c>
      <c r="J55" s="247" t="e" vm="92">
        <f ca="1">_xlfn.XLOOKUP(I55,Teams!$C:$C,Teams!$E:$E,,0,1)</f>
        <v>#VALUE!</v>
      </c>
      <c r="K55" s="264">
        <f ca="1">Games!L58</f>
        <v>106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 ca="1">Games!L62</f>
        <v>108</v>
      </c>
      <c r="AF55" s="249" t="e" vm="123">
        <f ca="1">_xlfn.XLOOKUP(AG55,Teams!$C:$C,Teams!$E:$E,,0,1)</f>
        <v>#VALUE!</v>
      </c>
      <c r="AG55" s="262" t="str">
        <f ca="1">Games!O52</f>
        <v>Kentucky</v>
      </c>
      <c r="AH55" s="55"/>
      <c r="AI55" s="51"/>
      <c r="AJ55" s="282">
        <f>IF($AU$5=TRUE,AJ47+1,"")</f>
        <v>47</v>
      </c>
      <c r="AK55" s="59">
        <f ca="1">Games!N33</f>
        <v>101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 ca="1">Games!L18</f>
        <v>106</v>
      </c>
      <c r="F57" s="262" t="str">
        <f ca="1">Games!O18</f>
        <v>UNC Wilmington</v>
      </c>
      <c r="G57" s="247" t="e" vm="92">
        <f ca="1">_xlfn.XLOOKUP(F57,Teams!$C:$C,Teams!$E:$E,,0,1)</f>
        <v>#VALUE!</v>
      </c>
      <c r="H57" s="277">
        <f ca="1">Games!N44</f>
        <v>111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 ca="1">Games!N52</f>
        <v>96</v>
      </c>
      <c r="AI57" s="249" t="e" vm="123">
        <f ca="1">_xlfn.XLOOKUP(AJ57,Teams!$C:$C,Teams!$E:$E,,0,1)</f>
        <v>#VALUE!</v>
      </c>
      <c r="AJ57" s="262" t="str">
        <f ca="1">Games!O34</f>
        <v>Kentucky</v>
      </c>
      <c r="AK57" s="58">
        <f ca="1">Games!L34</f>
        <v>116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 ca="1">Games!N18</f>
        <v>107</v>
      </c>
      <c r="F59" s="24"/>
      <c r="G59" s="24"/>
      <c r="I59" s="283">
        <f>IF($AU$5=TRUE,I43+1,"")</f>
        <v>52</v>
      </c>
      <c r="J59" s="15"/>
      <c r="K59" s="50"/>
      <c r="L59" s="279" t="str">
        <f ca="1">Games!O58</f>
        <v>UNC Wilmington</v>
      </c>
      <c r="M59" s="247" t="e" vm="92">
        <f ca="1">_xlfn.XLOOKUP(L59,Teams!$C:$C,Teams!$E:$E,,0,1)</f>
        <v>#VALUE!</v>
      </c>
      <c r="N59" s="277">
        <f ca="1">Games!N65</f>
        <v>112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 ca="1">Games!N67</f>
        <v>97</v>
      </c>
      <c r="AC59" s="249" t="e" vm="127">
        <f ca="1">_xlfn.XLOOKUP(AD59,Teams!$C:$C,Teams!$E:$E,,0,1)</f>
        <v>#VALUE!</v>
      </c>
      <c r="AD59" s="262" t="str">
        <f ca="1">Games!O62</f>
        <v>Tennessee</v>
      </c>
      <c r="AE59" s="56"/>
      <c r="AG59" s="283">
        <f>IF($AU$5=TRUE,AG43+1,"")</f>
        <v>56</v>
      </c>
      <c r="AJ59" s="24"/>
      <c r="AK59" s="59">
        <f ca="1">Games!N34</f>
        <v>97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 ca="1">Games!L19</f>
        <v>91</v>
      </c>
      <c r="F61" s="262" t="str">
        <f ca="1">Games!O19</f>
        <v>Arkansas</v>
      </c>
      <c r="G61" s="247" t="e" vm="94">
        <f ca="1">_xlfn.XLOOKUP(F61,Teams!$C:$C,Teams!$E:$E,,0,1)</f>
        <v>#VALUE!</v>
      </c>
      <c r="H61" s="264">
        <f ca="1">Games!L45</f>
        <v>90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 ca="1">Games!L53</f>
        <v>117</v>
      </c>
      <c r="AI61" s="249" t="e" vm="125">
        <f ca="1">_xlfn.XLOOKUP(AJ61,Teams!$C:$C,Teams!$E:$E,,0,1)</f>
        <v>#VALUE!</v>
      </c>
      <c r="AJ61" s="262" t="str">
        <f ca="1">Games!O35</f>
        <v>UCLA</v>
      </c>
      <c r="AK61" s="58">
        <f ca="1">Games!L35</f>
        <v>97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 ca="1">Games!N19</f>
        <v>106</v>
      </c>
      <c r="F63" s="282">
        <f>IF($AU$5=TRUE,F55+1,"")</f>
        <v>40</v>
      </c>
      <c r="G63" s="14"/>
      <c r="H63" s="49"/>
      <c r="I63" s="279" t="str">
        <f ca="1">Games!O45</f>
        <v>St. John's (NY)</v>
      </c>
      <c r="J63" s="247" t="e" vm="95">
        <f ca="1">_xlfn.XLOOKUP(I63,Teams!$C:$C,Teams!$E:$E,,0,1)</f>
        <v>#VALUE!</v>
      </c>
      <c r="K63" s="277">
        <f ca="1">Games!N58</f>
        <v>90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 ca="1">Games!N62</f>
        <v>113</v>
      </c>
      <c r="AF63" s="249" t="e" vm="127">
        <f ca="1">_xlfn.XLOOKUP(AG63,Teams!$C:$C,Teams!$E:$E,,0,1)</f>
        <v>#VALUE!</v>
      </c>
      <c r="AG63" s="262" t="str">
        <f ca="1">Games!O53</f>
        <v>Tennessee</v>
      </c>
      <c r="AH63" s="55"/>
      <c r="AI63" s="51"/>
      <c r="AJ63" s="282">
        <f>IF($AU$5=TRUE,AJ55+1,"")</f>
        <v>48</v>
      </c>
      <c r="AK63" s="59">
        <f ca="1">Games!N35</f>
        <v>93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 ca="1">Games!L20</f>
        <v>117</v>
      </c>
      <c r="F65" s="262" t="str">
        <f ca="1">Games!O20</f>
        <v>St. John's (NY)</v>
      </c>
      <c r="G65" s="247" t="e" vm="95">
        <f ca="1">_xlfn.XLOOKUP(F65,Teams!$C:$C,Teams!$E:$E,,0,1)</f>
        <v>#VALUE!</v>
      </c>
      <c r="H65" s="277">
        <f ca="1">Games!N45</f>
        <v>90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 ca="1">Games!N53</f>
        <v>117</v>
      </c>
      <c r="AI65" s="249" t="e" vm="127">
        <f ca="1">_xlfn.XLOOKUP(AJ65,Teams!$C:$C,Teams!$E:$E,,0,1)</f>
        <v>#VALUE!</v>
      </c>
      <c r="AJ65" s="262" t="str">
        <f ca="1">Games!O36</f>
        <v>Tennessee</v>
      </c>
      <c r="AK65" s="58">
        <f ca="1">Games!L36</f>
        <v>118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 ca="1">Games!N20</f>
        <v>108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 ca="1">Games!N36</f>
        <v>90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2026-03-12T01:41:24Z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