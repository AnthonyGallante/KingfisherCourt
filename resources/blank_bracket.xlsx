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703CFEDC-695F-4479-BEBF-DB08A337656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E3" i="3" s="1"/>
  <c r="D4" i="3"/>
  <c r="E4" i="3" s="1"/>
  <c r="D5" i="3"/>
  <c r="E5" i="3" s="1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D12" i="3"/>
  <c r="E12" i="3" s="1"/>
  <c r="D13" i="3"/>
  <c r="E13" i="3" s="1"/>
  <c r="D14" i="3"/>
  <c r="E14" i="3" s="1"/>
  <c r="D15" i="3"/>
  <c r="E15" i="3" s="1"/>
  <c r="D16" i="3"/>
  <c r="E16" i="3" s="1"/>
  <c r="D17" i="3"/>
  <c r="E17" i="3" s="1"/>
  <c r="D50" i="3"/>
  <c r="E50" i="3" s="1"/>
  <c r="D51" i="3"/>
  <c r="E51" i="3" s="1"/>
  <c r="D52" i="3"/>
  <c r="E52" i="3" s="1"/>
  <c r="D53" i="3"/>
  <c r="E53" i="3" s="1"/>
  <c r="D54" i="3"/>
  <c r="E54" i="3" s="1"/>
  <c r="D55" i="3"/>
  <c r="E55" i="3" s="1"/>
  <c r="D56" i="3"/>
  <c r="E56" i="3" s="1"/>
  <c r="D57" i="3"/>
  <c r="E57" i="3" s="1"/>
  <c r="D58" i="3"/>
  <c r="E58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65" i="3"/>
  <c r="E65" i="3" s="1"/>
  <c r="D2" i="3"/>
  <c r="E2" i="3" s="1"/>
  <c r="E2" i="6" a="1"/>
  <c r="E2" i="6"/>
  <c r="E3" i="6" a="1"/>
  <c r="E3" i="6"/>
  <c r="E4" i="6" a="1"/>
  <c r="E4" i="6"/>
  <c r="E5" i="6" a="1"/>
  <c r="E5" i="6"/>
  <c r="E6" i="6" a="1"/>
  <c r="E6" i="6"/>
  <c r="E7" i="6" a="1"/>
  <c r="E7" i="6"/>
  <c r="E8" i="6" a="1"/>
  <c r="E8" i="6"/>
  <c r="E9" i="6" a="1"/>
  <c r="E9" i="6"/>
  <c r="E10" i="6" a="1"/>
  <c r="E10" i="6"/>
  <c r="E11" i="6" a="1"/>
  <c r="E11" i="6"/>
  <c r="E12" i="6" a="1"/>
  <c r="E12" i="6"/>
  <c r="E13" i="6" a="1"/>
  <c r="E13" i="6"/>
  <c r="E14" i="6" a="1"/>
  <c r="E14" i="6"/>
  <c r="E15" i="6" a="1"/>
  <c r="E15" i="6"/>
  <c r="E16" i="6" a="1"/>
  <c r="E16" i="6"/>
  <c r="E17" i="6" a="1"/>
  <c r="E17" i="6"/>
  <c r="E18" i="6" a="1"/>
  <c r="E18" i="6"/>
  <c r="E19" i="6" a="1"/>
  <c r="E19" i="6"/>
  <c r="E20" i="6" a="1"/>
  <c r="E20" i="6"/>
  <c r="E21" i="6" a="1"/>
  <c r="E21" i="6"/>
  <c r="E22" i="6" a="1"/>
  <c r="E22" i="6"/>
  <c r="E23" i="6" a="1"/>
  <c r="E23" i="6"/>
  <c r="E24" i="6" a="1"/>
  <c r="E24" i="6"/>
  <c r="E25" i="6" a="1"/>
  <c r="E25" i="6"/>
  <c r="E26" i="6" a="1"/>
  <c r="E26" i="6"/>
  <c r="E27" i="6" a="1"/>
  <c r="E27" i="6"/>
  <c r="E28" i="6" a="1"/>
  <c r="E28" i="6"/>
  <c r="E29" i="6" a="1"/>
  <c r="E29" i="6"/>
  <c r="E30" i="6" a="1"/>
  <c r="E30" i="6"/>
  <c r="E31" i="6" a="1"/>
  <c r="E31" i="6"/>
  <c r="E32" i="6" a="1"/>
  <c r="E32" i="6"/>
  <c r="E33" i="6" a="1"/>
  <c r="E33" i="6"/>
  <c r="E34" i="6" a="1"/>
  <c r="E34" i="6"/>
  <c r="E35" i="6" a="1"/>
  <c r="E35" i="6"/>
  <c r="E36" i="6" a="1"/>
  <c r="E36" i="6"/>
  <c r="E37" i="6" a="1"/>
  <c r="E37" i="6"/>
  <c r="E38" i="6" a="1"/>
  <c r="E38" i="6"/>
  <c r="E39" i="6" a="1"/>
  <c r="E39" i="6"/>
  <c r="E40" i="6" a="1"/>
  <c r="E40" i="6"/>
  <c r="E41" i="6" a="1"/>
  <c r="E41" i="6"/>
  <c r="E42" i="6" a="1"/>
  <c r="E42" i="6"/>
  <c r="E43" i="6" a="1"/>
  <c r="E43" i="6"/>
  <c r="E44" i="6" a="1"/>
  <c r="E44" i="6"/>
  <c r="E45" i="6" a="1"/>
  <c r="E45" i="6"/>
  <c r="E46" i="6" a="1"/>
  <c r="E46" i="6"/>
  <c r="E47" i="6" a="1"/>
  <c r="E47" i="6"/>
  <c r="E48" i="6" a="1"/>
  <c r="E48" i="6"/>
  <c r="E49" i="6" a="1"/>
  <c r="E49" i="6"/>
  <c r="E50" i="6" a="1"/>
  <c r="E50" i="6"/>
  <c r="E51" i="6" a="1"/>
  <c r="E51" i="6"/>
  <c r="E52" i="6" a="1"/>
  <c r="E52" i="6"/>
  <c r="E53" i="6" a="1"/>
  <c r="E53" i="6"/>
  <c r="E54" i="6" a="1"/>
  <c r="E54" i="6"/>
  <c r="E55" i="6" a="1"/>
  <c r="E55" i="6"/>
  <c r="E56" i="6" a="1"/>
  <c r="E56" i="6"/>
  <c r="E57" i="6" a="1"/>
  <c r="E57" i="6"/>
  <c r="E58" i="6" a="1"/>
  <c r="E58" i="6"/>
  <c r="E59" i="6" a="1"/>
  <c r="E59" i="6"/>
  <c r="E60" i="6" a="1"/>
  <c r="E60" i="6"/>
  <c r="E61" i="6" a="1"/>
  <c r="E61" i="6"/>
  <c r="E62" i="6" a="1"/>
  <c r="E62" i="6"/>
  <c r="E63" i="6" a="1"/>
  <c r="E63" i="6"/>
  <c r="E64" i="6" a="1"/>
  <c r="E64" i="6"/>
  <c r="E65" i="6" a="1"/>
  <c r="E65" i="6"/>
  <c r="E66" i="6" a="1"/>
  <c r="E66" i="6"/>
  <c r="E67" i="6" a="1"/>
  <c r="E67" i="6"/>
  <c r="E68" i="6" a="1"/>
  <c r="E68" i="6"/>
  <c r="E69" i="6" a="1"/>
  <c r="E69" i="6" s="1"/>
  <c r="E70" i="6" a="1"/>
  <c r="E70" i="6" s="1"/>
  <c r="E71" i="6" a="1"/>
  <c r="E71" i="6" s="1"/>
  <c r="E72" i="6" a="1"/>
  <c r="E72" i="6" s="1"/>
  <c r="E73" i="6" a="1"/>
  <c r="E73" i="6"/>
  <c r="E74" i="6" a="1"/>
  <c r="E74" i="6"/>
  <c r="E75" i="6" a="1"/>
  <c r="E75" i="6"/>
  <c r="E76" i="6" a="1"/>
  <c r="E76" i="6"/>
  <c r="E77" i="6" a="1"/>
  <c r="E77" i="6"/>
  <c r="E78" i="6" a="1"/>
  <c r="E78" i="6"/>
  <c r="E79" i="6" a="1"/>
  <c r="E79" i="6"/>
  <c r="E80" i="6" a="1"/>
  <c r="E80" i="6"/>
  <c r="E81" i="6" a="1"/>
  <c r="E81" i="6"/>
  <c r="E82" i="6" a="1"/>
  <c r="E82" i="6"/>
  <c r="E83" i="6" a="1"/>
  <c r="E83" i="6"/>
  <c r="E84" i="6" a="1"/>
  <c r="E84" i="6"/>
  <c r="E85" i="6" a="1"/>
  <c r="E85" i="6"/>
  <c r="E86" i="6" a="1"/>
  <c r="E86" i="6"/>
  <c r="E87" i="6" a="1"/>
  <c r="E87" i="6"/>
  <c r="E88" i="6" a="1"/>
  <c r="E88" i="6"/>
  <c r="E89" i="6" a="1"/>
  <c r="E89" i="6"/>
  <c r="E90" i="6" a="1"/>
  <c r="E90" i="6"/>
  <c r="E91" i="6" a="1"/>
  <c r="E91" i="6"/>
  <c r="E92" i="6" a="1"/>
  <c r="E92" i="6"/>
  <c r="E93" i="6" a="1"/>
  <c r="E93" i="6"/>
  <c r="E94" i="6" a="1"/>
  <c r="E94" i="6"/>
  <c r="E95" i="6" a="1"/>
  <c r="E95" i="6"/>
  <c r="E96" i="6" a="1"/>
  <c r="E96" i="6"/>
  <c r="E97" i="6" a="1"/>
  <c r="E97" i="6"/>
  <c r="E98" i="6" a="1"/>
  <c r="E98" i="6"/>
  <c r="E99" i="6" a="1"/>
  <c r="E99" i="6"/>
  <c r="E100" i="6" a="1"/>
  <c r="E100" i="6"/>
  <c r="E101" i="6" a="1"/>
  <c r="E101" i="6"/>
  <c r="E102" i="6" a="1"/>
  <c r="E102" i="6"/>
  <c r="E103" i="6" a="1"/>
  <c r="E103" i="6"/>
  <c r="E104" i="6" a="1"/>
  <c r="E104" i="6"/>
  <c r="E105" i="6" a="1"/>
  <c r="E105" i="6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/>
  <c r="E145" i="6" a="1"/>
  <c r="E145" i="6"/>
  <c r="E146" i="6" a="1"/>
  <c r="E146" i="6"/>
  <c r="E147" i="6" a="1"/>
  <c r="E147" i="6"/>
  <c r="E148" i="6" a="1"/>
  <c r="E148" i="6"/>
  <c r="E149" i="6" a="1"/>
  <c r="E149" i="6"/>
  <c r="E150" i="6" a="1"/>
  <c r="E150" i="6"/>
  <c r="E151" i="6" a="1"/>
  <c r="E151" i="6"/>
  <c r="E152" i="6" a="1"/>
  <c r="E152" i="6"/>
  <c r="E153" i="6" a="1"/>
  <c r="E153" i="6"/>
  <c r="E154" i="6" a="1"/>
  <c r="E154" i="6"/>
  <c r="E155" i="6" a="1"/>
  <c r="E155" i="6"/>
  <c r="E156" i="6" a="1"/>
  <c r="E156" i="6"/>
  <c r="E157" i="6" a="1"/>
  <c r="E157" i="6"/>
  <c r="E158" i="6" a="1"/>
  <c r="E158" i="6"/>
  <c r="E159" i="6" a="1"/>
  <c r="E159" i="6"/>
  <c r="E160" i="6" a="1"/>
  <c r="E160" i="6"/>
  <c r="E161" i="6" a="1"/>
  <c r="E161" i="6"/>
  <c r="E162" i="6" a="1"/>
  <c r="E162" i="6"/>
  <c r="E163" i="6" a="1"/>
  <c r="E163" i="6"/>
  <c r="E164" i="6" a="1"/>
  <c r="E164" i="6"/>
  <c r="E165" i="6" a="1"/>
  <c r="E165" i="6"/>
  <c r="E166" i="6" a="1"/>
  <c r="E166" i="6"/>
  <c r="E167" i="6" a="1"/>
  <c r="E167" i="6"/>
  <c r="E168" i="6" a="1"/>
  <c r="E168" i="6"/>
  <c r="E169" i="6" a="1"/>
  <c r="E169" i="6"/>
  <c r="E170" i="6" a="1"/>
  <c r="E170" i="6"/>
  <c r="E171" i="6" a="1"/>
  <c r="E171" i="6"/>
  <c r="E172" i="6" a="1"/>
  <c r="E172" i="6"/>
  <c r="E173" i="6" a="1"/>
  <c r="E173" i="6"/>
  <c r="E174" i="6" a="1"/>
  <c r="E174" i="6"/>
  <c r="E175" i="6" a="1"/>
  <c r="E175" i="6"/>
  <c r="E176" i="6" a="1"/>
  <c r="E176" i="6"/>
  <c r="E177" i="6" a="1"/>
  <c r="E177" i="6"/>
  <c r="E178" i="6" a="1"/>
  <c r="E178" i="6"/>
  <c r="E179" i="6" a="1"/>
  <c r="E179" i="6"/>
  <c r="E180" i="6" a="1"/>
  <c r="E180" i="6"/>
  <c r="E181" i="6" a="1"/>
  <c r="E181" i="6"/>
  <c r="E182" i="6" a="1"/>
  <c r="E182" i="6"/>
  <c r="E183" i="6" a="1"/>
  <c r="E183" i="6"/>
  <c r="E184" i="6" a="1"/>
  <c r="E184" i="6"/>
  <c r="E185" i="6" a="1"/>
  <c r="E185" i="6"/>
  <c r="E186" i="6" a="1"/>
  <c r="E186" i="6"/>
  <c r="E187" i="6" a="1"/>
  <c r="E187" i="6"/>
  <c r="E188" i="6" a="1"/>
  <c r="E188" i="6"/>
  <c r="E189" i="6" a="1"/>
  <c r="E189" i="6"/>
  <c r="E190" i="6" a="1"/>
  <c r="E190" i="6"/>
  <c r="E191" i="6" a="1"/>
  <c r="E191" i="6"/>
  <c r="E192" i="6" a="1"/>
  <c r="E192" i="6"/>
  <c r="E193" i="6" a="1"/>
  <c r="E193" i="6"/>
  <c r="E194" i="6" a="1"/>
  <c r="E194" i="6"/>
  <c r="E195" i="6" a="1"/>
  <c r="E195" i="6"/>
  <c r="E196" i="6" a="1"/>
  <c r="E196" i="6"/>
  <c r="E197" i="6" a="1"/>
  <c r="E197" i="6"/>
  <c r="E198" i="6" a="1"/>
  <c r="E198" i="6"/>
  <c r="E199" i="6" a="1"/>
  <c r="E199" i="6"/>
  <c r="E200" i="6" a="1"/>
  <c r="E200" i="6"/>
  <c r="E201" i="6" a="1"/>
  <c r="E201" i="6"/>
  <c r="E202" i="6" a="1"/>
  <c r="E202" i="6"/>
  <c r="E203" i="6" a="1"/>
  <c r="E203" i="6"/>
  <c r="E204" i="6" a="1"/>
  <c r="E204" i="6"/>
  <c r="E205" i="6" a="1"/>
  <c r="E205" i="6"/>
  <c r="E206" i="6" a="1"/>
  <c r="E206" i="6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/>
  <c r="E215" i="6" a="1"/>
  <c r="E215" i="6"/>
  <c r="E216" i="6" a="1"/>
  <c r="E216" i="6"/>
  <c r="E217" i="6" a="1"/>
  <c r="E217" i="6"/>
  <c r="E218" i="6" a="1"/>
  <c r="E218" i="6"/>
  <c r="E219" i="6" a="1"/>
  <c r="E219" i="6"/>
  <c r="E220" i="6" a="1"/>
  <c r="E220" i="6"/>
  <c r="E221" i="6" a="1"/>
  <c r="E221" i="6"/>
  <c r="E222" i="6" a="1"/>
  <c r="E222" i="6"/>
  <c r="E223" i="6" a="1"/>
  <c r="E223" i="6"/>
  <c r="E224" i="6" a="1"/>
  <c r="E224" i="6"/>
  <c r="E225" i="6" a="1"/>
  <c r="E225" i="6"/>
  <c r="E226" i="6" a="1"/>
  <c r="E226" i="6"/>
  <c r="E227" i="6" a="1"/>
  <c r="E227" i="6"/>
  <c r="E228" i="6" a="1"/>
  <c r="E228" i="6"/>
  <c r="E229" i="6" a="1"/>
  <c r="E229" i="6"/>
  <c r="E230" i="6" a="1"/>
  <c r="E230" i="6"/>
  <c r="E231" i="6" a="1"/>
  <c r="E231" i="6"/>
  <c r="E232" i="6" a="1"/>
  <c r="E232" i="6"/>
  <c r="E233" i="6" a="1"/>
  <c r="E233" i="6"/>
  <c r="E234" i="6" a="1"/>
  <c r="E234" i="6"/>
  <c r="E235" i="6" a="1"/>
  <c r="E235" i="6"/>
  <c r="E236" i="6" a="1"/>
  <c r="E236" i="6"/>
  <c r="E237" i="6" a="1"/>
  <c r="E237" i="6"/>
  <c r="E238" i="6" a="1"/>
  <c r="E238" i="6"/>
  <c r="E239" i="6" a="1"/>
  <c r="E239" i="6"/>
  <c r="E240" i="6" a="1"/>
  <c r="E240" i="6"/>
  <c r="E241" i="6" a="1"/>
  <c r="E241" i="6"/>
  <c r="E242" i="6" a="1"/>
  <c r="E242" i="6"/>
  <c r="E243" i="6" a="1"/>
  <c r="E243" i="6"/>
  <c r="E244" i="6" a="1"/>
  <c r="E244" i="6"/>
  <c r="E245" i="6" a="1"/>
  <c r="E245" i="6"/>
  <c r="E246" i="6" a="1"/>
  <c r="E246" i="6"/>
  <c r="E247" i="6" a="1"/>
  <c r="E247" i="6"/>
  <c r="E248" i="6" a="1"/>
  <c r="E248" i="6" s="1"/>
  <c r="E249" i="6" a="1"/>
  <c r="E249" i="6"/>
  <c r="E250" i="6" a="1"/>
  <c r="E250" i="6"/>
  <c r="E251" i="6" a="1"/>
  <c r="E251" i="6"/>
  <c r="E252" i="6" a="1"/>
  <c r="E252" i="6"/>
  <c r="E253" i="6" a="1"/>
  <c r="E253" i="6"/>
  <c r="E254" i="6" a="1"/>
  <c r="E254" i="6"/>
  <c r="E255" i="6" a="1"/>
  <c r="E255" i="6"/>
  <c r="E256" i="6" a="1"/>
  <c r="E256" i="6"/>
  <c r="E257" i="6" a="1"/>
  <c r="E257" i="6"/>
  <c r="E258" i="6" a="1"/>
  <c r="E258" i="6"/>
  <c r="E259" i="6" a="1"/>
  <c r="E259" i="6"/>
  <c r="E260" i="6" a="1"/>
  <c r="E260" i="6"/>
  <c r="E261" i="6" a="1"/>
  <c r="E261" i="6"/>
  <c r="E262" i="6" a="1"/>
  <c r="E262" i="6"/>
  <c r="E263" i="6" a="1"/>
  <c r="E263" i="6"/>
  <c r="E264" i="6" a="1"/>
  <c r="E264" i="6"/>
  <c r="E265" i="6" a="1"/>
  <c r="E265" i="6"/>
  <c r="E266" i="6" a="1"/>
  <c r="E266" i="6"/>
  <c r="E267" i="6" a="1"/>
  <c r="E267" i="6"/>
  <c r="E268" i="6" a="1"/>
  <c r="E268" i="6"/>
  <c r="E269" i="6" a="1"/>
  <c r="E269" i="6"/>
  <c r="E270" i="6" a="1"/>
  <c r="E270" i="6"/>
  <c r="E271" i="6" a="1"/>
  <c r="E271" i="6"/>
  <c r="E272" i="6" a="1"/>
  <c r="E272" i="6"/>
  <c r="E273" i="6" a="1"/>
  <c r="E273" i="6"/>
  <c r="E274" i="6" a="1"/>
  <c r="E274" i="6"/>
  <c r="E275" i="6" a="1"/>
  <c r="E275" i="6"/>
  <c r="E276" i="6" a="1"/>
  <c r="E276" i="6"/>
  <c r="E277" i="6" a="1"/>
  <c r="E277" i="6"/>
  <c r="E278" i="6" a="1"/>
  <c r="E278" i="6"/>
  <c r="E279" i="6" a="1"/>
  <c r="E279" i="6"/>
  <c r="E280" i="6" a="1"/>
  <c r="E280" i="6"/>
  <c r="E281" i="6" a="1"/>
  <c r="E281" i="6"/>
  <c r="E282" i="6" a="1"/>
  <c r="E282" i="6"/>
  <c r="E283" i="6" a="1"/>
  <c r="E283" i="6"/>
  <c r="E284" i="6" a="1"/>
  <c r="E284" i="6" s="1"/>
  <c r="E285" i="6" a="1"/>
  <c r="E285" i="6" s="1"/>
  <c r="E286" i="6" a="1"/>
  <c r="E286" i="6" s="1"/>
  <c r="E287" i="6" a="1"/>
  <c r="E287" i="6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C51" i="3"/>
  <c r="C52" i="3"/>
  <c r="C53" i="3"/>
  <c r="C54" i="3"/>
  <c r="C56" i="3"/>
  <c r="C57" i="3"/>
  <c r="C58" i="3"/>
  <c r="C59" i="3"/>
  <c r="C60" i="3"/>
  <c r="C61" i="3"/>
  <c r="C62" i="3"/>
  <c r="C63" i="3"/>
  <c r="C64" i="3"/>
  <c r="C65" i="3"/>
  <c r="C50" i="3"/>
  <c r="C35" i="3"/>
  <c r="D35" i="3" s="1"/>
  <c r="E35" i="3" s="1"/>
  <c r="C36" i="3"/>
  <c r="D36" i="3" s="1"/>
  <c r="E36" i="3" s="1"/>
  <c r="C37" i="3"/>
  <c r="D37" i="3" s="1"/>
  <c r="E37" i="3" s="1"/>
  <c r="C38" i="3"/>
  <c r="D38" i="3" s="1"/>
  <c r="E38" i="3" s="1"/>
  <c r="C39" i="3"/>
  <c r="D39" i="3" s="1"/>
  <c r="E39" i="3" s="1"/>
  <c r="C40" i="3"/>
  <c r="D40" i="3" s="1"/>
  <c r="E40" i="3" s="1"/>
  <c r="C41" i="3"/>
  <c r="D41" i="3" s="1"/>
  <c r="E41" i="3" s="1"/>
  <c r="C42" i="3"/>
  <c r="D42" i="3" s="1"/>
  <c r="E42" i="3" s="1"/>
  <c r="C43" i="3"/>
  <c r="D43" i="3" s="1"/>
  <c r="E43" i="3" s="1"/>
  <c r="C44" i="3"/>
  <c r="D44" i="3" s="1"/>
  <c r="E44" i="3" s="1"/>
  <c r="C45" i="3"/>
  <c r="D45" i="3" s="1"/>
  <c r="E45" i="3" s="1"/>
  <c r="D46" i="3"/>
  <c r="E46" i="3" s="1"/>
  <c r="C47" i="3"/>
  <c r="D47" i="3" s="1"/>
  <c r="E47" i="3" s="1"/>
  <c r="C48" i="3"/>
  <c r="D48" i="3" s="1"/>
  <c r="E48" i="3" s="1"/>
  <c r="C49" i="3"/>
  <c r="D49" i="3" s="1"/>
  <c r="E49" i="3" s="1"/>
  <c r="C34" i="3"/>
  <c r="D34" i="3" s="1"/>
  <c r="E34" i="3" s="1"/>
  <c r="C19" i="3"/>
  <c r="D19" i="3" s="1"/>
  <c r="E19" i="3" s="1"/>
  <c r="C20" i="3"/>
  <c r="D20" i="3" s="1"/>
  <c r="E20" i="3" s="1"/>
  <c r="C21" i="3"/>
  <c r="D21" i="3" s="1"/>
  <c r="E21" i="3" s="1"/>
  <c r="C22" i="3"/>
  <c r="D22" i="3" s="1"/>
  <c r="E22" i="3" s="1"/>
  <c r="C23" i="3"/>
  <c r="D23" i="3" s="1"/>
  <c r="E23" i="3" s="1"/>
  <c r="C24" i="3"/>
  <c r="D24" i="3" s="1"/>
  <c r="E24" i="3" s="1"/>
  <c r="C25" i="3"/>
  <c r="D25" i="3" s="1"/>
  <c r="E25" i="3" s="1"/>
  <c r="C26" i="3"/>
  <c r="D26" i="3" s="1"/>
  <c r="E26" i="3" s="1"/>
  <c r="C27" i="3"/>
  <c r="D27" i="3" s="1"/>
  <c r="E27" i="3" s="1"/>
  <c r="C28" i="3"/>
  <c r="D28" i="3" s="1"/>
  <c r="E28" i="3" s="1"/>
  <c r="C29" i="3"/>
  <c r="C30" i="3"/>
  <c r="C31" i="3"/>
  <c r="D31" i="3" s="1"/>
  <c r="E31" i="3" s="1"/>
  <c r="C32" i="3"/>
  <c r="D32" i="3" s="1"/>
  <c r="E32" i="3" s="1"/>
  <c r="C33" i="3"/>
  <c r="D33" i="3" s="1"/>
  <c r="E33" i="3" s="1"/>
  <c r="C18" i="3"/>
  <c r="D18" i="3" s="1"/>
  <c r="E18" i="3" s="1"/>
  <c r="C3" i="3"/>
  <c r="C4" i="3"/>
  <c r="C5" i="3"/>
  <c r="C6" i="3"/>
  <c r="C7" i="3"/>
  <c r="C8" i="3"/>
  <c r="C9" i="3"/>
  <c r="C10" i="3"/>
  <c r="C11" i="3"/>
  <c r="I9" i="2" s="1"/>
  <c r="C12" i="3"/>
  <c r="G10" i="2" s="1"/>
  <c r="C13" i="3"/>
  <c r="I10" i="2" s="1"/>
  <c r="C14" i="3"/>
  <c r="G11" i="2" s="1"/>
  <c r="C15" i="3"/>
  <c r="I11" i="2" s="1"/>
  <c r="C16" i="3"/>
  <c r="G12" i="2" s="1"/>
  <c r="C17" i="3"/>
  <c r="I12" i="2" s="1"/>
  <c r="C2" i="3"/>
  <c r="G5" i="2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I15" i="2"/>
  <c r="I5" i="2"/>
  <c r="G6" i="2"/>
  <c r="I6" i="2"/>
  <c r="G7" i="2"/>
  <c r="I7" i="2"/>
  <c r="G8" i="2"/>
  <c r="I8" i="2"/>
  <c r="G9" i="2"/>
  <c r="G13" i="2"/>
  <c r="I13" i="2"/>
  <c r="G14" i="2"/>
  <c r="I14" i="2"/>
  <c r="G15" i="2"/>
  <c r="G16" i="2"/>
  <c r="I16" i="2"/>
  <c r="G17" i="2"/>
  <c r="I17" i="2"/>
  <c r="G18" i="2"/>
  <c r="F37" i="2"/>
  <c r="F63" i="2"/>
  <c r="F68" i="2"/>
  <c r="F71" i="2"/>
  <c r="AJ2" i="1"/>
  <c r="AM2" i="1"/>
  <c r="I18" i="2" l="1"/>
  <c r="D29" i="3"/>
  <c r="E29" i="3" s="1"/>
  <c r="G19" i="2"/>
  <c r="D30" i="3"/>
  <c r="E30" i="3" s="1"/>
  <c r="K13" i="2"/>
  <c r="K12" i="2"/>
  <c r="M14" i="2"/>
  <c r="K19" i="2"/>
  <c r="K6" i="2"/>
  <c r="K7" i="2"/>
  <c r="M11" i="2"/>
  <c r="K15" i="2"/>
  <c r="M18" i="2"/>
  <c r="M5" i="2"/>
  <c r="K14" i="2"/>
  <c r="K8" i="2"/>
  <c r="K16" i="2"/>
  <c r="K17" i="2"/>
  <c r="K5" i="2"/>
  <c r="C47" i="1"/>
  <c r="D47" i="1" s="1"/>
  <c r="M15" i="2"/>
  <c r="C11" i="1"/>
  <c r="D11" i="1" s="1"/>
  <c r="M6" i="2"/>
  <c r="C15" i="1"/>
  <c r="D15" i="1" s="1"/>
  <c r="M7" i="2"/>
  <c r="C19" i="1"/>
  <c r="D19" i="1" s="1"/>
  <c r="M8" i="2"/>
  <c r="C21" i="1"/>
  <c r="D21" i="1" s="1"/>
  <c r="K9" i="2"/>
  <c r="C23" i="1"/>
  <c r="D23" i="1" s="1"/>
  <c r="M9" i="2"/>
  <c r="C25" i="1"/>
  <c r="D25" i="1" s="1"/>
  <c r="K10" i="2"/>
  <c r="C27" i="1"/>
  <c r="D27" i="1" s="1"/>
  <c r="M10" i="2"/>
  <c r="C29" i="1"/>
  <c r="D29" i="1" s="1"/>
  <c r="K11" i="2"/>
  <c r="C35" i="1"/>
  <c r="D35" i="1" s="1"/>
  <c r="M12" i="2"/>
  <c r="C39" i="1"/>
  <c r="D39" i="1" s="1"/>
  <c r="M13" i="2"/>
  <c r="C51" i="1"/>
  <c r="D51" i="1" s="1"/>
  <c r="M16" i="2"/>
  <c r="C55" i="1"/>
  <c r="D55" i="1" s="1"/>
  <c r="M17" i="2"/>
  <c r="C57" i="1"/>
  <c r="D57" i="1" s="1"/>
  <c r="K18" i="2"/>
  <c r="I19" i="2"/>
  <c r="G20" i="2"/>
  <c r="K20" i="2" s="1"/>
  <c r="I20" i="2"/>
  <c r="M20" i="2" s="1"/>
  <c r="G21" i="2"/>
  <c r="K21" i="2" s="1"/>
  <c r="I21" i="2"/>
  <c r="M21" i="2" s="1"/>
  <c r="G22" i="2"/>
  <c r="I22" i="2"/>
  <c r="M22" i="2" s="1"/>
  <c r="G23" i="2"/>
  <c r="K23" i="2" s="1"/>
  <c r="I23" i="2"/>
  <c r="M23" i="2" s="1"/>
  <c r="G24" i="2"/>
  <c r="K24" i="2" s="1"/>
  <c r="I24" i="2"/>
  <c r="G25" i="2"/>
  <c r="I25" i="2"/>
  <c r="G26" i="2"/>
  <c r="K26" i="2" s="1"/>
  <c r="I26" i="2"/>
  <c r="G27" i="2"/>
  <c r="K27" i="2" s="1"/>
  <c r="I27" i="2"/>
  <c r="M27" i="2" s="1"/>
  <c r="G28" i="2"/>
  <c r="K28" i="2" s="1"/>
  <c r="I28" i="2"/>
  <c r="M28" i="2" s="1"/>
  <c r="G29" i="2"/>
  <c r="K29" i="2" s="1"/>
  <c r="I29" i="2"/>
  <c r="M29" i="2" s="1"/>
  <c r="G30" i="2"/>
  <c r="K30" i="2" s="1"/>
  <c r="I30" i="2"/>
  <c r="M30" i="2" s="1"/>
  <c r="G31" i="2"/>
  <c r="K31" i="2" s="1"/>
  <c r="I31" i="2"/>
  <c r="G32" i="2"/>
  <c r="K32" i="2" s="1"/>
  <c r="I32" i="2"/>
  <c r="M32" i="2" s="1"/>
  <c r="G33" i="2"/>
  <c r="K33" i="2" s="1"/>
  <c r="I33" i="2"/>
  <c r="M33" i="2" s="1"/>
  <c r="G34" i="2"/>
  <c r="K34" i="2" s="1"/>
  <c r="I34" i="2"/>
  <c r="M34" i="2" s="1"/>
  <c r="G35" i="2"/>
  <c r="K35" i="2" s="1"/>
  <c r="I35" i="2"/>
  <c r="M35" i="2" s="1"/>
  <c r="G36" i="2"/>
  <c r="K36" i="2" s="1"/>
  <c r="I36" i="2"/>
  <c r="O35" i="2"/>
  <c r="P35" i="2" s="1"/>
  <c r="AK61" i="1"/>
  <c r="AK33" i="1"/>
  <c r="AK29" i="1"/>
  <c r="E65" i="1"/>
  <c r="E61" i="1"/>
  <c r="O18" i="2"/>
  <c r="P18" i="2" s="1"/>
  <c r="E57" i="1"/>
  <c r="O17" i="2"/>
  <c r="P17" i="2" s="1"/>
  <c r="E53" i="1"/>
  <c r="O16" i="2"/>
  <c r="P16" i="2" s="1"/>
  <c r="E49" i="1"/>
  <c r="O15" i="2"/>
  <c r="P15" i="2" s="1"/>
  <c r="E45" i="1"/>
  <c r="O14" i="2"/>
  <c r="P14" i="2" s="1"/>
  <c r="E41" i="1"/>
  <c r="E37" i="1"/>
  <c r="O13" i="2"/>
  <c r="P13" i="2" s="1"/>
  <c r="E33" i="1"/>
  <c r="O12" i="2"/>
  <c r="P12" i="2" s="1"/>
  <c r="E29" i="1"/>
  <c r="O11" i="2"/>
  <c r="P11" i="2" s="1"/>
  <c r="E21" i="1"/>
  <c r="O9" i="2"/>
  <c r="P9" i="2" s="1"/>
  <c r="E17" i="1"/>
  <c r="O8" i="2"/>
  <c r="P8" i="2" s="1"/>
  <c r="E13" i="1"/>
  <c r="O7" i="2"/>
  <c r="P7" i="2" s="1"/>
  <c r="E11" i="1"/>
  <c r="O6" i="2"/>
  <c r="P6" i="2" s="1"/>
  <c r="O10" i="2"/>
  <c r="P10" i="2" s="1"/>
  <c r="O5" i="2"/>
  <c r="P5" i="2" s="1"/>
  <c r="E5" i="1"/>
  <c r="C59" i="1"/>
  <c r="D59" i="1" s="1"/>
  <c r="C53" i="1"/>
  <c r="D53" i="1" s="1"/>
  <c r="C7" i="1"/>
  <c r="D7" i="1" s="1"/>
  <c r="C17" i="1"/>
  <c r="D17" i="1" s="1"/>
  <c r="C9" i="1"/>
  <c r="D9" i="1" s="1"/>
  <c r="C43" i="1"/>
  <c r="D43" i="1" s="1"/>
  <c r="C31" i="1"/>
  <c r="D31" i="1" s="1"/>
  <c r="C61" i="1"/>
  <c r="D61" i="1" s="1"/>
  <c r="C49" i="1"/>
  <c r="D49" i="1" s="1"/>
  <c r="C45" i="1"/>
  <c r="D45" i="1" s="1"/>
  <c r="C41" i="1"/>
  <c r="D41" i="1" s="1"/>
  <c r="C37" i="1"/>
  <c r="D37" i="1" s="1"/>
  <c r="C33" i="1"/>
  <c r="D33" i="1" s="1"/>
  <c r="C13" i="1"/>
  <c r="D13" i="1" s="1"/>
  <c r="C5" i="1"/>
  <c r="D5" i="1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F19" i="2" a="1"/>
  <c r="F19" i="2" s="1"/>
  <c r="J8" i="2" a="1"/>
  <c r="J8" i="2" s="1"/>
  <c r="F9" i="2" a="1"/>
  <c r="F9" i="2" s="1"/>
  <c r="J9" i="2" a="1"/>
  <c r="J9" i="2" s="1"/>
  <c r="F18" i="2" a="1"/>
  <c r="F18" i="2" s="1"/>
  <c r="F5" i="2" a="1"/>
  <c r="F5" i="2" s="1"/>
  <c r="J5" i="2" a="1"/>
  <c r="J5" i="2" s="1"/>
  <c r="F6" i="2" a="1"/>
  <c r="F6" i="2" s="1"/>
  <c r="F7" i="2" a="1"/>
  <c r="F7" i="2" s="1"/>
  <c r="F8" i="2" a="1"/>
  <c r="F8" i="2" s="1"/>
  <c r="F16" i="2" a="1"/>
  <c r="F16" i="2" s="1"/>
  <c r="J12" i="2" a="1"/>
  <c r="J12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7" i="2" a="1"/>
  <c r="F17" i="2" s="1"/>
  <c r="J11" i="2" a="1"/>
  <c r="J11" i="2" s="1"/>
  <c r="J6" i="2" a="1"/>
  <c r="J6" i="2" s="1"/>
  <c r="J7" i="2" a="1"/>
  <c r="J7" i="2" s="1"/>
  <c r="J10" i="2" a="1"/>
  <c r="J10" i="2" s="1"/>
  <c r="AU5" i="1"/>
  <c r="M36" i="2" l="1"/>
  <c r="AM67" i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AL67" i="1"/>
  <c r="J36" i="2" a="1"/>
  <c r="J36" i="2" s="1"/>
  <c r="R18" i="2"/>
  <c r="R17" i="2"/>
  <c r="R16" i="2"/>
  <c r="R15" i="2"/>
  <c r="R14" i="2"/>
  <c r="R13" i="2"/>
  <c r="R12" i="2"/>
  <c r="R9" i="2"/>
  <c r="R8" i="2"/>
  <c r="R7" i="2"/>
  <c r="R11" i="2"/>
  <c r="R6" i="2"/>
  <c r="R10" i="2"/>
  <c r="R5" i="2"/>
  <c r="F29" i="1"/>
  <c r="G29" i="1" s="1"/>
  <c r="G41" i="2"/>
  <c r="K41" i="2" s="1"/>
  <c r="G40" i="2"/>
  <c r="K40" i="2" s="1"/>
  <c r="F21" i="1"/>
  <c r="G21" i="1" s="1"/>
  <c r="G39" i="2"/>
  <c r="K39" i="2" s="1"/>
  <c r="F13" i="1"/>
  <c r="G13" i="1" s="1"/>
  <c r="I40" i="2"/>
  <c r="M40" i="2" s="1"/>
  <c r="F25" i="1"/>
  <c r="G25" i="1" s="1"/>
  <c r="G38" i="2"/>
  <c r="K38" i="2" s="1"/>
  <c r="F5" i="1"/>
  <c r="G53" i="2"/>
  <c r="K53" i="2" s="1"/>
  <c r="AJ61" i="1"/>
  <c r="AI61" i="1" s="1"/>
  <c r="G44" i="2"/>
  <c r="K44" i="2" s="1"/>
  <c r="F53" i="1"/>
  <c r="G53" i="1" s="1"/>
  <c r="I39" i="2"/>
  <c r="M39" i="2" s="1"/>
  <c r="F17" i="1"/>
  <c r="G17" i="1" s="1"/>
  <c r="F57" i="1"/>
  <c r="G57" i="1" s="1"/>
  <c r="I44" i="2"/>
  <c r="M44" i="2" s="1"/>
  <c r="I38" i="2"/>
  <c r="M38" i="2" s="1"/>
  <c r="F9" i="1"/>
  <c r="G9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I41" i="2"/>
  <c r="M41" i="2" s="1"/>
  <c r="F33" i="1"/>
  <c r="G33" i="1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C11" i="2" s="1"/>
  <c r="B10" i="2"/>
  <c r="A10" i="2"/>
  <c r="B9" i="2"/>
  <c r="A9" i="2"/>
  <c r="B8" i="2"/>
  <c r="A8" i="2"/>
  <c r="C8" i="2" s="1"/>
  <c r="B7" i="2"/>
  <c r="A7" i="2"/>
  <c r="B6" i="2"/>
  <c r="A6" i="2"/>
  <c r="B5" i="2"/>
  <c r="C7" i="2"/>
  <c r="C6" i="2" l="1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G5" i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41" i="2" a="1"/>
  <c r="F41" i="2" s="1"/>
  <c r="F39" i="2" a="1"/>
  <c r="F39" i="2" s="1"/>
  <c r="F38" i="2" a="1"/>
  <c r="F38" i="2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1" i="2"/>
  <c r="P41" i="2" s="1"/>
  <c r="A40" i="2"/>
  <c r="F40" i="2" a="1"/>
  <c r="F40" i="2" s="1"/>
  <c r="O38" i="2"/>
  <c r="P38" i="2" s="1"/>
  <c r="O40" i="2"/>
  <c r="P40" i="2" s="1"/>
  <c r="J40" i="2" a="1"/>
  <c r="J40" i="2" s="1"/>
  <c r="O44" i="2"/>
  <c r="P44" i="2" s="1"/>
  <c r="O43" i="2"/>
  <c r="P43" i="2" s="1"/>
  <c r="A44" i="2"/>
  <c r="F44" i="2" a="1"/>
  <c r="F44" i="2" s="1"/>
  <c r="O42" i="2"/>
  <c r="P42" i="2" s="1"/>
  <c r="J39" i="2" a="1"/>
  <c r="J39" i="2" s="1"/>
  <c r="O39" i="2"/>
  <c r="P39" i="2" s="1"/>
  <c r="J38" i="2" a="1"/>
  <c r="J38" i="2" s="1"/>
  <c r="J44" i="2" a="1"/>
  <c r="J44" i="2" s="1"/>
  <c r="B44" i="2"/>
  <c r="F42" i="2" a="1"/>
  <c r="F42" i="2" s="1"/>
  <c r="F43" i="2" a="1"/>
  <c r="F43" i="2" s="1"/>
  <c r="J42" i="2" a="1"/>
  <c r="J42" i="2" s="1"/>
  <c r="B42" i="2"/>
  <c r="J41" i="2" a="1"/>
  <c r="J41" i="2" s="1"/>
  <c r="B41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A39" i="2"/>
  <c r="C17" i="2"/>
  <c r="A41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A38" i="2"/>
  <c r="B38" i="2"/>
  <c r="C24" i="2"/>
  <c r="C29" i="2"/>
  <c r="B40" i="2"/>
  <c r="A42" i="2"/>
  <c r="C13" i="2"/>
  <c r="C19" i="2"/>
  <c r="A53" i="2"/>
  <c r="B39" i="2"/>
  <c r="K51" i="2" l="1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39" i="2"/>
  <c r="R42" i="2"/>
  <c r="R38" i="2"/>
  <c r="R40" i="2"/>
  <c r="R44" i="2"/>
  <c r="R43" i="2"/>
  <c r="R41" i="2"/>
  <c r="I56" i="2"/>
  <c r="M56" i="2" s="1"/>
  <c r="I31" i="1"/>
  <c r="J31" i="1" s="1"/>
  <c r="G55" i="2"/>
  <c r="K55" i="2" s="1"/>
  <c r="I7" i="1"/>
  <c r="J7" i="1" s="1"/>
  <c r="I23" i="1"/>
  <c r="J23" i="1" s="1"/>
  <c r="G56" i="2"/>
  <c r="K56" i="2" s="1"/>
  <c r="C40" i="2"/>
  <c r="I55" i="1"/>
  <c r="J55" i="1" s="1"/>
  <c r="G58" i="2"/>
  <c r="K58" i="2" s="1"/>
  <c r="C44" i="2"/>
  <c r="I55" i="2"/>
  <c r="M55" i="2" s="1"/>
  <c r="I15" i="1"/>
  <c r="J15" i="1" s="1"/>
  <c r="G57" i="2"/>
  <c r="K57" i="2" s="1"/>
  <c r="I39" i="1"/>
  <c r="J39" i="1" s="1"/>
  <c r="C43" i="2"/>
  <c r="I57" i="2"/>
  <c r="M57" i="2" s="1"/>
  <c r="I47" i="1"/>
  <c r="J47" i="1" s="1"/>
  <c r="C42" i="2"/>
  <c r="C41" i="2"/>
  <c r="C39" i="2"/>
  <c r="C38" i="2"/>
  <c r="C10" i="2"/>
  <c r="R48" i="2" l="1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O56" i="2"/>
  <c r="P56" i="2" s="1"/>
  <c r="J56" i="2" a="1"/>
  <c r="J56" i="2" s="1"/>
  <c r="B56" i="2"/>
  <c r="F55" i="2" a="1"/>
  <c r="F55" i="2" s="1"/>
  <c r="A55" i="2"/>
  <c r="A56" i="2"/>
  <c r="F56" i="2" a="1"/>
  <c r="F56" i="2" s="1"/>
  <c r="A58" i="2"/>
  <c r="F58" i="2" a="1"/>
  <c r="F58" i="2" s="1"/>
  <c r="O57" i="2"/>
  <c r="P57" i="2" s="1"/>
  <c r="B55" i="2"/>
  <c r="J55" i="2" a="1"/>
  <c r="J55" i="2" s="1"/>
  <c r="O55" i="2"/>
  <c r="P55" i="2" s="1"/>
  <c r="A57" i="2"/>
  <c r="F57" i="2" a="1"/>
  <c r="F57" i="2" s="1"/>
  <c r="B57" i="2"/>
  <c r="J57" i="2" a="1"/>
  <c r="J57" i="2" s="1"/>
  <c r="K60" i="2" l="1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R55" i="2"/>
  <c r="R56" i="2"/>
  <c r="L27" i="1"/>
  <c r="M27" i="1" s="1"/>
  <c r="I64" i="2"/>
  <c r="M64" i="2" s="1"/>
  <c r="C56" i="2"/>
  <c r="C55" i="2"/>
  <c r="G64" i="2"/>
  <c r="K64" i="2" s="1"/>
  <c r="L11" i="1"/>
  <c r="M11" i="1" s="1"/>
  <c r="C57" i="2"/>
  <c r="G65" i="2"/>
  <c r="K65" i="2" s="1"/>
  <c r="L43" i="1"/>
  <c r="M43" i="1" s="1"/>
  <c r="C60" i="2" l="1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B64" i="2"/>
  <c r="J64" i="2" a="1"/>
  <c r="J64" i="2" s="1"/>
  <c r="O64" i="2"/>
  <c r="P64" i="2" s="1"/>
  <c r="A64" i="2"/>
  <c r="F64" i="2" a="1"/>
  <c r="F64" i="2" s="1"/>
  <c r="A65" i="2"/>
  <c r="F65" i="2" a="1"/>
  <c r="F65" i="2" s="1"/>
  <c r="O65" i="2" l="1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R64" i="2"/>
  <c r="C64" i="2"/>
  <c r="G69" i="2"/>
  <c r="K69" i="2" s="1"/>
  <c r="O19" i="1"/>
  <c r="P19" i="1" s="1"/>
  <c r="R65" i="2" l="1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A69" i="2"/>
  <c r="F69" i="2" a="1"/>
  <c r="F69" i="2" s="1"/>
  <c r="M69" i="2" l="1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<sst xmlns="http://schemas.openxmlformats.org/spreadsheetml/2006/main" count="1611" uniqueCount="1204">
  <si>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</si>
  <si>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</si>
  <si>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</si>
  <si>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</si>
  <si>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</si>
  <si>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</si>
  <si>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</si>
  <si>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</si>
  <si>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</si>
  <si>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</si>
  <si>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</si>
  <si>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</si>
  <si>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</si>
  <si>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</si>
  <si>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</si>
  <si>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</si>
  <si>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</si>
  <si>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</si>
  <si>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</si>
  <si>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</si>
  <si>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</si>
  <si>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</si>
  <si>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</si>
  <si>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</si>
  <si>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</si>
  <si>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</si>
  <si>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</si>
  <si>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</si>
  <si>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</si>
  <si>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</si>
  <si>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</si>
  <si>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</si>
  <si>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</si>
  <si>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</si>
  <si>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</si>
  <si>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</si>
  <si>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</si>
  <si>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</si>
  <si>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</si>
  <si>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</si>
  <si>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</si>
  <si>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</si>
  <si>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</si>
  <si>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</si>
  <si>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</si>
  <si>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</si>
  <si>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</si>
  <si>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</si>
  <si>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</si>
  <si>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</si>
  <si>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</si>
  <si>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</si>
  <si>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</si>
  <si>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</si>
  <si>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</si>
  <si>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</si>
  <si>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</si>
  <si>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</si>
  <si>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</si>
  <si>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</si>
  <si>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</si>
  <si>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</si>
  <si>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</si>
  <si>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</si>
  <si>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</si>
  <si>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</si>
  <si>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</si>
  <si>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</si>
  <si>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</si>
  <si>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</si>
  <si>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</si>
  <si>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</si>
  <si>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</si>
  <si>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</si>
  <si>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</si>
  <si>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</si>
  <si>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</si>
  <si>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</si>
  <si>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</si>
  <si>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</si>
  <si>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</si>
  <si>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</si>
  <si>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</si>
  <si>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</si>
  <si>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</si>
  <si>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</si>
  <si>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</si>
  <si>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</si>
  <si>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</si>
  <si>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</si>
  <si>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</si>
  <si>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</si>
  <si>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</si>
  <si>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</si>
  <si>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</si>
  <si>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</si>
  <si>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</si>
  <si>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</si>
  <si>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</si>
  <si>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</si>
  <si>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</si>
  <si>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</si>
  <si>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</si>
  <si>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</si>
  <si>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</si>
  <si>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</si>
  <si>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</si>
  <si>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</si>
  <si>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</si>
  <si>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Saint Mary's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</si>
  <si>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</si>
  <si>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</si>
  <si>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</si>
  <si>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</si>
  <si>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</si>
  <si>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</si>
  <si>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</si>
  <si>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</si>
  <si>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</si>
  <si>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</si>
  <si>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</si>
  <si>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</si>
  <si>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</si>
  <si>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</si>
  <si>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</si>
  <si>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</si>
  <si>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</si>
  <si>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</si>
  <si>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</si>
  <si>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</si>
  <si>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</si>
  <si>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</si>
  <si>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</si>
  <si>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</si>
  <si>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</si>
  <si>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</si>
  <si>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</si>
  <si>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</si>
  <si>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</si>
  <si>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</si>
  <si>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</si>
  <si>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</si>
  <si>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</si>
  <si>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</si>
  <si>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</si>
  <si>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</si>
  <si>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</si>
  <si>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</si>
  <si>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</si>
  <si>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</si>
  <si>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</si>
  <si>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</si>
  <si>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</si>
  <si>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</si>
  <si>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</si>
  <si>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</si>
  <si>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</si>
  <si>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</si>
  <si>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</si>
  <si>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</si>
  <si>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</si>
  <si>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</si>
  <si>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</si>
  <si>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</si>
  <si>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</si>
  <si>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</si>
  <si>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</si>
  <si>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</si>
  <si>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</si>
  <si>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</si>
  <si>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</si>
  <si>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</si>
  <si>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</si>
  <si>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</si>
  <si>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</si>
  <si>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</si>
  <si>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</si>
  <si>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</si>
  <si>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</si>
  <si>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</si>
  <si>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</si>
  <si>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</si>
  <si>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</si>
  <si>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</si>
  <si>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</si>
  <si>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</si>
  <si>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</si>
  <si>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</si>
  <si>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</si>
  <si>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</si>
  <si>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</si>
  <si>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</si>
  <si>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</si>
  <si>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</si>
  <si>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</si>
  <si>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</si>
  <si>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</si>
  <si>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</si>
  <si>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</si>
  <si>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</si>
  <si>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</si>
  <si>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</si>
  <si>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</si>
  <si>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</si>
  <si>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</si>
  <si>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</si>
  <si>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</si>
  <si>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</si>
  <si>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McNeese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</si>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</sst>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1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46" fillId="7" borderId="73" xfId="0" applyFont="1" applyFill="1" applyBorder="1" applyAlignment="1">
      <alignment horizontal="center" vertical="center"/>
    </xf>
    <xf numFmtId="0" fontId="48" fillId="5" borderId="73" xfId="0" applyFont="1" applyFill="1" applyBorder="1" applyAlignment="1">
      <alignment horizontal="center" vertical="center" shrinkToFit="1"/>
    </xf>
    <xf numFmtId="0" fontId="48" fillId="3" borderId="73" xfId="0" applyFont="1" applyFill="1" applyBorder="1" applyAlignment="1">
      <alignment horizontal="center" vertical="center" shrinkToFit="1"/>
    </xf>
    <xf numFmtId="0" fontId="48" fillId="5" borderId="74" xfId="0" applyFont="1" applyFill="1" applyBorder="1" applyAlignment="1">
      <alignment horizontal="center" vertical="center" shrinkToFit="1"/>
    </xf>
    <xf numFmtId="0" fontId="48" fillId="5" borderId="75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20" fillId="6" borderId="0" xfId="0" applyFont="1" applyFill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9" fillId="6" borderId="0" xfId="0" applyFont="1" applyFill="1" applyAlignment="1">
      <alignment horizontal="left" vertical="top" wrapText="1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6" fillId="0" borderId="0" xfId="1" applyNumberFormat="1" applyAlignment="1" applyProtection="1"/>
    <xf numFmtId="0" fontId="0" fillId="0" borderId="0" xfId="0" applyFill="1"/>
  </cellXfs>
  <cellStyles count="2">
    <cellStyle name="Hyperlink" xfId="1" builtinId="8"/>
    <cellStyle name="Normal" xfId="0" builtinId="0" customBuiltin="1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kentucky-2025.png" TargetMode="External"/><Relationship Id="rId21" Type="http://schemas.openxmlformats.org/officeDocument/2006/relationships/hyperlink" Target="https://cdn.ssref.net/req/202510241/tlogo/ncaa/iowa-state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grand-canyon-2025.png" TargetMode="External"/><Relationship Id="rId63" Type="http://schemas.openxmlformats.org/officeDocument/2006/relationships/hyperlink" Target="https://cdn.ssref.net/req/202510241/tlogo/ncaa/nebraska-omaha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saint-marys-ca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mcneese-state-2025.png" TargetMode="External"/><Relationship Id="rId11" Type="http://schemas.openxmlformats.org/officeDocument/2006/relationships/hyperlink" Target="https://cdn.ssref.net/req/202510241/tlogo/ncaa/california-san-diego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connecticut-2025.png" TargetMode="External"/><Relationship Id="rId53" Type="http://schemas.openxmlformats.org/officeDocument/2006/relationships/hyperlink" Target="https://cdn.ssref.net/req/202510241/tlogo/ncaa/texas-tech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akron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utah-state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louisville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robert-morris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new-mexico-2025.png" TargetMode="External"/><Relationship Id="rId43" Type="http://schemas.openxmlformats.org/officeDocument/2006/relationships/hyperlink" Target="https://cdn.ssref.net/req/202510241/tlogo/ncaa/colorado-state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mississippi-state-2025.png" TargetMode="External"/><Relationship Id="rId113" Type="http://schemas.openxmlformats.org/officeDocument/2006/relationships/hyperlink" Target="https://cdn.ssref.net/req/202510241/tlogo/ncaa/illinois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wisconsin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mississippi-2025.png" TargetMode="External"/><Relationship Id="rId33" Type="http://schemas.openxmlformats.org/officeDocument/2006/relationships/hyperlink" Target="https://cdn.ssref.net/req/202510241/tlogo/ncaa/florida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arkansas-2025.png" TargetMode="External"/><Relationship Id="rId103" Type="http://schemas.openxmlformats.org/officeDocument/2006/relationships/hyperlink" Target="https://cdn.ssref.net/req/202510241/tlogo/ncaa/georgia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liberty-2025.png" TargetMode="External"/><Relationship Id="rId91" Type="http://schemas.openxmlformats.org/officeDocument/2006/relationships/hyperlink" Target="https://cdn.ssref.net/req/202510241/tlogo/ncaa/vanderbilt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ubur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lipscomb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missouri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troy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duke-2025.png" TargetMode="External"/><Relationship Id="rId81" Type="http://schemas.openxmlformats.org/officeDocument/2006/relationships/hyperlink" Target="https://cdn.ssref.net/req/202510241/tlogo/ncaa/brigham-young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texas-am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oklahoma-2025.png" TargetMode="External"/><Relationship Id="rId109" Type="http://schemas.openxmlformats.org/officeDocument/2006/relationships/hyperlink" Target="https://cdn.ssref.net/req/202510241/tlogo/ncaa/purdu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north-carolina-wilmington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houston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tennessee-2025.png" TargetMode="External"/><Relationship Id="rId7" Type="http://schemas.openxmlformats.org/officeDocument/2006/relationships/hyperlink" Target="https://cdn.ssref.net/req/202510241/tlogo/ncaa/creighton-2025.png" TargetMode="External"/><Relationship Id="rId71" Type="http://schemas.openxmlformats.org/officeDocument/2006/relationships/hyperlink" Target="https://cdn.ssref.net/req/202510241/tlogo/ncaa/baylor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michigan-state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maryland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montana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texas-2025.png" TargetMode="External"/><Relationship Id="rId61" Type="http://schemas.openxmlformats.org/officeDocument/2006/relationships/hyperlink" Target="https://cdn.ssref.net/req/202510241/tlogo/ncaa/st-johns-ny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north-carolina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norfolk-state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arizona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mson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drak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alabama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ucla-2025.png" TargetMode="External"/><Relationship Id="rId3" Type="http://schemas.openxmlformats.org/officeDocument/2006/relationships/hyperlink" Target="https://cdn.ssref.net/req/202510241/tlogo/ncaa/alabama-state-2025.png" TargetMode="External"/><Relationship Id="rId25" Type="http://schemas.openxmlformats.org/officeDocument/2006/relationships/hyperlink" Target="https://cdn.ssref.net/req/202510241/tlogo/ncaa/marquette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mount-st-marys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memphis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virginia-commonwealth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high-point-2025.png" TargetMode="External"/><Relationship Id="rId15" Type="http://schemas.openxmlformats.org/officeDocument/2006/relationships/hyperlink" Target="https://cdn.ssref.net/req/202510241/tlogo/ncaa/yal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kansas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wofford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bryant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oregon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southern-illinois-edwardsville-2025.png" TargetMode="External"/><Relationship Id="rId101" Type="http://schemas.openxmlformats.org/officeDocument/2006/relationships/hyperlink" Target="https://cdn.ssref.net/req/202510241/tlogo/ncaa/gonzaga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michigan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3"/>
    <tableColumn id="3" xr3:uid="{714CBA45-7DDA-43B9-86A4-4C5947403F44}" uniqueName="3" name="Link" queryTableFieldId="3" dataDxfId="2"/>
    <tableColumn id="4" xr3:uid="{51A37069-17DD-4524-B091-9E772D95E297}" uniqueName="4" name="GameLogs" queryTableFieldId="4" dataDxfId="1"/>
    <tableColumn id="6" xr3:uid="{16FD7BE5-C80E-4178-848D-B547195018E8}" uniqueName="6" name="PartialLink" queryTableFieldId="6" dataDxfId="0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5"/>
    <tableColumn id="2" xr3:uid="{78DE4A05-C498-4D0B-9F40-C17FA7BD54F2}" uniqueName="2" name="School" queryTableFieldId="2" dataDxfId="11"/>
    <tableColumn id="3" xr3:uid="{7CC09B42-A5D6-4135-BCC7-6821F6B80932}" uniqueName="3" name="Conference" queryTableFieldId="3" dataDxfId="26"/>
    <tableColumn id="4" xr3:uid="{62F57258-CDB4-4674-B30B-DA4A2823A8F7}" uniqueName="4" name="Record" queryTableFieldId="4" dataDxfId="25"/>
    <tableColumn id="5" xr3:uid="{5B44D440-C6BE-40A2-856A-E7606A828AF9}" uniqueName="5" name="Overall Seed" queryTableFieldId="5"/>
    <tableColumn id="6" xr3:uid="{6E408D58-4E81-4D2A-8D4C-7C9D52504CB1}" uniqueName="6" name="Berth type" queryTableFieldId="6" dataDxfId="24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6"/>
    <tableColumn id="2" xr3:uid="{318C6D88-4C71-4065-9166-754DBB06CDF3}" uniqueName="2" name="School" queryTableFieldId="2" dataDxfId="10"/>
    <tableColumn id="3" xr3:uid="{8782A040-6A72-4EF0-9E3B-D04CB05B9B1F}" uniqueName="3" name="Conference" queryTableFieldId="3" dataDxfId="23"/>
    <tableColumn id="4" xr3:uid="{77811D70-5737-4156-904E-3CFA942ADE37}" uniqueName="4" name="Record" queryTableFieldId="4" dataDxfId="22"/>
    <tableColumn id="5" xr3:uid="{EB8CFD1B-4455-4102-B38D-54D8839ACEF5}" uniqueName="5" name="Overall Seed" queryTableFieldId="5"/>
    <tableColumn id="6" xr3:uid="{00852EED-943F-4E6D-BFED-C311AD702E03}" uniqueName="6" name="Berth type" queryTableFieldId="6" dataDxfId="21"/>
    <tableColumn id="7" xr3:uid="{CE863DF9-440E-4510-8B3C-221536233193}" uniqueName="7" name="Last bid" queryTableFieldId="7" dataDxfId="2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7"/>
    <tableColumn id="2" xr3:uid="{E6E08EB4-9BEE-4909-976A-99D0799700B3}" uniqueName="2" name="School" queryTableFieldId="2" dataDxfId="8"/>
    <tableColumn id="3" xr3:uid="{7B46D560-8AE0-4BC2-83FB-631D0FC66B2A}" uniqueName="3" name="Conference" queryTableFieldId="3" dataDxfId="19"/>
    <tableColumn id="4" xr3:uid="{EFA36807-02A1-45D7-8F0A-ECC542E768AE}" uniqueName="4" name="Record" queryTableFieldId="4" dataDxfId="18"/>
    <tableColumn id="5" xr3:uid="{4EC922CE-001E-4B7F-A2EC-07B513BA8EEA}" uniqueName="5" name="Overall Seed" queryTableFieldId="5"/>
    <tableColumn id="6" xr3:uid="{459A801E-FBA0-4A19-9BB3-B5177440D4A4}" uniqueName="6" name="Berth type" queryTableFieldId="6" dataDxfId="17"/>
    <tableColumn id="7" xr3:uid="{4643D0FD-05E4-4698-81A2-A70E1313C7C3}" uniqueName="7" name="Last bid" queryTableFieldId="7" dataDxfId="1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4"/>
    <tableColumn id="2" xr3:uid="{FD047E89-58A0-4620-9E73-146177F30828}" uniqueName="2" name="School" queryTableFieldId="2" dataDxfId="9"/>
    <tableColumn id="3" xr3:uid="{BF61A592-AD1A-4F02-A80D-E2C9CC48EA52}" uniqueName="3" name="Conference" queryTableFieldId="3" dataDxfId="15"/>
    <tableColumn id="4" xr3:uid="{5E058945-3CBA-4D3A-A9D2-C8743F065EFC}" uniqueName="4" name="Record" queryTableFieldId="4" dataDxfId="14"/>
    <tableColumn id="5" xr3:uid="{377C40F8-0DB9-4EE1-9D40-BDD673824BCA}" uniqueName="5" name="Overall Seed" queryTableFieldId="5"/>
    <tableColumn id="6" xr3:uid="{460BEB55-810E-41E3-89CD-3779FD85F1E5}" uniqueName="6" name="Berth type" queryTableFieldId="6" dataDxfId="13"/>
    <tableColumn id="7" xr3:uid="{775CB71F-5F81-4263-A2EF-9D3FCD30A5E1}" uniqueName="7" name="Last bid" queryTableFieldId="7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32" tableBorderDxfId="31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0" dataCellStyle="Normal"/>
    <tableColumn id="3" xr3:uid="{4CDAB027-D970-460D-AAC2-EB0B9485FD8C}" name="Region" dataDxfId="29" dataCellStyle="Normal"/>
    <tableColumn id="2" xr3:uid="{E218ED8F-68F8-429A-9939-575EF5D8461D}" name="Team" dataCellStyle="Normal">
      <calculatedColumnFormula>_xlfn.CONCAT("Team",Teams[[#This Row],[Region]],Teams[[#This Row],[Seed]])</calculatedColumnFormula>
    </tableColumn>
    <tableColumn id="5" xr3:uid="{5B5B6B66-69E6-43F4-9B60-841171B24FC7}" name="Hyperlink Name" dataDxfId="28">
      <calculatedColumnFormula>_xlfn.XLOOKUP(Teams[[#This Row],[Team]],Team_Links[School],Team_Links[PartialLink],,0,1)</calculatedColumnFormula>
    </tableColumn>
    <tableColumn id="4" xr3:uid="{5DE08296-6B22-41D3-9B0D-54A014588C20}" name="Logo" dataDxfId="27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B169" workbookViewId="0">
      <selection activeCell="B170" sqref="B170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218</v>
      </c>
      <c r="B1" t="s">
        <v>128</v>
      </c>
      <c r="C1" t="s">
        <v>219</v>
      </c>
      <c r="D1" t="s">
        <v>220</v>
      </c>
      <c r="E1" t="s">
        <v>1203</v>
      </c>
    </row>
    <row r="2" spans="1:5" x14ac:dyDescent="0.25">
      <c r="A2">
        <v>0</v>
      </c>
      <c r="B2" s="285" t="s">
        <v>29</v>
      </c>
      <c r="C2" s="285" t="s">
        <v>221</v>
      </c>
      <c r="D2" s="290" t="s">
        <v>222</v>
      </c>
      <c r="E2" s="285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s="285" t="s">
        <v>30</v>
      </c>
      <c r="C3" s="285" t="s">
        <v>223</v>
      </c>
      <c r="D3" s="285" t="s">
        <v>224</v>
      </c>
      <c r="E3" s="285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s="285" t="s">
        <v>31</v>
      </c>
      <c r="C4" s="285" t="s">
        <v>225</v>
      </c>
      <c r="D4" s="285" t="s">
        <v>226</v>
      </c>
      <c r="E4" s="285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s="285" t="s">
        <v>32</v>
      </c>
      <c r="C5" s="285" t="s">
        <v>227</v>
      </c>
      <c r="D5" s="285" t="s">
        <v>228</v>
      </c>
      <c r="E5" s="28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s="285" t="s">
        <v>33</v>
      </c>
      <c r="C6" s="285" t="s">
        <v>229</v>
      </c>
      <c r="D6" s="285" t="s">
        <v>230</v>
      </c>
      <c r="E6" s="285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s="285" t="s">
        <v>34</v>
      </c>
      <c r="C7" s="285" t="s">
        <v>231</v>
      </c>
      <c r="D7" s="285" t="s">
        <v>232</v>
      </c>
      <c r="E7" s="285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s="285" t="s">
        <v>35</v>
      </c>
      <c r="C8" s="285" t="s">
        <v>233</v>
      </c>
      <c r="D8" s="285" t="s">
        <v>234</v>
      </c>
      <c r="E8" s="285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s="285" t="s">
        <v>36</v>
      </c>
      <c r="C9" s="285" t="s">
        <v>235</v>
      </c>
      <c r="D9" s="285" t="s">
        <v>236</v>
      </c>
      <c r="E9" s="285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s="285" t="s">
        <v>37</v>
      </c>
      <c r="C10" s="285" t="s">
        <v>237</v>
      </c>
      <c r="D10" s="285" t="s">
        <v>238</v>
      </c>
      <c r="E10" s="285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s="285" t="s">
        <v>38</v>
      </c>
      <c r="C11" s="285" t="s">
        <v>239</v>
      </c>
      <c r="D11" s="285" t="s">
        <v>240</v>
      </c>
      <c r="E11" s="285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s="285" t="s">
        <v>39</v>
      </c>
      <c r="C12" s="285" t="s">
        <v>241</v>
      </c>
      <c r="D12" s="285" t="s">
        <v>242</v>
      </c>
      <c r="E12" s="285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s="285" t="s">
        <v>40</v>
      </c>
      <c r="C13" s="285" t="s">
        <v>243</v>
      </c>
      <c r="D13" s="285" t="s">
        <v>244</v>
      </c>
      <c r="E13" s="285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s="285" t="s">
        <v>41</v>
      </c>
      <c r="C14" s="285" t="s">
        <v>245</v>
      </c>
      <c r="D14" s="285" t="s">
        <v>246</v>
      </c>
      <c r="E14" s="285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s="285" t="s">
        <v>42</v>
      </c>
      <c r="C15" s="285" t="s">
        <v>247</v>
      </c>
      <c r="D15" s="285" t="s">
        <v>248</v>
      </c>
      <c r="E15" s="28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s="285" t="s">
        <v>43</v>
      </c>
      <c r="C16" s="285" t="s">
        <v>249</v>
      </c>
      <c r="D16" s="285" t="s">
        <v>250</v>
      </c>
      <c r="E16" s="285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s="285" t="s">
        <v>44</v>
      </c>
      <c r="C17" s="285" t="s">
        <v>251</v>
      </c>
      <c r="D17" s="285" t="s">
        <v>252</v>
      </c>
      <c r="E17" s="285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s="285" t="s">
        <v>45</v>
      </c>
      <c r="C18" s="285" t="s">
        <v>253</v>
      </c>
      <c r="D18" s="285" t="s">
        <v>254</v>
      </c>
      <c r="E18" s="285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s="285" t="s">
        <v>46</v>
      </c>
      <c r="C19" s="285" t="s">
        <v>255</v>
      </c>
      <c r="D19" s="285" t="s">
        <v>256</v>
      </c>
      <c r="E19" s="285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s="285" t="s">
        <v>47</v>
      </c>
      <c r="C20" s="285" t="s">
        <v>257</v>
      </c>
      <c r="D20" s="285" t="s">
        <v>258</v>
      </c>
      <c r="E20" s="285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s="285" t="s">
        <v>48</v>
      </c>
      <c r="C21" s="285" t="s">
        <v>259</v>
      </c>
      <c r="D21" s="285" t="s">
        <v>260</v>
      </c>
      <c r="E21" s="285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s="285" t="s">
        <v>49</v>
      </c>
      <c r="C22" s="285" t="s">
        <v>261</v>
      </c>
      <c r="D22" s="285" t="s">
        <v>262</v>
      </c>
      <c r="E22" s="285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s="285" t="s">
        <v>50</v>
      </c>
      <c r="C23" s="285" t="s">
        <v>263</v>
      </c>
      <c r="D23" s="285" t="s">
        <v>264</v>
      </c>
      <c r="E23" s="285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s="285" t="s">
        <v>51</v>
      </c>
      <c r="C24" s="285" t="s">
        <v>265</v>
      </c>
      <c r="D24" s="285" t="s">
        <v>266</v>
      </c>
      <c r="E24" s="285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s="285" t="s">
        <v>52</v>
      </c>
      <c r="C25" s="285" t="s">
        <v>267</v>
      </c>
      <c r="D25" s="285" t="s">
        <v>268</v>
      </c>
      <c r="E25" s="28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s="285" t="s">
        <v>53</v>
      </c>
      <c r="C26" s="285" t="s">
        <v>269</v>
      </c>
      <c r="D26" s="285" t="s">
        <v>270</v>
      </c>
      <c r="E26" s="285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s="285" t="s">
        <v>54</v>
      </c>
      <c r="C27" s="285" t="s">
        <v>271</v>
      </c>
      <c r="D27" s="285" t="s">
        <v>272</v>
      </c>
      <c r="E27" s="285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s="285" t="s">
        <v>55</v>
      </c>
      <c r="C28" s="285" t="s">
        <v>273</v>
      </c>
      <c r="D28" s="285" t="s">
        <v>274</v>
      </c>
      <c r="E28" s="285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s="285" t="s">
        <v>56</v>
      </c>
      <c r="C29" s="285" t="s">
        <v>275</v>
      </c>
      <c r="D29" s="285" t="s">
        <v>276</v>
      </c>
      <c r="E29" s="285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s="285" t="s">
        <v>57</v>
      </c>
      <c r="C30" s="285" t="s">
        <v>277</v>
      </c>
      <c r="D30" s="285" t="s">
        <v>278</v>
      </c>
      <c r="E30" s="285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s="285" t="s">
        <v>58</v>
      </c>
      <c r="C31" s="285" t="s">
        <v>279</v>
      </c>
      <c r="D31" s="285" t="s">
        <v>280</v>
      </c>
      <c r="E31" s="285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s="285" t="s">
        <v>59</v>
      </c>
      <c r="C32" s="285" t="s">
        <v>281</v>
      </c>
      <c r="D32" s="285" t="s">
        <v>282</v>
      </c>
      <c r="E32" s="285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s="285" t="s">
        <v>60</v>
      </c>
      <c r="C33" s="285" t="s">
        <v>283</v>
      </c>
      <c r="D33" s="285" t="s">
        <v>284</v>
      </c>
      <c r="E33" s="285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s="285" t="s">
        <v>61</v>
      </c>
      <c r="C34" s="285" t="s">
        <v>285</v>
      </c>
      <c r="D34" s="285" t="s">
        <v>286</v>
      </c>
      <c r="E34" s="285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s="285" t="s">
        <v>62</v>
      </c>
      <c r="C35" s="285" t="s">
        <v>287</v>
      </c>
      <c r="D35" s="285" t="s">
        <v>288</v>
      </c>
      <c r="E35" s="28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s="285" t="s">
        <v>63</v>
      </c>
      <c r="C36" s="285" t="s">
        <v>289</v>
      </c>
      <c r="D36" s="285" t="s">
        <v>290</v>
      </c>
      <c r="E36" s="285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s="285" t="s">
        <v>64</v>
      </c>
      <c r="C37" s="285" t="s">
        <v>291</v>
      </c>
      <c r="D37" s="285" t="s">
        <v>292</v>
      </c>
      <c r="E37" s="285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s="285" t="s">
        <v>65</v>
      </c>
      <c r="C38" s="285" t="s">
        <v>293</v>
      </c>
      <c r="D38" s="285" t="s">
        <v>294</v>
      </c>
      <c r="E38" s="285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s="285" t="s">
        <v>66</v>
      </c>
      <c r="C39" s="285" t="s">
        <v>295</v>
      </c>
      <c r="D39" s="285" t="s">
        <v>296</v>
      </c>
      <c r="E39" s="285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s="285" t="s">
        <v>67</v>
      </c>
      <c r="C40" s="285" t="s">
        <v>297</v>
      </c>
      <c r="D40" s="285" t="s">
        <v>298</v>
      </c>
      <c r="E40" s="285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s="285" t="s">
        <v>68</v>
      </c>
      <c r="C41" s="285" t="s">
        <v>299</v>
      </c>
      <c r="D41" s="285" t="s">
        <v>300</v>
      </c>
      <c r="E41" s="285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s="285" t="s">
        <v>69</v>
      </c>
      <c r="C42" s="285" t="s">
        <v>301</v>
      </c>
      <c r="D42" s="285" t="s">
        <v>302</v>
      </c>
      <c r="E42" s="285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s="285" t="s">
        <v>70</v>
      </c>
      <c r="C43" s="285" t="s">
        <v>303</v>
      </c>
      <c r="D43" s="285" t="s">
        <v>304</v>
      </c>
      <c r="E43" s="285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s="285" t="s">
        <v>71</v>
      </c>
      <c r="C44" s="285" t="s">
        <v>305</v>
      </c>
      <c r="D44" s="285" t="s">
        <v>306</v>
      </c>
      <c r="E44" s="285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s="285" t="s">
        <v>72</v>
      </c>
      <c r="C45" s="285" t="s">
        <v>307</v>
      </c>
      <c r="D45" s="285" t="s">
        <v>308</v>
      </c>
      <c r="E45" s="28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s="285" t="s">
        <v>73</v>
      </c>
      <c r="C46" s="285" t="s">
        <v>309</v>
      </c>
      <c r="D46" s="285" t="s">
        <v>310</v>
      </c>
      <c r="E46" s="285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s="285" t="s">
        <v>74</v>
      </c>
      <c r="C47" s="285" t="s">
        <v>311</v>
      </c>
      <c r="D47" s="285" t="s">
        <v>312</v>
      </c>
      <c r="E47" s="285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s="285" t="s">
        <v>75</v>
      </c>
      <c r="C48" s="285" t="s">
        <v>313</v>
      </c>
      <c r="D48" s="285" t="s">
        <v>314</v>
      </c>
      <c r="E48" s="285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s="285" t="s">
        <v>76</v>
      </c>
      <c r="C49" s="285" t="s">
        <v>315</v>
      </c>
      <c r="D49" s="285" t="s">
        <v>316</v>
      </c>
      <c r="E49" s="285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s="285" t="s">
        <v>77</v>
      </c>
      <c r="C50" s="285" t="s">
        <v>317</v>
      </c>
      <c r="D50" s="285" t="s">
        <v>318</v>
      </c>
      <c r="E50" s="285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s="285" t="s">
        <v>78</v>
      </c>
      <c r="C51" s="285" t="s">
        <v>319</v>
      </c>
      <c r="D51" s="285" t="s">
        <v>320</v>
      </c>
      <c r="E51" s="285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s="285" t="s">
        <v>79</v>
      </c>
      <c r="C52" s="285" t="s">
        <v>321</v>
      </c>
      <c r="D52" s="285" t="s">
        <v>322</v>
      </c>
      <c r="E52" s="285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s="285" t="s">
        <v>80</v>
      </c>
      <c r="C53" s="285" t="s">
        <v>323</v>
      </c>
      <c r="D53" s="285" t="s">
        <v>324</v>
      </c>
      <c r="E53" s="285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s="285" t="s">
        <v>81</v>
      </c>
      <c r="C54" s="285" t="s">
        <v>325</v>
      </c>
      <c r="D54" s="285" t="s">
        <v>326</v>
      </c>
      <c r="E54" s="285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s="285" t="s">
        <v>82</v>
      </c>
      <c r="C55" s="285" t="s">
        <v>327</v>
      </c>
      <c r="D55" s="285" t="s">
        <v>328</v>
      </c>
      <c r="E55" s="28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s="285" t="s">
        <v>83</v>
      </c>
      <c r="C56" s="285" t="s">
        <v>329</v>
      </c>
      <c r="D56" s="285" t="s">
        <v>330</v>
      </c>
      <c r="E56" s="285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s="285" t="s">
        <v>84</v>
      </c>
      <c r="C57" s="285" t="s">
        <v>331</v>
      </c>
      <c r="D57" s="285" t="s">
        <v>332</v>
      </c>
      <c r="E57" s="285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s="285" t="s">
        <v>85</v>
      </c>
      <c r="C58" s="285" t="s">
        <v>333</v>
      </c>
      <c r="D58" s="285" t="s">
        <v>334</v>
      </c>
      <c r="E58" s="285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s="285" t="s">
        <v>86</v>
      </c>
      <c r="C59" s="285" t="s">
        <v>335</v>
      </c>
      <c r="D59" s="285" t="s">
        <v>336</v>
      </c>
      <c r="E59" s="285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s="285" t="s">
        <v>87</v>
      </c>
      <c r="C60" s="285" t="s">
        <v>337</v>
      </c>
      <c r="D60" s="285" t="s">
        <v>338</v>
      </c>
      <c r="E60" s="285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s="285" t="s">
        <v>88</v>
      </c>
      <c r="C61" s="285" t="s">
        <v>339</v>
      </c>
      <c r="D61" s="285" t="s">
        <v>340</v>
      </c>
      <c r="E61" s="285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s="285" t="s">
        <v>89</v>
      </c>
      <c r="C62" s="285" t="s">
        <v>341</v>
      </c>
      <c r="D62" s="285" t="s">
        <v>342</v>
      </c>
      <c r="E62" s="285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s="285" t="s">
        <v>90</v>
      </c>
      <c r="C63" s="285" t="s">
        <v>343</v>
      </c>
      <c r="D63" s="285" t="s">
        <v>344</v>
      </c>
      <c r="E63" s="285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s="285" t="s">
        <v>91</v>
      </c>
      <c r="C64" s="285" t="s">
        <v>345</v>
      </c>
      <c r="D64" s="285" t="s">
        <v>346</v>
      </c>
      <c r="E64" s="285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s="285" t="s">
        <v>92</v>
      </c>
      <c r="C65" s="285" t="s">
        <v>347</v>
      </c>
      <c r="D65" s="285" t="s">
        <v>348</v>
      </c>
      <c r="E65" s="28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s="285" t="s">
        <v>349</v>
      </c>
      <c r="C66" s="285" t="s">
        <v>350</v>
      </c>
      <c r="D66" s="285" t="s">
        <v>351</v>
      </c>
      <c r="E66" s="285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s="285" t="s">
        <v>352</v>
      </c>
      <c r="C67" s="285" t="s">
        <v>353</v>
      </c>
      <c r="D67" s="285" t="s">
        <v>354</v>
      </c>
      <c r="E67" s="285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s="285" t="s">
        <v>355</v>
      </c>
      <c r="C68" s="285" t="s">
        <v>356</v>
      </c>
      <c r="D68" s="285" t="s">
        <v>357</v>
      </c>
      <c r="E68" s="285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s="285" t="s">
        <v>358</v>
      </c>
      <c r="C69" s="285" t="s">
        <v>359</v>
      </c>
      <c r="D69" s="285" t="s">
        <v>360</v>
      </c>
      <c r="E69" s="285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s="285" t="s">
        <v>361</v>
      </c>
      <c r="C70" s="285" t="s">
        <v>362</v>
      </c>
      <c r="D70" s="285" t="s">
        <v>363</v>
      </c>
      <c r="E70" s="285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s="285" t="s">
        <v>364</v>
      </c>
      <c r="C71" s="285" t="s">
        <v>365</v>
      </c>
      <c r="D71" s="285" t="s">
        <v>366</v>
      </c>
      <c r="E71" s="285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s="285" t="s">
        <v>367</v>
      </c>
      <c r="C72" s="285" t="s">
        <v>368</v>
      </c>
      <c r="D72" s="285" t="s">
        <v>369</v>
      </c>
      <c r="E72" s="285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s="285" t="s">
        <v>153</v>
      </c>
      <c r="C73" s="285" t="s">
        <v>370</v>
      </c>
      <c r="D73" s="285" t="s">
        <v>371</v>
      </c>
      <c r="E73" s="285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s="285" t="s">
        <v>372</v>
      </c>
      <c r="C74" s="285" t="s">
        <v>373</v>
      </c>
      <c r="D74" s="285" t="s">
        <v>374</v>
      </c>
      <c r="E74" s="285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s="285" t="s">
        <v>95</v>
      </c>
      <c r="C75" s="285" t="s">
        <v>375</v>
      </c>
      <c r="D75" s="285" t="s">
        <v>376</v>
      </c>
      <c r="E75" s="28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s="285" t="s">
        <v>377</v>
      </c>
      <c r="C76" s="285" t="s">
        <v>378</v>
      </c>
      <c r="D76" s="285" t="s">
        <v>379</v>
      </c>
      <c r="E76" s="285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s="285" t="s">
        <v>380</v>
      </c>
      <c r="C77" s="285" t="s">
        <v>381</v>
      </c>
      <c r="D77" s="285" t="s">
        <v>382</v>
      </c>
      <c r="E77" s="285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s="285" t="s">
        <v>383</v>
      </c>
      <c r="C78" s="285" t="s">
        <v>384</v>
      </c>
      <c r="D78" s="285" t="s">
        <v>385</v>
      </c>
      <c r="E78" s="285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s="285" t="s">
        <v>386</v>
      </c>
      <c r="C79" s="285" t="s">
        <v>387</v>
      </c>
      <c r="D79" s="285" t="s">
        <v>388</v>
      </c>
      <c r="E79" s="285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s="285" t="s">
        <v>389</v>
      </c>
      <c r="C80" s="285" t="s">
        <v>390</v>
      </c>
      <c r="D80" s="285" t="s">
        <v>391</v>
      </c>
      <c r="E80" s="285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s="285" t="s">
        <v>392</v>
      </c>
      <c r="C81" s="285" t="s">
        <v>393</v>
      </c>
      <c r="D81" s="285" t="s">
        <v>394</v>
      </c>
      <c r="E81" s="285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s="285" t="s">
        <v>395</v>
      </c>
      <c r="C82" s="285" t="s">
        <v>396</v>
      </c>
      <c r="D82" s="285" t="s">
        <v>397</v>
      </c>
      <c r="E82" s="285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s="285" t="s">
        <v>398</v>
      </c>
      <c r="C83" s="285" t="s">
        <v>399</v>
      </c>
      <c r="D83" s="285" t="s">
        <v>400</v>
      </c>
      <c r="E83" s="285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s="285" t="s">
        <v>401</v>
      </c>
      <c r="C84" s="285" t="s">
        <v>402</v>
      </c>
      <c r="D84" s="285" t="s">
        <v>403</v>
      </c>
      <c r="E84" s="285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s="285" t="s">
        <v>404</v>
      </c>
      <c r="C85" s="285" t="s">
        <v>405</v>
      </c>
      <c r="D85" s="285" t="s">
        <v>406</v>
      </c>
      <c r="E85" s="2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s="285" t="s">
        <v>407</v>
      </c>
      <c r="C86" s="285" t="s">
        <v>408</v>
      </c>
      <c r="D86" s="285" t="s">
        <v>409</v>
      </c>
      <c r="E86" s="285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s="285" t="s">
        <v>410</v>
      </c>
      <c r="C87" s="285" t="s">
        <v>411</v>
      </c>
      <c r="D87" s="285" t="s">
        <v>412</v>
      </c>
      <c r="E87" s="285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s="285" t="s">
        <v>136</v>
      </c>
      <c r="C88" s="285" t="s">
        <v>413</v>
      </c>
      <c r="D88" s="285" t="s">
        <v>414</v>
      </c>
      <c r="E88" s="285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s="285" t="s">
        <v>415</v>
      </c>
      <c r="C89" s="285" t="s">
        <v>416</v>
      </c>
      <c r="D89" s="285" t="s">
        <v>417</v>
      </c>
      <c r="E89" s="285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s="285" t="s">
        <v>418</v>
      </c>
      <c r="C90" s="285" t="s">
        <v>419</v>
      </c>
      <c r="D90" s="285" t="s">
        <v>420</v>
      </c>
      <c r="E90" s="285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s="285" t="s">
        <v>421</v>
      </c>
      <c r="C91" s="285" t="s">
        <v>422</v>
      </c>
      <c r="D91" s="285" t="s">
        <v>423</v>
      </c>
      <c r="E91" s="285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s="285" t="s">
        <v>424</v>
      </c>
      <c r="C92" s="285" t="s">
        <v>425</v>
      </c>
      <c r="D92" s="285" t="s">
        <v>426</v>
      </c>
      <c r="E92" s="285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s="285" t="s">
        <v>427</v>
      </c>
      <c r="C93" s="285" t="s">
        <v>428</v>
      </c>
      <c r="D93" s="285" t="s">
        <v>429</v>
      </c>
      <c r="E93" s="285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s="285" t="s">
        <v>430</v>
      </c>
      <c r="C94" s="285" t="s">
        <v>431</v>
      </c>
      <c r="D94" s="285" t="s">
        <v>432</v>
      </c>
      <c r="E94" s="285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s="285" t="s">
        <v>433</v>
      </c>
      <c r="C95" s="285" t="s">
        <v>434</v>
      </c>
      <c r="D95" s="285" t="s">
        <v>435</v>
      </c>
      <c r="E95" s="28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s="285" t="s">
        <v>436</v>
      </c>
      <c r="C96" s="285" t="s">
        <v>437</v>
      </c>
      <c r="D96" s="285" t="s">
        <v>438</v>
      </c>
      <c r="E96" s="285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s="285" t="s">
        <v>439</v>
      </c>
      <c r="C97" s="285" t="s">
        <v>440</v>
      </c>
      <c r="D97" s="285" t="s">
        <v>441</v>
      </c>
      <c r="E97" s="285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s="285" t="s">
        <v>442</v>
      </c>
      <c r="C98" s="285" t="s">
        <v>443</v>
      </c>
      <c r="D98" s="285" t="s">
        <v>444</v>
      </c>
      <c r="E98" s="285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s="285" t="s">
        <v>445</v>
      </c>
      <c r="C99" s="285" t="s">
        <v>446</v>
      </c>
      <c r="D99" s="285" t="s">
        <v>447</v>
      </c>
      <c r="E99" s="285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s="285" t="s">
        <v>448</v>
      </c>
      <c r="C100" s="285" t="s">
        <v>449</v>
      </c>
      <c r="D100" s="285" t="s">
        <v>450</v>
      </c>
      <c r="E100" s="285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s="285" t="s">
        <v>203</v>
      </c>
      <c r="C101" s="285" t="s">
        <v>451</v>
      </c>
      <c r="D101" s="285" t="s">
        <v>452</v>
      </c>
      <c r="E101" s="285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s="285" t="s">
        <v>453</v>
      </c>
      <c r="C102" s="285" t="s">
        <v>454</v>
      </c>
      <c r="D102" s="285" t="s">
        <v>455</v>
      </c>
      <c r="E102" s="285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s="285" t="s">
        <v>456</v>
      </c>
      <c r="C103" s="285" t="s">
        <v>457</v>
      </c>
      <c r="D103" s="285" t="s">
        <v>458</v>
      </c>
      <c r="E103" s="285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s="285" t="s">
        <v>459</v>
      </c>
      <c r="C104" s="285" t="s">
        <v>460</v>
      </c>
      <c r="D104" s="285" t="s">
        <v>461</v>
      </c>
      <c r="E104" s="285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s="285" t="s">
        <v>202</v>
      </c>
      <c r="C105" s="285" t="s">
        <v>462</v>
      </c>
      <c r="D105" s="285" t="s">
        <v>463</v>
      </c>
      <c r="E105" s="28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s="285" t="s">
        <v>464</v>
      </c>
      <c r="C106" s="285" t="s">
        <v>465</v>
      </c>
      <c r="D106" s="285" t="s">
        <v>466</v>
      </c>
      <c r="E106" s="285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s="285" t="s">
        <v>157</v>
      </c>
      <c r="C107" s="285" t="s">
        <v>467</v>
      </c>
      <c r="D107" s="285" t="s">
        <v>468</v>
      </c>
      <c r="E107" s="285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s="285" t="s">
        <v>469</v>
      </c>
      <c r="C108" s="285" t="s">
        <v>470</v>
      </c>
      <c r="D108" s="285" t="s">
        <v>471</v>
      </c>
      <c r="E108" s="285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s="285" t="s">
        <v>472</v>
      </c>
      <c r="C109" s="285" t="s">
        <v>473</v>
      </c>
      <c r="D109" s="285" t="s">
        <v>474</v>
      </c>
      <c r="E109" s="285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s="285" t="s">
        <v>475</v>
      </c>
      <c r="C110" s="285" t="s">
        <v>476</v>
      </c>
      <c r="D110" s="285" t="s">
        <v>477</v>
      </c>
      <c r="E110" s="285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s="285" t="s">
        <v>478</v>
      </c>
      <c r="C111" s="285" t="s">
        <v>479</v>
      </c>
      <c r="D111" s="285" t="s">
        <v>480</v>
      </c>
      <c r="E111" s="285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s="285" t="s">
        <v>210</v>
      </c>
      <c r="C112" s="285" t="s">
        <v>481</v>
      </c>
      <c r="D112" s="285" t="s">
        <v>482</v>
      </c>
      <c r="E112" s="285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s="285" t="s">
        <v>483</v>
      </c>
      <c r="C113" s="285" t="s">
        <v>484</v>
      </c>
      <c r="D113" s="285" t="s">
        <v>485</v>
      </c>
      <c r="E113" s="285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s="285" t="s">
        <v>486</v>
      </c>
      <c r="C114" s="285" t="s">
        <v>487</v>
      </c>
      <c r="D114" s="285" t="s">
        <v>488</v>
      </c>
      <c r="E114" s="285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s="285" t="s">
        <v>196</v>
      </c>
      <c r="C115" s="285" t="s">
        <v>489</v>
      </c>
      <c r="D115" s="285" t="s">
        <v>490</v>
      </c>
      <c r="E115" s="28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s="285" t="s">
        <v>491</v>
      </c>
      <c r="C116" s="285" t="s">
        <v>492</v>
      </c>
      <c r="D116" s="285" t="s">
        <v>493</v>
      </c>
      <c r="E116" s="285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s="285" t="s">
        <v>494</v>
      </c>
      <c r="C117" s="285" t="s">
        <v>495</v>
      </c>
      <c r="D117" s="285" t="s">
        <v>496</v>
      </c>
      <c r="E117" s="285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s="285" t="s">
        <v>497</v>
      </c>
      <c r="C118" s="285" t="s">
        <v>498</v>
      </c>
      <c r="D118" s="285" t="s">
        <v>499</v>
      </c>
      <c r="E118" s="285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s="285" t="s">
        <v>500</v>
      </c>
      <c r="C119" s="285" t="s">
        <v>501</v>
      </c>
      <c r="D119" s="285" t="s">
        <v>502</v>
      </c>
      <c r="E119" s="285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s="285" t="s">
        <v>200</v>
      </c>
      <c r="C120" s="285" t="s">
        <v>503</v>
      </c>
      <c r="D120" s="285" t="s">
        <v>504</v>
      </c>
      <c r="E120" s="285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s="285" t="s">
        <v>505</v>
      </c>
      <c r="C121" s="285" t="s">
        <v>506</v>
      </c>
      <c r="D121" s="285" t="s">
        <v>507</v>
      </c>
      <c r="E121" s="285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s="285" t="s">
        <v>508</v>
      </c>
      <c r="C122" s="285" t="s">
        <v>509</v>
      </c>
      <c r="D122" s="285" t="s">
        <v>510</v>
      </c>
      <c r="E122" s="285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s="285" t="s">
        <v>511</v>
      </c>
      <c r="C123" s="285" t="s">
        <v>512</v>
      </c>
      <c r="D123" s="285" t="s">
        <v>513</v>
      </c>
      <c r="E123" s="285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s="285" t="s">
        <v>514</v>
      </c>
      <c r="C124" s="285" t="s">
        <v>515</v>
      </c>
      <c r="D124" s="285" t="s">
        <v>516</v>
      </c>
      <c r="E124" s="285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s="285" t="s">
        <v>517</v>
      </c>
      <c r="C125" s="285" t="s">
        <v>518</v>
      </c>
      <c r="D125" s="285" t="s">
        <v>519</v>
      </c>
      <c r="E125" s="28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s="285" t="s">
        <v>520</v>
      </c>
      <c r="C126" s="285" t="s">
        <v>521</v>
      </c>
      <c r="D126" s="285" t="s">
        <v>522</v>
      </c>
      <c r="E126" s="285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s="285" t="s">
        <v>523</v>
      </c>
      <c r="C127" s="285" t="s">
        <v>524</v>
      </c>
      <c r="D127" s="285" t="s">
        <v>525</v>
      </c>
      <c r="E127" s="285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s="285" t="s">
        <v>173</v>
      </c>
      <c r="C128" s="285" t="s">
        <v>526</v>
      </c>
      <c r="D128" s="285" t="s">
        <v>527</v>
      </c>
      <c r="E128" s="285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s="285" t="s">
        <v>528</v>
      </c>
      <c r="C129" s="285" t="s">
        <v>529</v>
      </c>
      <c r="D129" s="285" t="s">
        <v>530</v>
      </c>
      <c r="E129" s="285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s="285" t="s">
        <v>531</v>
      </c>
      <c r="C130" s="285" t="s">
        <v>532</v>
      </c>
      <c r="D130" s="285" t="s">
        <v>533</v>
      </c>
      <c r="E130" s="285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s="285" t="s">
        <v>534</v>
      </c>
      <c r="C131" s="285" t="s">
        <v>535</v>
      </c>
      <c r="D131" s="285" t="s">
        <v>536</v>
      </c>
      <c r="E131" s="285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s="285" t="s">
        <v>537</v>
      </c>
      <c r="C132" s="285" t="s">
        <v>538</v>
      </c>
      <c r="D132" s="285" t="s">
        <v>539</v>
      </c>
      <c r="E132" s="285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s="285" t="s">
        <v>540</v>
      </c>
      <c r="C133" s="285" t="s">
        <v>541</v>
      </c>
      <c r="D133" s="285" t="s">
        <v>542</v>
      </c>
      <c r="E133" s="285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s="285" t="s">
        <v>148</v>
      </c>
      <c r="C134" s="285" t="s">
        <v>543</v>
      </c>
      <c r="D134" s="285" t="s">
        <v>544</v>
      </c>
      <c r="E134" s="285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s="285" t="s">
        <v>545</v>
      </c>
      <c r="C135" s="285" t="s">
        <v>546</v>
      </c>
      <c r="D135" s="285" t="s">
        <v>547</v>
      </c>
      <c r="E135" s="28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s="285" t="s">
        <v>548</v>
      </c>
      <c r="C136" s="285" t="s">
        <v>549</v>
      </c>
      <c r="D136" s="285" t="s">
        <v>550</v>
      </c>
      <c r="E136" s="285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s="285" t="s">
        <v>551</v>
      </c>
      <c r="C137" s="285" t="s">
        <v>552</v>
      </c>
      <c r="D137" s="285" t="s">
        <v>553</v>
      </c>
      <c r="E137" s="285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s="285" t="s">
        <v>554</v>
      </c>
      <c r="C138" s="285" t="s">
        <v>555</v>
      </c>
      <c r="D138" s="285" t="s">
        <v>556</v>
      </c>
      <c r="E138" s="285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s="285" t="s">
        <v>198</v>
      </c>
      <c r="C139" s="285" t="s">
        <v>557</v>
      </c>
      <c r="D139" s="285" t="s">
        <v>558</v>
      </c>
      <c r="E139" s="285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s="285" t="s">
        <v>559</v>
      </c>
      <c r="C140" s="285" t="s">
        <v>560</v>
      </c>
      <c r="D140" s="285" t="s">
        <v>561</v>
      </c>
      <c r="E140" s="285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s="285" t="s">
        <v>562</v>
      </c>
      <c r="C141" s="285" t="s">
        <v>563</v>
      </c>
      <c r="D141" s="285" t="s">
        <v>564</v>
      </c>
      <c r="E141" s="285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s="285" t="s">
        <v>565</v>
      </c>
      <c r="C142" s="285" t="s">
        <v>566</v>
      </c>
      <c r="D142" s="285" t="s">
        <v>567</v>
      </c>
      <c r="E142" s="285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s="285" t="s">
        <v>568</v>
      </c>
      <c r="C143" s="285" t="s">
        <v>569</v>
      </c>
      <c r="D143" s="285" t="s">
        <v>570</v>
      </c>
      <c r="E143" s="285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s="285" t="s">
        <v>571</v>
      </c>
      <c r="C144" s="285" t="s">
        <v>572</v>
      </c>
      <c r="D144" s="285" t="s">
        <v>573</v>
      </c>
      <c r="E144" s="285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s="285" t="s">
        <v>119</v>
      </c>
      <c r="C145" s="285" t="s">
        <v>574</v>
      </c>
      <c r="D145" s="285" t="s">
        <v>575</v>
      </c>
      <c r="E145" s="28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s="285" t="s">
        <v>576</v>
      </c>
      <c r="C146" s="285" t="s">
        <v>577</v>
      </c>
      <c r="D146" s="285" t="s">
        <v>578</v>
      </c>
      <c r="E146" s="285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s="285" t="s">
        <v>188</v>
      </c>
      <c r="C147" s="285" t="s">
        <v>579</v>
      </c>
      <c r="D147" s="285" t="s">
        <v>580</v>
      </c>
      <c r="E147" s="285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s="285" t="s">
        <v>581</v>
      </c>
      <c r="C148" s="285" t="s">
        <v>582</v>
      </c>
      <c r="D148" s="285" t="s">
        <v>583</v>
      </c>
      <c r="E148" s="285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s="285" t="s">
        <v>584</v>
      </c>
      <c r="C149" s="285" t="s">
        <v>585</v>
      </c>
      <c r="D149" s="285" t="s">
        <v>586</v>
      </c>
      <c r="E149" s="285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s="285" t="s">
        <v>587</v>
      </c>
      <c r="C150" s="285" t="s">
        <v>588</v>
      </c>
      <c r="D150" s="285" t="s">
        <v>589</v>
      </c>
      <c r="E150" s="285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s="285" t="s">
        <v>590</v>
      </c>
      <c r="C151" s="285" t="s">
        <v>591</v>
      </c>
      <c r="D151" s="285" t="s">
        <v>592</v>
      </c>
      <c r="E151" s="285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s="285" t="s">
        <v>593</v>
      </c>
      <c r="C152" s="285" t="s">
        <v>594</v>
      </c>
      <c r="D152" s="285" t="s">
        <v>595</v>
      </c>
      <c r="E152" s="285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s="285" t="s">
        <v>596</v>
      </c>
      <c r="C153" s="285" t="s">
        <v>597</v>
      </c>
      <c r="D153" s="285" t="s">
        <v>598</v>
      </c>
      <c r="E153" s="285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s="285" t="s">
        <v>599</v>
      </c>
      <c r="C154" s="285" t="s">
        <v>600</v>
      </c>
      <c r="D154" s="285" t="s">
        <v>601</v>
      </c>
      <c r="E154" s="285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s="285" t="s">
        <v>602</v>
      </c>
      <c r="C155" s="285" t="s">
        <v>603</v>
      </c>
      <c r="D155" s="285" t="s">
        <v>604</v>
      </c>
      <c r="E155" s="28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s="285" t="s">
        <v>178</v>
      </c>
      <c r="C156" s="285" t="s">
        <v>605</v>
      </c>
      <c r="D156" s="285" t="s">
        <v>606</v>
      </c>
      <c r="E156" s="285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s="285" t="s">
        <v>607</v>
      </c>
      <c r="C157" s="285" t="s">
        <v>608</v>
      </c>
      <c r="D157" s="285" t="s">
        <v>609</v>
      </c>
      <c r="E157" s="285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s="285" t="s">
        <v>610</v>
      </c>
      <c r="C158" s="285" t="s">
        <v>611</v>
      </c>
      <c r="D158" s="285" t="s">
        <v>612</v>
      </c>
      <c r="E158" s="285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s="285" t="s">
        <v>613</v>
      </c>
      <c r="C159" s="285" t="s">
        <v>614</v>
      </c>
      <c r="D159" s="285" t="s">
        <v>615</v>
      </c>
      <c r="E159" s="285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s="285" t="s">
        <v>616</v>
      </c>
      <c r="C160" s="285" t="s">
        <v>617</v>
      </c>
      <c r="D160" s="285" t="s">
        <v>618</v>
      </c>
      <c r="E160" s="285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s="285" t="s">
        <v>619</v>
      </c>
      <c r="C161" s="285" t="s">
        <v>620</v>
      </c>
      <c r="D161" s="285" t="s">
        <v>621</v>
      </c>
      <c r="E161" s="285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s="285" t="s">
        <v>622</v>
      </c>
      <c r="C162" s="285" t="s">
        <v>623</v>
      </c>
      <c r="D162" s="285" t="s">
        <v>624</v>
      </c>
      <c r="E162" s="285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s="285" t="s">
        <v>177</v>
      </c>
      <c r="C163" s="285" t="s">
        <v>625</v>
      </c>
      <c r="D163" s="285" t="s">
        <v>626</v>
      </c>
      <c r="E163" s="285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s="285" t="s">
        <v>627</v>
      </c>
      <c r="C164" s="285" t="s">
        <v>628</v>
      </c>
      <c r="D164" s="285" t="s">
        <v>629</v>
      </c>
      <c r="E164" s="285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s="285" t="s">
        <v>142</v>
      </c>
      <c r="C165" s="285" t="s">
        <v>630</v>
      </c>
      <c r="D165" s="285" t="s">
        <v>631</v>
      </c>
      <c r="E165" s="28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s="285" t="s">
        <v>632</v>
      </c>
      <c r="C166" s="285" t="s">
        <v>633</v>
      </c>
      <c r="D166" s="285" t="s">
        <v>634</v>
      </c>
      <c r="E166" s="285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s="285" t="s">
        <v>635</v>
      </c>
      <c r="C167" s="285" t="s">
        <v>636</v>
      </c>
      <c r="D167" s="285" t="s">
        <v>637</v>
      </c>
      <c r="E167" s="285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s="285" t="s">
        <v>638</v>
      </c>
      <c r="C168" s="285" t="s">
        <v>639</v>
      </c>
      <c r="D168" s="285" t="s">
        <v>640</v>
      </c>
      <c r="E168" s="285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s="285" t="s">
        <v>641</v>
      </c>
      <c r="C169" s="285" t="s">
        <v>642</v>
      </c>
      <c r="D169" s="285" t="s">
        <v>643</v>
      </c>
      <c r="E169" s="285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s="285" t="s">
        <v>644</v>
      </c>
      <c r="C170" s="285" t="s">
        <v>645</v>
      </c>
      <c r="D170" s="285" t="s">
        <v>646</v>
      </c>
      <c r="E170" s="285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s="285" t="s">
        <v>144</v>
      </c>
      <c r="C171" s="285" t="s">
        <v>647</v>
      </c>
      <c r="D171" s="285" t="s">
        <v>648</v>
      </c>
      <c r="E171" s="285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s="285" t="s">
        <v>649</v>
      </c>
      <c r="C172" s="285" t="s">
        <v>650</v>
      </c>
      <c r="D172" s="285" t="s">
        <v>651</v>
      </c>
      <c r="E172" s="285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s="285" t="s">
        <v>652</v>
      </c>
      <c r="C173" s="285" t="s">
        <v>653</v>
      </c>
      <c r="D173" s="285" t="s">
        <v>654</v>
      </c>
      <c r="E173" s="285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s="285" t="s">
        <v>655</v>
      </c>
      <c r="C174" s="285" t="s">
        <v>656</v>
      </c>
      <c r="D174" s="285" t="s">
        <v>657</v>
      </c>
      <c r="E174" s="285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s="285" t="s">
        <v>658</v>
      </c>
      <c r="C175" s="285" t="s">
        <v>659</v>
      </c>
      <c r="D175" s="285" t="s">
        <v>660</v>
      </c>
      <c r="E175" s="28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s="285" t="s">
        <v>661</v>
      </c>
      <c r="C176" s="285" t="s">
        <v>662</v>
      </c>
      <c r="D176" s="285" t="s">
        <v>663</v>
      </c>
      <c r="E176" s="285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s="285" t="s">
        <v>176</v>
      </c>
      <c r="C177" s="285" t="s">
        <v>664</v>
      </c>
      <c r="D177" s="285" t="s">
        <v>665</v>
      </c>
      <c r="E177" s="285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s="285" t="s">
        <v>171</v>
      </c>
      <c r="C178" s="285" t="s">
        <v>666</v>
      </c>
      <c r="D178" s="285" t="s">
        <v>667</v>
      </c>
      <c r="E178" s="285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s="285" t="s">
        <v>668</v>
      </c>
      <c r="C179" s="285" t="s">
        <v>669</v>
      </c>
      <c r="D179" s="285" t="s">
        <v>670</v>
      </c>
      <c r="E179" s="285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s="285" t="s">
        <v>671</v>
      </c>
      <c r="C180" s="285" t="s">
        <v>672</v>
      </c>
      <c r="D180" s="285" t="s">
        <v>673</v>
      </c>
      <c r="E180" s="285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s="285" t="s">
        <v>674</v>
      </c>
      <c r="C181" s="285" t="s">
        <v>675</v>
      </c>
      <c r="D181" s="285" t="s">
        <v>676</v>
      </c>
      <c r="E181" s="285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s="285" t="s">
        <v>677</v>
      </c>
      <c r="C182" s="285" t="s">
        <v>678</v>
      </c>
      <c r="D182" s="285" t="s">
        <v>679</v>
      </c>
      <c r="E182" s="285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s="285" t="s">
        <v>112</v>
      </c>
      <c r="C183" s="285" t="s">
        <v>680</v>
      </c>
      <c r="D183" s="285" t="s">
        <v>681</v>
      </c>
      <c r="E183" s="285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s="285" t="s">
        <v>682</v>
      </c>
      <c r="C184" s="285" t="s">
        <v>683</v>
      </c>
      <c r="D184" s="285" t="s">
        <v>684</v>
      </c>
      <c r="E184" s="285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s="285" t="s">
        <v>146</v>
      </c>
      <c r="C185" s="289" t="s">
        <v>685</v>
      </c>
      <c r="D185" s="285" t="s">
        <v>686</v>
      </c>
      <c r="E185" s="2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s="285" t="s">
        <v>687</v>
      </c>
      <c r="C186" s="285" t="s">
        <v>688</v>
      </c>
      <c r="D186" s="285" t="s">
        <v>689</v>
      </c>
      <c r="E186" s="285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s="285" t="s">
        <v>690</v>
      </c>
      <c r="C187" s="285" t="s">
        <v>691</v>
      </c>
      <c r="D187" s="285" t="s">
        <v>692</v>
      </c>
      <c r="E187" s="285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s="285" t="s">
        <v>122</v>
      </c>
      <c r="C188" s="285" t="s">
        <v>693</v>
      </c>
      <c r="D188" s="285" t="s">
        <v>694</v>
      </c>
      <c r="E188" s="285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s="285" t="s">
        <v>695</v>
      </c>
      <c r="C189" s="285" t="s">
        <v>696</v>
      </c>
      <c r="D189" s="285" t="s">
        <v>697</v>
      </c>
      <c r="E189" s="285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s="285" t="s">
        <v>698</v>
      </c>
      <c r="C190" s="285" t="s">
        <v>699</v>
      </c>
      <c r="D190" s="285" t="s">
        <v>700</v>
      </c>
      <c r="E190" s="285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s="285" t="s">
        <v>701</v>
      </c>
      <c r="C191" s="285" t="s">
        <v>702</v>
      </c>
      <c r="D191" s="285" t="s">
        <v>703</v>
      </c>
      <c r="E191" s="285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s="285" t="s">
        <v>134</v>
      </c>
      <c r="C192" s="285" t="s">
        <v>704</v>
      </c>
      <c r="D192" s="285" t="s">
        <v>705</v>
      </c>
      <c r="E192" s="285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s="285" t="s">
        <v>706</v>
      </c>
      <c r="C193" s="285" t="s">
        <v>707</v>
      </c>
      <c r="D193" s="285" t="s">
        <v>708</v>
      </c>
      <c r="E193" s="285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s="285" t="s">
        <v>709</v>
      </c>
      <c r="C194" s="285" t="s">
        <v>710</v>
      </c>
      <c r="D194" s="285" t="s">
        <v>711</v>
      </c>
      <c r="E194" s="285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s="285" t="s">
        <v>712</v>
      </c>
      <c r="C195" s="285" t="s">
        <v>713</v>
      </c>
      <c r="D195" s="285" t="s">
        <v>714</v>
      </c>
      <c r="E195" s="28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s="285" t="s">
        <v>715</v>
      </c>
      <c r="C196" s="285" t="s">
        <v>716</v>
      </c>
      <c r="D196" s="285" t="s">
        <v>717</v>
      </c>
      <c r="E196" s="285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s="285" t="s">
        <v>718</v>
      </c>
      <c r="C197" s="285" t="s">
        <v>719</v>
      </c>
      <c r="D197" s="285" t="s">
        <v>720</v>
      </c>
      <c r="E197" s="285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s="285" t="s">
        <v>721</v>
      </c>
      <c r="C198" s="285" t="s">
        <v>722</v>
      </c>
      <c r="D198" s="285" t="s">
        <v>723</v>
      </c>
      <c r="E198" s="285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s="285" t="s">
        <v>724</v>
      </c>
      <c r="C199" s="285" t="s">
        <v>725</v>
      </c>
      <c r="D199" s="285" t="s">
        <v>726</v>
      </c>
      <c r="E199" s="285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s="285" t="s">
        <v>727</v>
      </c>
      <c r="C200" s="285" t="s">
        <v>728</v>
      </c>
      <c r="D200" s="285" t="s">
        <v>729</v>
      </c>
      <c r="E200" s="285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s="285" t="s">
        <v>179</v>
      </c>
      <c r="C201" s="285" t="s">
        <v>730</v>
      </c>
      <c r="D201" s="285" t="s">
        <v>731</v>
      </c>
      <c r="E201" s="285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s="285" t="s">
        <v>732</v>
      </c>
      <c r="C202" s="285" t="s">
        <v>733</v>
      </c>
      <c r="D202" s="285" t="s">
        <v>734</v>
      </c>
      <c r="E202" s="285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s="285" t="s">
        <v>735</v>
      </c>
      <c r="C203" s="285" t="s">
        <v>736</v>
      </c>
      <c r="D203" s="285" t="s">
        <v>737</v>
      </c>
      <c r="E203" s="285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s="285" t="s">
        <v>738</v>
      </c>
      <c r="C204" s="285" t="s">
        <v>739</v>
      </c>
      <c r="D204" s="285" t="s">
        <v>740</v>
      </c>
      <c r="E204" s="285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s="285" t="s">
        <v>741</v>
      </c>
      <c r="C205" s="285" t="s">
        <v>742</v>
      </c>
      <c r="D205" s="285" t="s">
        <v>743</v>
      </c>
      <c r="E205" s="28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s="285" t="s">
        <v>744</v>
      </c>
      <c r="C206" s="285" t="s">
        <v>745</v>
      </c>
      <c r="D206" s="285" t="s">
        <v>746</v>
      </c>
      <c r="E206" s="285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s="285" t="s">
        <v>167</v>
      </c>
      <c r="C207" s="285" t="s">
        <v>747</v>
      </c>
      <c r="D207" s="285" t="s">
        <v>748</v>
      </c>
      <c r="E207" s="285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s="285" t="s">
        <v>749</v>
      </c>
      <c r="C208" s="285" t="s">
        <v>750</v>
      </c>
      <c r="D208" s="285" t="s">
        <v>751</v>
      </c>
      <c r="E208" s="285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s="285" t="s">
        <v>181</v>
      </c>
      <c r="C209" s="285" t="s">
        <v>752</v>
      </c>
      <c r="D209" s="285" t="s">
        <v>753</v>
      </c>
      <c r="E209" s="285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s="285" t="s">
        <v>754</v>
      </c>
      <c r="C210" s="285" t="s">
        <v>755</v>
      </c>
      <c r="D210" s="285" t="s">
        <v>756</v>
      </c>
      <c r="E210" s="285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s="285" t="s">
        <v>757</v>
      </c>
      <c r="C211" s="285" t="s">
        <v>758</v>
      </c>
      <c r="D211" s="285" t="s">
        <v>759</v>
      </c>
      <c r="E211" s="285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s="285" t="s">
        <v>760</v>
      </c>
      <c r="C212" s="285" t="s">
        <v>761</v>
      </c>
      <c r="D212" s="285" t="s">
        <v>762</v>
      </c>
      <c r="E212" s="285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s="285" t="s">
        <v>763</v>
      </c>
      <c r="C213" s="285" t="s">
        <v>764</v>
      </c>
      <c r="D213" s="285" t="s">
        <v>765</v>
      </c>
      <c r="E213" s="285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s="285" t="s">
        <v>766</v>
      </c>
      <c r="C214" s="285" t="s">
        <v>767</v>
      </c>
      <c r="D214" s="285" t="s">
        <v>768</v>
      </c>
      <c r="E214" s="285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s="285" t="s">
        <v>769</v>
      </c>
      <c r="C215" s="285" t="s">
        <v>770</v>
      </c>
      <c r="D215" s="285" t="s">
        <v>771</v>
      </c>
      <c r="E215" s="28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s="285" t="s">
        <v>772</v>
      </c>
      <c r="C216" s="285" t="s">
        <v>773</v>
      </c>
      <c r="D216" s="285" t="s">
        <v>774</v>
      </c>
      <c r="E216" s="285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s="285" t="s">
        <v>775</v>
      </c>
      <c r="C217" s="285" t="s">
        <v>776</v>
      </c>
      <c r="D217" s="285" t="s">
        <v>777</v>
      </c>
      <c r="E217" s="285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s="285" t="s">
        <v>778</v>
      </c>
      <c r="C218" s="285" t="s">
        <v>779</v>
      </c>
      <c r="D218" s="285" t="s">
        <v>780</v>
      </c>
      <c r="E218" s="285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s="285" t="s">
        <v>781</v>
      </c>
      <c r="C219" s="285" t="s">
        <v>782</v>
      </c>
      <c r="D219" s="285" t="s">
        <v>783</v>
      </c>
      <c r="E219" s="285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s="285" t="s">
        <v>784</v>
      </c>
      <c r="C220" s="285" t="s">
        <v>785</v>
      </c>
      <c r="D220" s="285" t="s">
        <v>786</v>
      </c>
      <c r="E220" s="285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s="285" t="s">
        <v>787</v>
      </c>
      <c r="C221" s="285" t="s">
        <v>788</v>
      </c>
      <c r="D221" s="285" t="s">
        <v>789</v>
      </c>
      <c r="E221" s="285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s="285" t="s">
        <v>790</v>
      </c>
      <c r="C222" s="285" t="s">
        <v>791</v>
      </c>
      <c r="D222" s="285" t="s">
        <v>792</v>
      </c>
      <c r="E222" s="285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s="285" t="s">
        <v>793</v>
      </c>
      <c r="C223" s="285" t="s">
        <v>794</v>
      </c>
      <c r="D223" s="285" t="s">
        <v>795</v>
      </c>
      <c r="E223" s="285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s="285" t="s">
        <v>796</v>
      </c>
      <c r="C224" s="285" t="s">
        <v>797</v>
      </c>
      <c r="D224" s="285" t="s">
        <v>798</v>
      </c>
      <c r="E224" s="285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s="285" t="s">
        <v>799</v>
      </c>
      <c r="C225" s="285" t="s">
        <v>800</v>
      </c>
      <c r="D225" s="285" t="s">
        <v>801</v>
      </c>
      <c r="E225" s="28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s="285" t="s">
        <v>802</v>
      </c>
      <c r="C226" s="285" t="s">
        <v>803</v>
      </c>
      <c r="D226" s="285" t="s">
        <v>804</v>
      </c>
      <c r="E226" s="285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s="285" t="s">
        <v>805</v>
      </c>
      <c r="C227" s="285" t="s">
        <v>806</v>
      </c>
      <c r="D227" s="285" t="s">
        <v>807</v>
      </c>
      <c r="E227" s="285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s="285" t="s">
        <v>150</v>
      </c>
      <c r="C228" s="285" t="s">
        <v>808</v>
      </c>
      <c r="D228" s="285" t="s">
        <v>809</v>
      </c>
      <c r="E228" s="285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s="285" t="s">
        <v>810</v>
      </c>
      <c r="C229" s="285" t="s">
        <v>811</v>
      </c>
      <c r="D229" s="285" t="s">
        <v>812</v>
      </c>
      <c r="E229" s="285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s="285" t="s">
        <v>813</v>
      </c>
      <c r="C230" s="285" t="s">
        <v>814</v>
      </c>
      <c r="D230" s="285" t="s">
        <v>815</v>
      </c>
      <c r="E230" s="285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s="285" t="s">
        <v>164</v>
      </c>
      <c r="C231" s="285" t="s">
        <v>816</v>
      </c>
      <c r="D231" s="285" t="s">
        <v>817</v>
      </c>
      <c r="E231" s="285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s="285" t="s">
        <v>818</v>
      </c>
      <c r="C232" s="285" t="s">
        <v>819</v>
      </c>
      <c r="D232" s="285" t="s">
        <v>820</v>
      </c>
      <c r="E232" s="285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s="285" t="s">
        <v>107</v>
      </c>
      <c r="C233" s="285" t="s">
        <v>821</v>
      </c>
      <c r="D233" s="285" t="s">
        <v>822</v>
      </c>
      <c r="E233" s="285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s="285" t="s">
        <v>823</v>
      </c>
      <c r="C234" s="285" t="s">
        <v>824</v>
      </c>
      <c r="D234" s="285" t="s">
        <v>825</v>
      </c>
      <c r="E234" s="285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s="285" t="s">
        <v>826</v>
      </c>
      <c r="C235" s="285" t="s">
        <v>827</v>
      </c>
      <c r="D235" s="285" t="s">
        <v>828</v>
      </c>
      <c r="E235" s="28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s="285" t="s">
        <v>829</v>
      </c>
      <c r="C236" s="285" t="s">
        <v>830</v>
      </c>
      <c r="D236" s="285" t="s">
        <v>831</v>
      </c>
      <c r="E236" s="285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s="285" t="s">
        <v>832</v>
      </c>
      <c r="C237" s="285" t="s">
        <v>833</v>
      </c>
      <c r="D237" s="285" t="s">
        <v>834</v>
      </c>
      <c r="E237" s="285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s="285" t="s">
        <v>835</v>
      </c>
      <c r="C238" s="285" t="s">
        <v>836</v>
      </c>
      <c r="D238" s="285" t="s">
        <v>837</v>
      </c>
      <c r="E238" s="285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s="285" t="s">
        <v>838</v>
      </c>
      <c r="C239" s="285" t="s">
        <v>839</v>
      </c>
      <c r="D239" s="285" t="s">
        <v>840</v>
      </c>
      <c r="E239" s="285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s="285" t="s">
        <v>841</v>
      </c>
      <c r="C240" s="285" t="s">
        <v>842</v>
      </c>
      <c r="D240" s="285" t="s">
        <v>843</v>
      </c>
      <c r="E240" s="285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s="285" t="s">
        <v>844</v>
      </c>
      <c r="C241" s="285" t="s">
        <v>845</v>
      </c>
      <c r="D241" s="285" t="s">
        <v>846</v>
      </c>
      <c r="E241" s="285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s="285" t="s">
        <v>847</v>
      </c>
      <c r="C242" s="285" t="s">
        <v>848</v>
      </c>
      <c r="D242" s="285" t="s">
        <v>849</v>
      </c>
      <c r="E242" s="285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s="285" t="s">
        <v>850</v>
      </c>
      <c r="C243" s="285" t="s">
        <v>851</v>
      </c>
      <c r="D243" s="285" t="s">
        <v>852</v>
      </c>
      <c r="E243" s="285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s="285" t="s">
        <v>853</v>
      </c>
      <c r="C244" s="285" t="s">
        <v>854</v>
      </c>
      <c r="D244" s="285" t="s">
        <v>855</v>
      </c>
      <c r="E244" s="285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s="285" t="s">
        <v>856</v>
      </c>
      <c r="C245" s="285" t="s">
        <v>857</v>
      </c>
      <c r="D245" s="285" t="s">
        <v>858</v>
      </c>
      <c r="E245" s="28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s="285" t="s">
        <v>199</v>
      </c>
      <c r="C246" s="285" t="s">
        <v>859</v>
      </c>
      <c r="D246" s="285" t="s">
        <v>860</v>
      </c>
      <c r="E246" s="285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s="285" t="s">
        <v>861</v>
      </c>
      <c r="C247" s="285" t="s">
        <v>862</v>
      </c>
      <c r="D247" s="285" t="s">
        <v>863</v>
      </c>
      <c r="E247" s="285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s="285" t="s">
        <v>864</v>
      </c>
      <c r="C248" s="285" t="s">
        <v>865</v>
      </c>
      <c r="D248" s="285" t="s">
        <v>866</v>
      </c>
      <c r="E248" s="285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s="285" t="s">
        <v>867</v>
      </c>
      <c r="C249" s="285" t="s">
        <v>868</v>
      </c>
      <c r="D249" s="285" t="s">
        <v>869</v>
      </c>
      <c r="E249" s="285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s="285" t="s">
        <v>870</v>
      </c>
      <c r="C250" s="285" t="s">
        <v>871</v>
      </c>
      <c r="D250" s="285" t="s">
        <v>872</v>
      </c>
      <c r="E250" s="285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s="285" t="s">
        <v>873</v>
      </c>
      <c r="C251" s="285" t="s">
        <v>874</v>
      </c>
      <c r="D251" s="285" t="s">
        <v>875</v>
      </c>
      <c r="E251" s="285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s="285" t="s">
        <v>876</v>
      </c>
      <c r="C252" s="285" t="s">
        <v>877</v>
      </c>
      <c r="D252" s="285" t="s">
        <v>878</v>
      </c>
      <c r="E252" s="285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s="285" t="s">
        <v>879</v>
      </c>
      <c r="C253" s="285" t="s">
        <v>880</v>
      </c>
      <c r="D253" s="285" t="s">
        <v>881</v>
      </c>
      <c r="E253" s="285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s="285" t="s">
        <v>882</v>
      </c>
      <c r="C254" s="285" t="s">
        <v>883</v>
      </c>
      <c r="D254" s="285" t="s">
        <v>884</v>
      </c>
      <c r="E254" s="285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s="285" t="s">
        <v>125</v>
      </c>
      <c r="C255" s="285" t="s">
        <v>885</v>
      </c>
      <c r="D255" s="285" t="s">
        <v>886</v>
      </c>
      <c r="E255" s="28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s="285" t="s">
        <v>887</v>
      </c>
      <c r="C256" s="285" t="s">
        <v>888</v>
      </c>
      <c r="D256" s="285" t="s">
        <v>889</v>
      </c>
      <c r="E256" s="285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s="285" t="s">
        <v>890</v>
      </c>
      <c r="C257" s="285" t="s">
        <v>891</v>
      </c>
      <c r="D257" s="285" t="s">
        <v>892</v>
      </c>
      <c r="E257" s="285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s="285" t="s">
        <v>893</v>
      </c>
      <c r="C258" s="285" t="s">
        <v>894</v>
      </c>
      <c r="D258" s="285" t="s">
        <v>895</v>
      </c>
      <c r="E258" s="285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s="285" t="s">
        <v>896</v>
      </c>
      <c r="C259" s="285" t="s">
        <v>897</v>
      </c>
      <c r="D259" s="285" t="s">
        <v>898</v>
      </c>
      <c r="E259" s="285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s="285" t="s">
        <v>899</v>
      </c>
      <c r="C260" s="285" t="s">
        <v>900</v>
      </c>
      <c r="D260" s="285" t="s">
        <v>901</v>
      </c>
      <c r="E260" s="285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s="285" t="s">
        <v>902</v>
      </c>
      <c r="C261" s="285" t="s">
        <v>903</v>
      </c>
      <c r="D261" s="285" t="s">
        <v>904</v>
      </c>
      <c r="E261" s="285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s="285" t="s">
        <v>905</v>
      </c>
      <c r="C262" s="285" t="s">
        <v>906</v>
      </c>
      <c r="D262" s="285" t="s">
        <v>907</v>
      </c>
      <c r="E262" s="285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s="285" t="s">
        <v>908</v>
      </c>
      <c r="C263" s="285" t="s">
        <v>909</v>
      </c>
      <c r="D263" s="285" t="s">
        <v>910</v>
      </c>
      <c r="E263" s="285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s="285" t="s">
        <v>911</v>
      </c>
      <c r="C264" s="285" t="s">
        <v>912</v>
      </c>
      <c r="D264" s="285" t="s">
        <v>913</v>
      </c>
      <c r="E264" s="285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s="285" t="s">
        <v>914</v>
      </c>
      <c r="C265" s="285" t="s">
        <v>915</v>
      </c>
      <c r="D265" s="285" t="s">
        <v>916</v>
      </c>
      <c r="E265" s="28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s="285" t="s">
        <v>917</v>
      </c>
      <c r="C266" s="285" t="s">
        <v>918</v>
      </c>
      <c r="D266" s="285" t="s">
        <v>919</v>
      </c>
      <c r="E266" s="285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s="285" t="s">
        <v>180</v>
      </c>
      <c r="C267" s="285" t="s">
        <v>920</v>
      </c>
      <c r="D267" s="285" t="s">
        <v>921</v>
      </c>
      <c r="E267" s="285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s="285" t="s">
        <v>922</v>
      </c>
      <c r="C268" s="285" t="s">
        <v>923</v>
      </c>
      <c r="D268" s="285" t="s">
        <v>924</v>
      </c>
      <c r="E268" s="285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s="285" t="s">
        <v>925</v>
      </c>
      <c r="C269" s="285" t="s">
        <v>926</v>
      </c>
      <c r="D269" s="285" t="s">
        <v>927</v>
      </c>
      <c r="E269" s="285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s="285" t="s">
        <v>928</v>
      </c>
      <c r="C270" s="285" t="s">
        <v>929</v>
      </c>
      <c r="D270" s="285" t="s">
        <v>930</v>
      </c>
      <c r="E270" s="285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s="285" t="s">
        <v>931</v>
      </c>
      <c r="C271" s="285" t="s">
        <v>932</v>
      </c>
      <c r="D271" s="285" t="s">
        <v>933</v>
      </c>
      <c r="E271" s="285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s="285" t="s">
        <v>934</v>
      </c>
      <c r="C272" s="285" t="s">
        <v>935</v>
      </c>
      <c r="D272" s="285" t="s">
        <v>936</v>
      </c>
      <c r="E272" s="285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s="285" t="s">
        <v>937</v>
      </c>
      <c r="C273" s="285" t="s">
        <v>938</v>
      </c>
      <c r="D273" s="285" t="s">
        <v>939</v>
      </c>
      <c r="E273" s="285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s="285" t="s">
        <v>940</v>
      </c>
      <c r="C274" s="285" t="s">
        <v>941</v>
      </c>
      <c r="D274" s="285" t="s">
        <v>942</v>
      </c>
      <c r="E274" s="285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s="285" t="s">
        <v>943</v>
      </c>
      <c r="C275" s="285" t="s">
        <v>944</v>
      </c>
      <c r="D275" s="285" t="s">
        <v>945</v>
      </c>
      <c r="E275" s="28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s="285" t="s">
        <v>946</v>
      </c>
      <c r="C276" s="285" t="s">
        <v>947</v>
      </c>
      <c r="D276" s="285" t="s">
        <v>948</v>
      </c>
      <c r="E276" s="285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s="285" t="s">
        <v>949</v>
      </c>
      <c r="C277" s="285" t="s">
        <v>950</v>
      </c>
      <c r="D277" s="285" t="s">
        <v>951</v>
      </c>
      <c r="E277" s="285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s="285" t="s">
        <v>952</v>
      </c>
      <c r="C278" s="285" t="s">
        <v>953</v>
      </c>
      <c r="D278" s="285" t="s">
        <v>954</v>
      </c>
      <c r="E278" s="285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s="285" t="s">
        <v>955</v>
      </c>
      <c r="C279" s="285" t="s">
        <v>956</v>
      </c>
      <c r="D279" s="285" t="s">
        <v>957</v>
      </c>
      <c r="E279" s="285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s="285" t="s">
        <v>958</v>
      </c>
      <c r="C280" s="285" t="s">
        <v>959</v>
      </c>
      <c r="D280" s="285" t="s">
        <v>960</v>
      </c>
      <c r="E280" s="285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s="285" t="s">
        <v>961</v>
      </c>
      <c r="C281" s="285" t="s">
        <v>962</v>
      </c>
      <c r="D281" s="285" t="s">
        <v>963</v>
      </c>
      <c r="E281" s="285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s="285" t="s">
        <v>964</v>
      </c>
      <c r="C282" s="285" t="s">
        <v>965</v>
      </c>
      <c r="D282" s="285" t="s">
        <v>966</v>
      </c>
      <c r="E282" s="285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s="285" t="s">
        <v>215</v>
      </c>
      <c r="C283" s="285" t="s">
        <v>967</v>
      </c>
      <c r="D283" s="285" t="s">
        <v>968</v>
      </c>
      <c r="E283" s="285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s="285" t="s">
        <v>969</v>
      </c>
      <c r="C284" s="285" t="s">
        <v>970</v>
      </c>
      <c r="D284" s="285" t="s">
        <v>971</v>
      </c>
      <c r="E284" s="285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s="285" t="s">
        <v>972</v>
      </c>
      <c r="C285" s="285" t="s">
        <v>973</v>
      </c>
      <c r="D285" s="285" t="s">
        <v>974</v>
      </c>
      <c r="E285" s="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s="285" t="s">
        <v>216</v>
      </c>
      <c r="C286" s="285" t="s">
        <v>975</v>
      </c>
      <c r="D286" s="285" t="s">
        <v>976</v>
      </c>
      <c r="E286" s="285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s="285" t="s">
        <v>977</v>
      </c>
      <c r="C287" s="285" t="s">
        <v>978</v>
      </c>
      <c r="D287" s="285" t="s">
        <v>979</v>
      </c>
      <c r="E287" s="285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s="285" t="s">
        <v>980</v>
      </c>
      <c r="C288" s="285" t="s">
        <v>981</v>
      </c>
      <c r="D288" s="285" t="s">
        <v>982</v>
      </c>
      <c r="E288" s="285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s="285" t="s">
        <v>983</v>
      </c>
      <c r="C289" s="285" t="s">
        <v>984</v>
      </c>
      <c r="D289" s="285" t="s">
        <v>985</v>
      </c>
      <c r="E289" s="285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s="285" t="s">
        <v>986</v>
      </c>
      <c r="C290" s="285" t="s">
        <v>987</v>
      </c>
      <c r="D290" s="285" t="s">
        <v>988</v>
      </c>
      <c r="E290" s="285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s="285" t="s">
        <v>989</v>
      </c>
      <c r="C291" s="285" t="s">
        <v>990</v>
      </c>
      <c r="D291" s="285" t="s">
        <v>991</v>
      </c>
      <c r="E291" s="285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s="285" t="s">
        <v>992</v>
      </c>
      <c r="C292" s="285" t="s">
        <v>993</v>
      </c>
      <c r="D292" s="285" t="s">
        <v>994</v>
      </c>
      <c r="E292" s="285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s="285" t="s">
        <v>995</v>
      </c>
      <c r="C293" s="285" t="s">
        <v>996</v>
      </c>
      <c r="D293" s="285" t="s">
        <v>997</v>
      </c>
      <c r="E293" s="285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s="285" t="s">
        <v>998</v>
      </c>
      <c r="C294" s="285" t="s">
        <v>999</v>
      </c>
      <c r="D294" s="285" t="s">
        <v>1000</v>
      </c>
      <c r="E294" s="285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s="285" t="s">
        <v>1001</v>
      </c>
      <c r="C295" s="285" t="s">
        <v>1002</v>
      </c>
      <c r="D295" s="285" t="s">
        <v>1003</v>
      </c>
      <c r="E295" s="28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s="285" t="s">
        <v>1004</v>
      </c>
      <c r="C296" s="285" t="s">
        <v>1005</v>
      </c>
      <c r="D296" s="285" t="s">
        <v>1006</v>
      </c>
      <c r="E296" s="285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s="285" t="s">
        <v>1007</v>
      </c>
      <c r="C297" s="285" t="s">
        <v>1008</v>
      </c>
      <c r="D297" s="285" t="s">
        <v>1009</v>
      </c>
      <c r="E297" s="285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s="285" t="s">
        <v>1010</v>
      </c>
      <c r="C298" s="285" t="s">
        <v>1011</v>
      </c>
      <c r="D298" s="285" t="s">
        <v>1012</v>
      </c>
      <c r="E298" s="285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s="285" t="s">
        <v>1013</v>
      </c>
      <c r="C299" s="285" t="s">
        <v>1014</v>
      </c>
      <c r="D299" s="285" t="s">
        <v>1015</v>
      </c>
      <c r="E299" s="285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s="285" t="s">
        <v>1016</v>
      </c>
      <c r="C300" s="285" t="s">
        <v>1017</v>
      </c>
      <c r="D300" s="285" t="s">
        <v>1018</v>
      </c>
      <c r="E300" s="285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s="285" t="s">
        <v>1019</v>
      </c>
      <c r="C301" s="285" t="s">
        <v>1020</v>
      </c>
      <c r="D301" s="285" t="s">
        <v>1021</v>
      </c>
      <c r="E301" s="285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s="285" t="s">
        <v>1022</v>
      </c>
      <c r="C302" s="285" t="s">
        <v>1023</v>
      </c>
      <c r="D302" s="285" t="s">
        <v>1024</v>
      </c>
      <c r="E302" s="285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s="285" t="s">
        <v>197</v>
      </c>
      <c r="C303" s="285" t="s">
        <v>1025</v>
      </c>
      <c r="D303" s="285" t="s">
        <v>1026</v>
      </c>
      <c r="E303" s="285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s="285" t="s">
        <v>1027</v>
      </c>
      <c r="C304" s="285" t="s">
        <v>1028</v>
      </c>
      <c r="D304" s="285" t="s">
        <v>1029</v>
      </c>
      <c r="E304" s="285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s="285" t="s">
        <v>1030</v>
      </c>
      <c r="C305" s="285" t="s">
        <v>1031</v>
      </c>
      <c r="D305" s="285" t="s">
        <v>1032</v>
      </c>
      <c r="E305" s="28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s="285" t="s">
        <v>1033</v>
      </c>
      <c r="C306" s="285" t="s">
        <v>1034</v>
      </c>
      <c r="D306" s="285" t="s">
        <v>1035</v>
      </c>
      <c r="E306" s="285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s="285" t="s">
        <v>206</v>
      </c>
      <c r="C307" s="285" t="s">
        <v>1036</v>
      </c>
      <c r="D307" s="285" t="s">
        <v>1037</v>
      </c>
      <c r="E307" s="285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s="285" t="s">
        <v>174</v>
      </c>
      <c r="C308" s="285" t="s">
        <v>1038</v>
      </c>
      <c r="D308" s="285" t="s">
        <v>1039</v>
      </c>
      <c r="E308" s="285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s="285" t="s">
        <v>1040</v>
      </c>
      <c r="C309" s="285" t="s">
        <v>1041</v>
      </c>
      <c r="D309" s="285" t="s">
        <v>1042</v>
      </c>
      <c r="E309" s="285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s="285" t="s">
        <v>1043</v>
      </c>
      <c r="C310" s="285" t="s">
        <v>1044</v>
      </c>
      <c r="D310" s="285" t="s">
        <v>1045</v>
      </c>
      <c r="E310" s="285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s="285" t="s">
        <v>1046</v>
      </c>
      <c r="C311" s="285" t="s">
        <v>1047</v>
      </c>
      <c r="D311" s="285" t="s">
        <v>1048</v>
      </c>
      <c r="E311" s="285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s="285" t="s">
        <v>141</v>
      </c>
      <c r="C312" s="285" t="s">
        <v>1049</v>
      </c>
      <c r="D312" s="285" t="s">
        <v>1050</v>
      </c>
      <c r="E312" s="285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s="285" t="s">
        <v>1051</v>
      </c>
      <c r="C313" s="285" t="s">
        <v>1052</v>
      </c>
      <c r="D313" s="285" t="s">
        <v>1053</v>
      </c>
      <c r="E313" s="285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s="285" t="s">
        <v>1054</v>
      </c>
      <c r="C314" s="285" t="s">
        <v>1055</v>
      </c>
      <c r="D314" s="285" t="s">
        <v>1056</v>
      </c>
      <c r="E314" s="285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s="285" t="s">
        <v>1057</v>
      </c>
      <c r="C315" s="285" t="s">
        <v>1058</v>
      </c>
      <c r="D315" s="285" t="s">
        <v>1059</v>
      </c>
      <c r="E315" s="28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s="285" t="s">
        <v>1060</v>
      </c>
      <c r="C316" s="285" t="s">
        <v>1061</v>
      </c>
      <c r="D316" s="285" t="s">
        <v>1062</v>
      </c>
      <c r="E316" s="285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s="285" t="s">
        <v>212</v>
      </c>
      <c r="C317" s="285" t="s">
        <v>1063</v>
      </c>
      <c r="D317" s="285" t="s">
        <v>1064</v>
      </c>
      <c r="E317" s="285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s="285" t="s">
        <v>1065</v>
      </c>
      <c r="C318" s="285" t="s">
        <v>1066</v>
      </c>
      <c r="D318" s="285" t="s">
        <v>1067</v>
      </c>
      <c r="E318" s="285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s="285" t="s">
        <v>1068</v>
      </c>
      <c r="C319" s="285" t="s">
        <v>1069</v>
      </c>
      <c r="D319" s="285" t="s">
        <v>1070</v>
      </c>
      <c r="E319" s="285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s="285" t="s">
        <v>1071</v>
      </c>
      <c r="C320" s="285" t="s">
        <v>1072</v>
      </c>
      <c r="D320" s="285" t="s">
        <v>1073</v>
      </c>
      <c r="E320" s="285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s="285" t="s">
        <v>1074</v>
      </c>
      <c r="C321" s="285" t="s">
        <v>1075</v>
      </c>
      <c r="D321" s="285" t="s">
        <v>1076</v>
      </c>
      <c r="E321" s="285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s="285" t="s">
        <v>1077</v>
      </c>
      <c r="C322" s="285" t="s">
        <v>1078</v>
      </c>
      <c r="D322" s="285" t="s">
        <v>1079</v>
      </c>
      <c r="E322" s="285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s="285" t="s">
        <v>1080</v>
      </c>
      <c r="C323" s="285" t="s">
        <v>1081</v>
      </c>
      <c r="D323" s="285" t="s">
        <v>1082</v>
      </c>
      <c r="E323" s="285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s="285" t="s">
        <v>183</v>
      </c>
      <c r="C324" s="285" t="s">
        <v>1083</v>
      </c>
      <c r="D324" s="285" t="s">
        <v>1084</v>
      </c>
      <c r="E324" s="285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s="285" t="s">
        <v>1085</v>
      </c>
      <c r="C325" s="285" t="s">
        <v>1086</v>
      </c>
      <c r="D325" s="285" t="s">
        <v>1087</v>
      </c>
      <c r="E325" s="28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s="285" t="s">
        <v>1088</v>
      </c>
      <c r="C326" s="285" t="s">
        <v>1089</v>
      </c>
      <c r="D326" s="285" t="s">
        <v>1090</v>
      </c>
      <c r="E326" s="285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s="285" t="s">
        <v>201</v>
      </c>
      <c r="C327" s="285" t="s">
        <v>1091</v>
      </c>
      <c r="D327" s="285" t="s">
        <v>1092</v>
      </c>
      <c r="E327" s="285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s="285" t="s">
        <v>1093</v>
      </c>
      <c r="C328" s="285" t="s">
        <v>1094</v>
      </c>
      <c r="D328" s="285" t="s">
        <v>1095</v>
      </c>
      <c r="E328" s="285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s="285" t="s">
        <v>1096</v>
      </c>
      <c r="C329" s="285" t="s">
        <v>1097</v>
      </c>
      <c r="D329" s="285" t="s">
        <v>1098</v>
      </c>
      <c r="E329" s="285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s="285" t="s">
        <v>160</v>
      </c>
      <c r="C330" s="285" t="s">
        <v>1099</v>
      </c>
      <c r="D330" s="285" t="s">
        <v>1100</v>
      </c>
      <c r="E330" s="285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s="285" t="s">
        <v>1101</v>
      </c>
      <c r="C331" s="285" t="s">
        <v>1102</v>
      </c>
      <c r="D331" s="285" t="s">
        <v>1103</v>
      </c>
      <c r="E331" s="285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s="285" t="s">
        <v>1104</v>
      </c>
      <c r="C332" s="285" t="s">
        <v>1105</v>
      </c>
      <c r="D332" s="285" t="s">
        <v>1106</v>
      </c>
      <c r="E332" s="285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s="285" t="s">
        <v>205</v>
      </c>
      <c r="C333" s="285" t="s">
        <v>1107</v>
      </c>
      <c r="D333" s="285" t="s">
        <v>1108</v>
      </c>
      <c r="E333" s="285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s="285" t="s">
        <v>1109</v>
      </c>
      <c r="C334" s="285" t="s">
        <v>1110</v>
      </c>
      <c r="D334" s="285" t="s">
        <v>1111</v>
      </c>
      <c r="E334" s="285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s="285" t="s">
        <v>1112</v>
      </c>
      <c r="C335" s="285" t="s">
        <v>1113</v>
      </c>
      <c r="D335" s="285" t="s">
        <v>1114</v>
      </c>
      <c r="E335" s="28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s="285" t="s">
        <v>1115</v>
      </c>
      <c r="C336" s="285" t="s">
        <v>1116</v>
      </c>
      <c r="D336" s="285" t="s">
        <v>1117</v>
      </c>
      <c r="E336" s="285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s="285" t="s">
        <v>1118</v>
      </c>
      <c r="C337" s="285" t="s">
        <v>1119</v>
      </c>
      <c r="D337" s="285" t="s">
        <v>1120</v>
      </c>
      <c r="E337" s="285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s="285" t="s">
        <v>1121</v>
      </c>
      <c r="C338" s="285" t="s">
        <v>1122</v>
      </c>
      <c r="D338" s="285" t="s">
        <v>1123</v>
      </c>
      <c r="E338" s="285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s="285" t="s">
        <v>115</v>
      </c>
      <c r="C339" s="285" t="s">
        <v>1124</v>
      </c>
      <c r="D339" s="285" t="s">
        <v>1125</v>
      </c>
      <c r="E339" s="285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s="285" t="s">
        <v>1126</v>
      </c>
      <c r="C340" s="285" t="s">
        <v>1127</v>
      </c>
      <c r="D340" s="285" t="s">
        <v>1128</v>
      </c>
      <c r="E340" s="285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s="285" t="s">
        <v>1129</v>
      </c>
      <c r="C341" s="285" t="s">
        <v>1130</v>
      </c>
      <c r="D341" s="285" t="s">
        <v>1131</v>
      </c>
      <c r="E341" s="285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s="285" t="s">
        <v>1132</v>
      </c>
      <c r="C342" s="285" t="s">
        <v>1133</v>
      </c>
      <c r="D342" s="285" t="s">
        <v>1134</v>
      </c>
      <c r="E342" s="285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s="285" t="s">
        <v>1135</v>
      </c>
      <c r="C343" s="285" t="s">
        <v>1136</v>
      </c>
      <c r="D343" s="285" t="s">
        <v>1137</v>
      </c>
      <c r="E343" s="285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s="285" t="s">
        <v>1138</v>
      </c>
      <c r="C344" s="285" t="s">
        <v>1139</v>
      </c>
      <c r="D344" s="285" t="s">
        <v>1140</v>
      </c>
      <c r="E344" s="285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s="285" t="s">
        <v>1141</v>
      </c>
      <c r="C345" s="285" t="s">
        <v>1142</v>
      </c>
      <c r="D345" s="285" t="s">
        <v>1143</v>
      </c>
      <c r="E345" s="28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s="285" t="s">
        <v>1144</v>
      </c>
      <c r="C346" s="285" t="s">
        <v>1145</v>
      </c>
      <c r="D346" s="285" t="s">
        <v>1146</v>
      </c>
      <c r="E346" s="285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s="285" t="s">
        <v>1147</v>
      </c>
      <c r="C347" s="285" t="s">
        <v>1148</v>
      </c>
      <c r="D347" s="285" t="s">
        <v>1149</v>
      </c>
      <c r="E347" s="285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s="285" t="s">
        <v>1150</v>
      </c>
      <c r="C348" s="285" t="s">
        <v>1151</v>
      </c>
      <c r="D348" s="285" t="s">
        <v>1152</v>
      </c>
      <c r="E348" s="285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s="285" t="s">
        <v>1153</v>
      </c>
      <c r="C349" s="285" t="s">
        <v>1154</v>
      </c>
      <c r="D349" s="285" t="s">
        <v>1155</v>
      </c>
      <c r="E349" s="285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s="285" t="s">
        <v>1156</v>
      </c>
      <c r="C350" s="285" t="s">
        <v>1157</v>
      </c>
      <c r="D350" s="285" t="s">
        <v>1158</v>
      </c>
      <c r="E350" s="285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s="285" t="s">
        <v>1159</v>
      </c>
      <c r="C351" s="285" t="s">
        <v>1160</v>
      </c>
      <c r="D351" s="285" t="s">
        <v>1161</v>
      </c>
      <c r="E351" s="285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s="285" t="s">
        <v>1162</v>
      </c>
      <c r="C352" s="285" t="s">
        <v>1163</v>
      </c>
      <c r="D352" s="285" t="s">
        <v>1164</v>
      </c>
      <c r="E352" s="285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s="285" t="s">
        <v>1165</v>
      </c>
      <c r="C353" s="285" t="s">
        <v>1166</v>
      </c>
      <c r="D353" s="285" t="s">
        <v>1167</v>
      </c>
      <c r="E353" s="285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s="285" t="s">
        <v>1168</v>
      </c>
      <c r="C354" s="285" t="s">
        <v>1169</v>
      </c>
      <c r="D354" s="285" t="s">
        <v>1170</v>
      </c>
      <c r="E354" s="285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s="285" t="s">
        <v>1171</v>
      </c>
      <c r="C355" s="285" t="s">
        <v>1172</v>
      </c>
      <c r="D355" s="285" t="s">
        <v>1173</v>
      </c>
      <c r="E355" s="28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s="285" t="s">
        <v>1174</v>
      </c>
      <c r="C356" s="285" t="s">
        <v>1175</v>
      </c>
      <c r="D356" s="285" t="s">
        <v>1176</v>
      </c>
      <c r="E356" s="285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s="285" t="s">
        <v>1177</v>
      </c>
      <c r="C357" s="285" t="s">
        <v>1178</v>
      </c>
      <c r="D357" s="285" t="s">
        <v>1179</v>
      </c>
      <c r="E357" s="285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s="285" t="s">
        <v>1180</v>
      </c>
      <c r="C358" s="285" t="s">
        <v>1181</v>
      </c>
      <c r="D358" s="285" t="s">
        <v>1182</v>
      </c>
      <c r="E358" s="285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s="285" t="s">
        <v>1183</v>
      </c>
      <c r="C359" s="285" t="s">
        <v>1184</v>
      </c>
      <c r="D359" s="285" t="s">
        <v>1185</v>
      </c>
      <c r="E359" s="285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s="285" t="s">
        <v>102</v>
      </c>
      <c r="C360" s="285" t="s">
        <v>1186</v>
      </c>
      <c r="D360" s="285" t="s">
        <v>1187</v>
      </c>
      <c r="E360" s="285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s="285" t="s">
        <v>214</v>
      </c>
      <c r="C361" s="285" t="s">
        <v>1188</v>
      </c>
      <c r="D361" s="285" t="s">
        <v>1189</v>
      </c>
      <c r="E361" s="285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s="285" t="s">
        <v>1190</v>
      </c>
      <c r="C362" s="285" t="s">
        <v>1191</v>
      </c>
      <c r="D362" s="285" t="s">
        <v>1192</v>
      </c>
      <c r="E362" s="285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s="285" t="s">
        <v>1193</v>
      </c>
      <c r="C363" s="285" t="s">
        <v>1194</v>
      </c>
      <c r="D363" s="285" t="s">
        <v>1195</v>
      </c>
      <c r="E363" s="285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s="285" t="s">
        <v>207</v>
      </c>
      <c r="C364" s="285" t="s">
        <v>1196</v>
      </c>
      <c r="D364" s="285" t="s">
        <v>1197</v>
      </c>
      <c r="E364" s="285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s="285" t="s">
        <v>185</v>
      </c>
      <c r="C365" s="285" t="s">
        <v>1198</v>
      </c>
      <c r="D365" s="285" t="s">
        <v>1199</v>
      </c>
      <c r="E365" s="28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s="285" t="s">
        <v>1200</v>
      </c>
      <c r="C366" s="285" t="s">
        <v>1201</v>
      </c>
      <c r="D366" s="285" t="s">
        <v>1202</v>
      </c>
      <c r="E366" s="285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K24" sqref="K24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88" t="s">
        <v>3</v>
      </c>
      <c r="B1" s="288"/>
      <c r="C1" s="288"/>
      <c r="D1" s="288"/>
      <c r="E1" s="288"/>
      <c r="F1" s="288"/>
      <c r="G1" s="288"/>
      <c r="I1" s="288" t="s">
        <v>4</v>
      </c>
      <c r="J1" s="288"/>
      <c r="K1" s="288"/>
      <c r="L1" s="288"/>
      <c r="M1" s="288"/>
      <c r="N1" s="288"/>
      <c r="O1" s="288"/>
      <c r="Q1" s="288" t="s">
        <v>15</v>
      </c>
      <c r="R1" s="288"/>
      <c r="S1" s="288"/>
      <c r="T1" s="288"/>
      <c r="U1" s="288"/>
      <c r="V1" s="288"/>
      <c r="W1" s="288"/>
      <c r="Y1" s="288" t="s">
        <v>14</v>
      </c>
      <c r="Z1" s="288"/>
      <c r="AA1" s="288"/>
      <c r="AB1" s="288"/>
      <c r="AC1" s="288"/>
      <c r="AD1" s="288"/>
      <c r="AE1" s="288"/>
    </row>
    <row r="2" spans="1:31" x14ac:dyDescent="0.25">
      <c r="A2" t="s">
        <v>21</v>
      </c>
      <c r="B2" t="s">
        <v>128</v>
      </c>
      <c r="C2" t="s">
        <v>129</v>
      </c>
      <c r="D2" t="s">
        <v>130</v>
      </c>
      <c r="E2" t="s">
        <v>131</v>
      </c>
      <c r="F2" t="s">
        <v>132</v>
      </c>
      <c r="G2" t="s">
        <v>133</v>
      </c>
      <c r="I2" t="s">
        <v>21</v>
      </c>
      <c r="J2" t="s">
        <v>128</v>
      </c>
      <c r="K2" t="s">
        <v>129</v>
      </c>
      <c r="L2" t="s">
        <v>130</v>
      </c>
      <c r="M2" t="s">
        <v>131</v>
      </c>
      <c r="N2" t="s">
        <v>132</v>
      </c>
      <c r="O2" t="s">
        <v>133</v>
      </c>
      <c r="Q2" t="s">
        <v>21</v>
      </c>
      <c r="R2" t="s">
        <v>128</v>
      </c>
      <c r="S2" t="s">
        <v>129</v>
      </c>
      <c r="T2" t="s">
        <v>130</v>
      </c>
      <c r="U2" t="s">
        <v>131</v>
      </c>
      <c r="V2" t="s">
        <v>132</v>
      </c>
      <c r="W2" t="s">
        <v>133</v>
      </c>
      <c r="Y2" t="s">
        <v>21</v>
      </c>
      <c r="Z2" t="s">
        <v>128</v>
      </c>
      <c r="AA2" t="s">
        <v>129</v>
      </c>
      <c r="AB2" t="s">
        <v>130</v>
      </c>
      <c r="AC2" t="s">
        <v>131</v>
      </c>
      <c r="AD2" t="s">
        <v>132</v>
      </c>
      <c r="AE2" t="s">
        <v>133</v>
      </c>
    </row>
    <row r="3" spans="1:31" x14ac:dyDescent="0.25">
      <c r="A3" s="287">
        <v>1</v>
      </c>
      <c r="B3" s="285" t="s">
        <v>95</v>
      </c>
      <c r="C3" s="285" t="s">
        <v>96</v>
      </c>
      <c r="D3" s="285" t="s">
        <v>97</v>
      </c>
      <c r="E3">
        <v>2</v>
      </c>
      <c r="F3" s="285" t="s">
        <v>98</v>
      </c>
      <c r="G3">
        <v>2024</v>
      </c>
      <c r="I3" s="287">
        <v>1</v>
      </c>
      <c r="J3" s="285" t="s">
        <v>136</v>
      </c>
      <c r="K3" s="285" t="s">
        <v>99</v>
      </c>
      <c r="L3" s="285" t="s">
        <v>137</v>
      </c>
      <c r="M3">
        <v>4</v>
      </c>
      <c r="N3" s="285" t="s">
        <v>98</v>
      </c>
      <c r="O3" s="285" t="s">
        <v>138</v>
      </c>
      <c r="Q3" s="287">
        <v>1</v>
      </c>
      <c r="R3" s="285" t="s">
        <v>45</v>
      </c>
      <c r="S3" s="285" t="s">
        <v>99</v>
      </c>
      <c r="T3" s="285" t="s">
        <v>111</v>
      </c>
      <c r="U3">
        <v>1</v>
      </c>
      <c r="V3" s="285" t="s">
        <v>101</v>
      </c>
      <c r="W3" s="285" t="s">
        <v>138</v>
      </c>
      <c r="Y3" s="287">
        <v>1</v>
      </c>
      <c r="Z3" s="285" t="s">
        <v>196</v>
      </c>
      <c r="AA3" s="285" t="s">
        <v>105</v>
      </c>
      <c r="AB3" s="285" t="s">
        <v>137</v>
      </c>
      <c r="AC3">
        <v>3</v>
      </c>
      <c r="AD3" s="285" t="s">
        <v>98</v>
      </c>
      <c r="AE3" s="285" t="s">
        <v>138</v>
      </c>
    </row>
    <row r="4" spans="1:31" x14ac:dyDescent="0.25">
      <c r="A4" s="287">
        <v>2</v>
      </c>
      <c r="B4" s="285" t="s">
        <v>32</v>
      </c>
      <c r="C4" s="285" t="s">
        <v>99</v>
      </c>
      <c r="D4" s="285" t="s">
        <v>100</v>
      </c>
      <c r="E4">
        <v>6</v>
      </c>
      <c r="F4" s="285" t="s">
        <v>101</v>
      </c>
      <c r="G4">
        <v>2024</v>
      </c>
      <c r="I4" s="287">
        <v>2</v>
      </c>
      <c r="J4" s="285" t="s">
        <v>992</v>
      </c>
      <c r="K4" s="285" t="s">
        <v>139</v>
      </c>
      <c r="L4" s="285" t="s">
        <v>137</v>
      </c>
      <c r="M4">
        <v>8</v>
      </c>
      <c r="N4" s="285" t="s">
        <v>98</v>
      </c>
      <c r="O4" s="285" t="s">
        <v>140</v>
      </c>
      <c r="Q4" s="287">
        <v>2</v>
      </c>
      <c r="R4" s="285" t="s">
        <v>171</v>
      </c>
      <c r="S4" s="285" t="s">
        <v>103</v>
      </c>
      <c r="T4" s="285" t="s">
        <v>172</v>
      </c>
      <c r="U4">
        <v>7</v>
      </c>
      <c r="V4" s="285" t="s">
        <v>101</v>
      </c>
      <c r="W4" s="285" t="s">
        <v>138</v>
      </c>
      <c r="Y4" s="287">
        <v>2</v>
      </c>
      <c r="Z4" s="285" t="s">
        <v>197</v>
      </c>
      <c r="AA4" s="285" t="s">
        <v>99</v>
      </c>
      <c r="AB4" s="285" t="s">
        <v>162</v>
      </c>
      <c r="AC4">
        <v>5</v>
      </c>
      <c r="AD4" s="285" t="s">
        <v>101</v>
      </c>
      <c r="AE4" s="285" t="s">
        <v>138</v>
      </c>
    </row>
    <row r="5" spans="1:31" x14ac:dyDescent="0.25">
      <c r="A5" s="287">
        <v>3</v>
      </c>
      <c r="B5" s="285" t="s">
        <v>102</v>
      </c>
      <c r="C5" s="285" t="s">
        <v>103</v>
      </c>
      <c r="D5" s="285" t="s">
        <v>104</v>
      </c>
      <c r="E5">
        <v>12</v>
      </c>
      <c r="F5" s="285" t="s">
        <v>101</v>
      </c>
      <c r="G5">
        <v>2024</v>
      </c>
      <c r="I5" s="287">
        <v>3</v>
      </c>
      <c r="J5" s="285" t="s">
        <v>141</v>
      </c>
      <c r="K5" s="285" t="s">
        <v>105</v>
      </c>
      <c r="L5" s="285" t="s">
        <v>100</v>
      </c>
      <c r="M5">
        <v>9</v>
      </c>
      <c r="N5" s="285" t="s">
        <v>101</v>
      </c>
      <c r="O5" s="285" t="s">
        <v>138</v>
      </c>
      <c r="Q5" s="287">
        <v>3</v>
      </c>
      <c r="R5" s="285" t="s">
        <v>173</v>
      </c>
      <c r="S5" s="285" t="s">
        <v>105</v>
      </c>
      <c r="T5" s="285" t="s">
        <v>108</v>
      </c>
      <c r="U5">
        <v>10</v>
      </c>
      <c r="V5" s="285" t="s">
        <v>101</v>
      </c>
      <c r="W5" s="285" t="s">
        <v>138</v>
      </c>
      <c r="Y5" s="287">
        <v>3</v>
      </c>
      <c r="Z5" s="285" t="s">
        <v>198</v>
      </c>
      <c r="AA5" s="285" t="s">
        <v>99</v>
      </c>
      <c r="AB5" s="285" t="s">
        <v>147</v>
      </c>
      <c r="AC5">
        <v>11</v>
      </c>
      <c r="AD5" s="285" t="s">
        <v>101</v>
      </c>
      <c r="AE5" s="285" t="s">
        <v>138</v>
      </c>
    </row>
    <row r="6" spans="1:31" x14ac:dyDescent="0.25">
      <c r="A6" s="287">
        <v>4</v>
      </c>
      <c r="B6" s="285" t="s">
        <v>39</v>
      </c>
      <c r="C6" s="285" t="s">
        <v>105</v>
      </c>
      <c r="D6" s="285" t="s">
        <v>106</v>
      </c>
      <c r="E6">
        <v>16</v>
      </c>
      <c r="F6" s="285" t="s">
        <v>101</v>
      </c>
      <c r="G6">
        <v>2024</v>
      </c>
      <c r="I6" s="287">
        <v>4</v>
      </c>
      <c r="J6" s="285" t="s">
        <v>142</v>
      </c>
      <c r="K6" s="285" t="s">
        <v>103</v>
      </c>
      <c r="L6" s="285" t="s">
        <v>100</v>
      </c>
      <c r="M6">
        <v>15</v>
      </c>
      <c r="N6" s="285" t="s">
        <v>101</v>
      </c>
      <c r="O6" s="285" t="s">
        <v>143</v>
      </c>
      <c r="Q6" s="287">
        <v>4</v>
      </c>
      <c r="R6" s="285" t="s">
        <v>174</v>
      </c>
      <c r="S6" s="285" t="s">
        <v>99</v>
      </c>
      <c r="T6" s="285" t="s">
        <v>175</v>
      </c>
      <c r="U6">
        <v>13</v>
      </c>
      <c r="V6" s="285" t="s">
        <v>101</v>
      </c>
      <c r="W6" s="285" t="s">
        <v>138</v>
      </c>
      <c r="Y6" s="287">
        <v>4</v>
      </c>
      <c r="Z6" s="285" t="s">
        <v>199</v>
      </c>
      <c r="AA6" s="285" t="s">
        <v>103</v>
      </c>
      <c r="AB6" s="285" t="s">
        <v>147</v>
      </c>
      <c r="AC6">
        <v>14</v>
      </c>
      <c r="AD6" s="285" t="s">
        <v>101</v>
      </c>
      <c r="AE6" s="285" t="s">
        <v>138</v>
      </c>
    </row>
    <row r="7" spans="1:31" x14ac:dyDescent="0.25">
      <c r="A7" s="287">
        <v>5</v>
      </c>
      <c r="B7" s="285" t="s">
        <v>107</v>
      </c>
      <c r="C7" s="285" t="s">
        <v>103</v>
      </c>
      <c r="D7" s="285" t="s">
        <v>108</v>
      </c>
      <c r="E7">
        <v>19</v>
      </c>
      <c r="F7" s="285" t="s">
        <v>101</v>
      </c>
      <c r="G7">
        <v>2024</v>
      </c>
      <c r="I7" s="287">
        <v>5</v>
      </c>
      <c r="J7" s="285" t="s">
        <v>144</v>
      </c>
      <c r="K7" s="285" t="s">
        <v>37</v>
      </c>
      <c r="L7" s="285" t="s">
        <v>145</v>
      </c>
      <c r="M7">
        <v>20</v>
      </c>
      <c r="N7" s="285" t="s">
        <v>98</v>
      </c>
      <c r="O7" s="285" t="s">
        <v>143</v>
      </c>
      <c r="Q7" s="287">
        <v>5</v>
      </c>
      <c r="R7" s="285" t="s">
        <v>176</v>
      </c>
      <c r="S7" s="285" t="s">
        <v>103</v>
      </c>
      <c r="T7" s="285" t="s">
        <v>124</v>
      </c>
      <c r="U7">
        <v>17</v>
      </c>
      <c r="V7" s="285" t="s">
        <v>98</v>
      </c>
      <c r="W7" s="285" t="s">
        <v>170</v>
      </c>
      <c r="Y7" s="287">
        <v>5</v>
      </c>
      <c r="Z7" s="285" t="s">
        <v>80</v>
      </c>
      <c r="AA7" s="285" t="s">
        <v>96</v>
      </c>
      <c r="AB7" s="285" t="s">
        <v>172</v>
      </c>
      <c r="AC7">
        <v>18</v>
      </c>
      <c r="AD7" s="285" t="s">
        <v>101</v>
      </c>
      <c r="AE7" s="285" t="s">
        <v>138</v>
      </c>
    </row>
    <row r="8" spans="1:31" x14ac:dyDescent="0.25">
      <c r="A8" s="287">
        <v>6</v>
      </c>
      <c r="B8" s="285" t="s">
        <v>58</v>
      </c>
      <c r="C8" s="285" t="s">
        <v>105</v>
      </c>
      <c r="D8" s="285" t="s">
        <v>108</v>
      </c>
      <c r="E8">
        <v>21</v>
      </c>
      <c r="F8" s="285" t="s">
        <v>101</v>
      </c>
      <c r="G8">
        <v>2024</v>
      </c>
      <c r="I8" s="287">
        <v>6</v>
      </c>
      <c r="J8" s="285" t="s">
        <v>146</v>
      </c>
      <c r="K8" s="285" t="s">
        <v>99</v>
      </c>
      <c r="L8" s="285" t="s">
        <v>147</v>
      </c>
      <c r="M8">
        <v>23</v>
      </c>
      <c r="N8" s="285" t="s">
        <v>101</v>
      </c>
      <c r="O8" s="285" t="s">
        <v>143</v>
      </c>
      <c r="Q8" s="287">
        <v>6</v>
      </c>
      <c r="R8" s="285" t="s">
        <v>677</v>
      </c>
      <c r="S8" s="285" t="s">
        <v>99</v>
      </c>
      <c r="T8" s="285" t="s">
        <v>147</v>
      </c>
      <c r="U8">
        <v>24</v>
      </c>
      <c r="V8" s="285" t="s">
        <v>101</v>
      </c>
      <c r="W8" s="285" t="s">
        <v>140</v>
      </c>
      <c r="Y8" s="287">
        <v>6</v>
      </c>
      <c r="Z8" s="285" t="s">
        <v>200</v>
      </c>
      <c r="AA8" s="285" t="s">
        <v>103</v>
      </c>
      <c r="AB8" s="285" t="s">
        <v>113</v>
      </c>
      <c r="AC8">
        <v>22</v>
      </c>
      <c r="AD8" s="285" t="s">
        <v>101</v>
      </c>
      <c r="AE8" s="285" t="s">
        <v>138</v>
      </c>
    </row>
    <row r="9" spans="1:31" x14ac:dyDescent="0.25">
      <c r="A9" s="287">
        <v>7</v>
      </c>
      <c r="B9" s="285" t="s">
        <v>109</v>
      </c>
      <c r="C9" s="285" t="s">
        <v>110</v>
      </c>
      <c r="D9" s="285" t="s">
        <v>111</v>
      </c>
      <c r="E9">
        <v>27</v>
      </c>
      <c r="F9" s="285" t="s">
        <v>101</v>
      </c>
      <c r="G9">
        <v>2024</v>
      </c>
      <c r="I9" s="287">
        <v>7</v>
      </c>
      <c r="J9" s="285" t="s">
        <v>148</v>
      </c>
      <c r="K9" s="285" t="s">
        <v>105</v>
      </c>
      <c r="L9" s="285" t="s">
        <v>113</v>
      </c>
      <c r="M9">
        <v>28</v>
      </c>
      <c r="N9" s="285" t="s">
        <v>101</v>
      </c>
      <c r="O9" s="285" t="s">
        <v>138</v>
      </c>
      <c r="Q9" s="287">
        <v>7</v>
      </c>
      <c r="R9" s="285" t="s">
        <v>177</v>
      </c>
      <c r="S9" s="285" t="s">
        <v>139</v>
      </c>
      <c r="T9" s="285" t="s">
        <v>149</v>
      </c>
      <c r="U9">
        <v>26</v>
      </c>
      <c r="V9" s="285" t="s">
        <v>101</v>
      </c>
      <c r="W9" s="285" t="s">
        <v>138</v>
      </c>
      <c r="Y9" s="287">
        <v>7</v>
      </c>
      <c r="Z9" s="285" t="s">
        <v>201</v>
      </c>
      <c r="AA9" s="285" t="s">
        <v>103</v>
      </c>
      <c r="AB9" s="285" t="s">
        <v>175</v>
      </c>
      <c r="AC9">
        <v>25</v>
      </c>
      <c r="AD9" s="285" t="s">
        <v>101</v>
      </c>
      <c r="AE9" s="285" t="s">
        <v>143</v>
      </c>
    </row>
    <row r="10" spans="1:31" x14ac:dyDescent="0.25">
      <c r="A10" s="287">
        <v>8</v>
      </c>
      <c r="B10" s="285" t="s">
        <v>112</v>
      </c>
      <c r="C10" s="285" t="s">
        <v>99</v>
      </c>
      <c r="D10" s="285" t="s">
        <v>113</v>
      </c>
      <c r="E10">
        <v>32</v>
      </c>
      <c r="F10" s="285" t="s">
        <v>101</v>
      </c>
      <c r="G10">
        <v>2024</v>
      </c>
      <c r="I10" s="287">
        <v>8</v>
      </c>
      <c r="J10" s="285" t="s">
        <v>88</v>
      </c>
      <c r="K10" s="285" t="s">
        <v>139</v>
      </c>
      <c r="L10" s="285" t="s">
        <v>149</v>
      </c>
      <c r="M10">
        <v>31</v>
      </c>
      <c r="N10" s="285" t="s">
        <v>101</v>
      </c>
      <c r="O10" s="285" t="s">
        <v>138</v>
      </c>
      <c r="Q10" s="287">
        <v>8</v>
      </c>
      <c r="R10" s="285" t="s">
        <v>178</v>
      </c>
      <c r="S10" s="285" t="s">
        <v>96</v>
      </c>
      <c r="T10" s="285" t="s">
        <v>162</v>
      </c>
      <c r="U10">
        <v>29</v>
      </c>
      <c r="V10" s="285" t="s">
        <v>101</v>
      </c>
      <c r="W10" s="285" t="s">
        <v>140</v>
      </c>
      <c r="Y10" s="287">
        <v>8</v>
      </c>
      <c r="Z10" s="285" t="s">
        <v>202</v>
      </c>
      <c r="AA10" s="285" t="s">
        <v>110</v>
      </c>
      <c r="AB10" s="285" t="s">
        <v>100</v>
      </c>
      <c r="AC10">
        <v>30</v>
      </c>
      <c r="AD10" s="285" t="s">
        <v>98</v>
      </c>
      <c r="AE10" s="285" t="s">
        <v>138</v>
      </c>
    </row>
    <row r="11" spans="1:31" x14ac:dyDescent="0.25">
      <c r="A11" s="287">
        <v>9</v>
      </c>
      <c r="B11" s="285" t="s">
        <v>48</v>
      </c>
      <c r="C11" s="285" t="s">
        <v>105</v>
      </c>
      <c r="D11" s="285" t="s">
        <v>114</v>
      </c>
      <c r="E11">
        <v>35</v>
      </c>
      <c r="F11" s="285" t="s">
        <v>101</v>
      </c>
      <c r="G11">
        <v>2024</v>
      </c>
      <c r="I11" s="287">
        <v>9</v>
      </c>
      <c r="J11" s="285" t="s">
        <v>150</v>
      </c>
      <c r="K11" s="285" t="s">
        <v>99</v>
      </c>
      <c r="L11" s="285" t="s">
        <v>151</v>
      </c>
      <c r="M11">
        <v>36</v>
      </c>
      <c r="N11" s="285" t="s">
        <v>101</v>
      </c>
      <c r="O11" s="285" t="s">
        <v>152</v>
      </c>
      <c r="Q11" s="287">
        <v>9</v>
      </c>
      <c r="R11" s="285" t="s">
        <v>91</v>
      </c>
      <c r="S11" s="285" t="s">
        <v>139</v>
      </c>
      <c r="T11" s="285" t="s">
        <v>169</v>
      </c>
      <c r="U11">
        <v>33</v>
      </c>
      <c r="V11" s="285" t="s">
        <v>101</v>
      </c>
      <c r="W11" s="285" t="s">
        <v>138</v>
      </c>
      <c r="Y11" s="287">
        <v>9</v>
      </c>
      <c r="Z11" s="285" t="s">
        <v>203</v>
      </c>
      <c r="AA11" s="285" t="s">
        <v>99</v>
      </c>
      <c r="AB11" s="285" t="s">
        <v>116</v>
      </c>
      <c r="AC11">
        <v>34</v>
      </c>
      <c r="AD11" s="285" t="s">
        <v>101</v>
      </c>
      <c r="AE11" s="285" t="s">
        <v>204</v>
      </c>
    </row>
    <row r="12" spans="1:31" x14ac:dyDescent="0.25">
      <c r="A12" s="287">
        <v>10</v>
      </c>
      <c r="B12" s="285" t="s">
        <v>115</v>
      </c>
      <c r="C12" s="285" t="s">
        <v>99</v>
      </c>
      <c r="D12" s="285" t="s">
        <v>116</v>
      </c>
      <c r="E12">
        <v>39</v>
      </c>
      <c r="F12" s="285" t="s">
        <v>101</v>
      </c>
      <c r="G12">
        <v>2017</v>
      </c>
      <c r="I12" s="287">
        <v>10</v>
      </c>
      <c r="J12" s="285" t="s">
        <v>41</v>
      </c>
      <c r="K12" s="285" t="s">
        <v>99</v>
      </c>
      <c r="L12" s="285" t="s">
        <v>151</v>
      </c>
      <c r="M12">
        <v>37</v>
      </c>
      <c r="N12" s="285" t="s">
        <v>101</v>
      </c>
      <c r="O12" s="285" t="s">
        <v>143</v>
      </c>
      <c r="Q12" s="287">
        <v>10</v>
      </c>
      <c r="R12" s="285" t="s">
        <v>179</v>
      </c>
      <c r="S12" s="285" t="s">
        <v>156</v>
      </c>
      <c r="T12" s="285" t="s">
        <v>159</v>
      </c>
      <c r="U12">
        <v>38</v>
      </c>
      <c r="V12" s="285" t="s">
        <v>101</v>
      </c>
      <c r="W12" s="285" t="s">
        <v>138</v>
      </c>
      <c r="Y12" s="287">
        <v>10</v>
      </c>
      <c r="Z12" s="285" t="s">
        <v>205</v>
      </c>
      <c r="AA12" s="285" t="s">
        <v>156</v>
      </c>
      <c r="AB12" s="285" t="s">
        <v>159</v>
      </c>
      <c r="AC12">
        <v>40</v>
      </c>
      <c r="AD12" s="285" t="s">
        <v>101</v>
      </c>
      <c r="AE12" s="285" t="s">
        <v>138</v>
      </c>
    </row>
    <row r="13" spans="1:31" x14ac:dyDescent="0.25">
      <c r="A13" s="287">
        <v>11</v>
      </c>
      <c r="B13" s="285" t="s">
        <v>1135</v>
      </c>
      <c r="C13" s="285" t="s">
        <v>117</v>
      </c>
      <c r="D13" s="285" t="s">
        <v>118</v>
      </c>
      <c r="E13">
        <v>45</v>
      </c>
      <c r="F13" s="285" t="s">
        <v>98</v>
      </c>
      <c r="G13">
        <v>2023</v>
      </c>
      <c r="I13" s="287">
        <v>11</v>
      </c>
      <c r="J13" s="285" t="s">
        <v>153</v>
      </c>
      <c r="K13" s="285" t="s">
        <v>154</v>
      </c>
      <c r="L13" s="285" t="s">
        <v>155</v>
      </c>
      <c r="M13">
        <v>44</v>
      </c>
      <c r="N13" s="285" t="s">
        <v>98</v>
      </c>
      <c r="O13" s="285" t="s">
        <v>138</v>
      </c>
      <c r="Q13" s="287">
        <v>11</v>
      </c>
      <c r="R13" s="285" t="s">
        <v>181</v>
      </c>
      <c r="S13" s="285" t="s">
        <v>96</v>
      </c>
      <c r="T13" s="285" t="s">
        <v>182</v>
      </c>
      <c r="U13">
        <v>46</v>
      </c>
      <c r="V13" s="285" t="s">
        <v>101</v>
      </c>
      <c r="W13" s="285" t="s">
        <v>138</v>
      </c>
      <c r="Y13" s="287">
        <v>11</v>
      </c>
      <c r="Z13" s="285" t="s">
        <v>206</v>
      </c>
      <c r="AA13" s="285" t="s">
        <v>99</v>
      </c>
      <c r="AB13" s="285" t="s">
        <v>194</v>
      </c>
      <c r="AC13">
        <v>41</v>
      </c>
      <c r="AD13" s="285" t="s">
        <v>101</v>
      </c>
      <c r="AE13" s="285" t="s">
        <v>138</v>
      </c>
    </row>
    <row r="14" spans="1:31" x14ac:dyDescent="0.25">
      <c r="A14" s="287">
        <v>12</v>
      </c>
      <c r="B14" s="285" t="s">
        <v>119</v>
      </c>
      <c r="C14" s="285" t="s">
        <v>120</v>
      </c>
      <c r="D14" s="285" t="s">
        <v>118</v>
      </c>
      <c r="E14">
        <v>50</v>
      </c>
      <c r="F14" s="285" t="s">
        <v>98</v>
      </c>
      <c r="G14">
        <v>2021</v>
      </c>
      <c r="I14" s="287">
        <v>12</v>
      </c>
      <c r="J14" s="285" t="s">
        <v>86</v>
      </c>
      <c r="K14" s="285" t="s">
        <v>156</v>
      </c>
      <c r="L14" s="285" t="s">
        <v>124</v>
      </c>
      <c r="M14">
        <v>48</v>
      </c>
      <c r="N14" s="285" t="s">
        <v>98</v>
      </c>
      <c r="O14" s="285" t="s">
        <v>138</v>
      </c>
      <c r="Q14" s="287">
        <v>12</v>
      </c>
      <c r="R14" s="285" t="s">
        <v>183</v>
      </c>
      <c r="S14" s="285" t="s">
        <v>184</v>
      </c>
      <c r="T14" s="285" t="s">
        <v>137</v>
      </c>
      <c r="U14">
        <v>47</v>
      </c>
      <c r="V14" s="285" t="s">
        <v>98</v>
      </c>
      <c r="W14" s="285" t="s">
        <v>166</v>
      </c>
      <c r="Y14" s="287">
        <v>12</v>
      </c>
      <c r="Z14" s="285" t="s">
        <v>208</v>
      </c>
      <c r="AA14" s="285" t="s">
        <v>209</v>
      </c>
      <c r="AB14" s="285" t="s">
        <v>172</v>
      </c>
      <c r="AC14">
        <v>49</v>
      </c>
      <c r="AD14" s="285" t="s">
        <v>98</v>
      </c>
      <c r="AE14" s="285" t="s">
        <v>138</v>
      </c>
    </row>
    <row r="15" spans="1:31" x14ac:dyDescent="0.25">
      <c r="A15" s="287">
        <v>13</v>
      </c>
      <c r="B15" s="285" t="s">
        <v>31</v>
      </c>
      <c r="C15" s="285" t="s">
        <v>121</v>
      </c>
      <c r="D15" s="285" t="s">
        <v>118</v>
      </c>
      <c r="E15">
        <v>53</v>
      </c>
      <c r="F15" s="285" t="s">
        <v>98</v>
      </c>
      <c r="G15">
        <v>2024</v>
      </c>
      <c r="I15" s="287">
        <v>13</v>
      </c>
      <c r="J15" s="285" t="s">
        <v>157</v>
      </c>
      <c r="K15" s="285" t="s">
        <v>158</v>
      </c>
      <c r="L15" s="285" t="s">
        <v>159</v>
      </c>
      <c r="M15">
        <v>54</v>
      </c>
      <c r="N15" s="285" t="s">
        <v>98</v>
      </c>
      <c r="O15" s="285" t="s">
        <v>138</v>
      </c>
      <c r="Q15" s="287">
        <v>13</v>
      </c>
      <c r="R15" s="285" t="s">
        <v>185</v>
      </c>
      <c r="S15" s="285" t="s">
        <v>186</v>
      </c>
      <c r="T15" s="285" t="s">
        <v>187</v>
      </c>
      <c r="U15">
        <v>51</v>
      </c>
      <c r="V15" s="285" t="s">
        <v>98</v>
      </c>
      <c r="W15" s="285" t="s">
        <v>138</v>
      </c>
      <c r="Y15" s="287">
        <v>13</v>
      </c>
      <c r="Z15" s="285" t="s">
        <v>210</v>
      </c>
      <c r="AA15" s="285" t="s">
        <v>211</v>
      </c>
      <c r="AB15" s="285" t="s">
        <v>145</v>
      </c>
      <c r="AC15">
        <v>52</v>
      </c>
      <c r="AD15" s="285" t="s">
        <v>98</v>
      </c>
      <c r="AE15" s="285" t="s">
        <v>166</v>
      </c>
    </row>
    <row r="16" spans="1:31" x14ac:dyDescent="0.25">
      <c r="A16" s="287">
        <v>14</v>
      </c>
      <c r="B16" s="285" t="s">
        <v>122</v>
      </c>
      <c r="C16" s="285" t="s">
        <v>123</v>
      </c>
      <c r="D16" s="285" t="s">
        <v>124</v>
      </c>
      <c r="E16">
        <v>58</v>
      </c>
      <c r="F16" s="285" t="s">
        <v>98</v>
      </c>
      <c r="G16">
        <v>2019</v>
      </c>
      <c r="I16" s="287">
        <v>14</v>
      </c>
      <c r="J16" s="285" t="s">
        <v>160</v>
      </c>
      <c r="K16" s="285" t="s">
        <v>161</v>
      </c>
      <c r="L16" s="285" t="s">
        <v>162</v>
      </c>
      <c r="M16">
        <v>57</v>
      </c>
      <c r="N16" s="285" t="s">
        <v>98</v>
      </c>
      <c r="O16" s="285" t="s">
        <v>163</v>
      </c>
      <c r="Q16" s="287">
        <v>14</v>
      </c>
      <c r="R16" s="285" t="s">
        <v>188</v>
      </c>
      <c r="S16" s="285" t="s">
        <v>189</v>
      </c>
      <c r="T16" s="285" t="s">
        <v>124</v>
      </c>
      <c r="U16">
        <v>55</v>
      </c>
      <c r="V16" s="285" t="s">
        <v>98</v>
      </c>
      <c r="W16" s="285" t="s">
        <v>190</v>
      </c>
      <c r="Y16" s="287">
        <v>14</v>
      </c>
      <c r="Z16" s="285" t="s">
        <v>212</v>
      </c>
      <c r="AA16" s="285" t="s">
        <v>213</v>
      </c>
      <c r="AB16" s="285" t="s">
        <v>149</v>
      </c>
      <c r="AC16">
        <v>56</v>
      </c>
      <c r="AD16" s="285" t="s">
        <v>98</v>
      </c>
      <c r="AE16" s="285" t="s">
        <v>163</v>
      </c>
    </row>
    <row r="17" spans="1:31" x14ac:dyDescent="0.25">
      <c r="A17" s="287">
        <v>15</v>
      </c>
      <c r="B17" s="285" t="s">
        <v>125</v>
      </c>
      <c r="C17" s="285" t="s">
        <v>126</v>
      </c>
      <c r="D17" s="285" t="s">
        <v>127</v>
      </c>
      <c r="E17">
        <v>59</v>
      </c>
      <c r="F17" s="285" t="s">
        <v>98</v>
      </c>
      <c r="G17">
        <v>2015</v>
      </c>
      <c r="I17" s="287">
        <v>15</v>
      </c>
      <c r="J17" s="285" t="s">
        <v>164</v>
      </c>
      <c r="K17" s="285" t="s">
        <v>165</v>
      </c>
      <c r="L17" s="285" t="s">
        <v>106</v>
      </c>
      <c r="M17">
        <v>61</v>
      </c>
      <c r="N17" s="285" t="s">
        <v>98</v>
      </c>
      <c r="O17" s="285" t="s">
        <v>166</v>
      </c>
      <c r="Q17" s="287">
        <v>15</v>
      </c>
      <c r="R17" s="285" t="s">
        <v>60</v>
      </c>
      <c r="S17" s="285" t="s">
        <v>191</v>
      </c>
      <c r="T17" s="285" t="s">
        <v>192</v>
      </c>
      <c r="U17">
        <v>62</v>
      </c>
      <c r="V17" s="285" t="s">
        <v>98</v>
      </c>
      <c r="W17" s="285" t="s">
        <v>170</v>
      </c>
      <c r="Y17" s="287">
        <v>15</v>
      </c>
      <c r="Z17" s="285" t="s">
        <v>214</v>
      </c>
      <c r="AA17" s="285" t="s">
        <v>215</v>
      </c>
      <c r="AB17" s="285" t="s">
        <v>194</v>
      </c>
      <c r="AC17">
        <v>60</v>
      </c>
      <c r="AD17" s="285" t="s">
        <v>98</v>
      </c>
      <c r="AE17" s="285" t="s">
        <v>140</v>
      </c>
    </row>
    <row r="18" spans="1:31" x14ac:dyDescent="0.25">
      <c r="A18" s="287">
        <v>16</v>
      </c>
      <c r="B18" s="285" t="s">
        <v>134</v>
      </c>
      <c r="C18" s="285" t="s">
        <v>135</v>
      </c>
      <c r="D18" s="285" t="s">
        <v>106</v>
      </c>
      <c r="E18">
        <v>66</v>
      </c>
      <c r="F18" s="285" t="s">
        <v>98</v>
      </c>
      <c r="G18">
        <v>2021</v>
      </c>
      <c r="I18" s="287">
        <v>16</v>
      </c>
      <c r="J18" s="285" t="s">
        <v>167</v>
      </c>
      <c r="K18" s="285" t="s">
        <v>168</v>
      </c>
      <c r="L18" s="285" t="s">
        <v>169</v>
      </c>
      <c r="M18">
        <v>63</v>
      </c>
      <c r="N18" s="285" t="s">
        <v>98</v>
      </c>
      <c r="O18" s="285" t="s">
        <v>170</v>
      </c>
      <c r="Q18" s="287">
        <v>16</v>
      </c>
      <c r="R18" s="285" t="s">
        <v>34</v>
      </c>
      <c r="S18" s="285" t="s">
        <v>193</v>
      </c>
      <c r="T18" s="285" t="s">
        <v>194</v>
      </c>
      <c r="U18">
        <v>67</v>
      </c>
      <c r="V18" s="285" t="s">
        <v>98</v>
      </c>
      <c r="W18" s="285" t="s">
        <v>195</v>
      </c>
      <c r="Y18" s="287">
        <v>16</v>
      </c>
      <c r="Z18" s="285" t="s">
        <v>216</v>
      </c>
      <c r="AA18" s="285" t="s">
        <v>217</v>
      </c>
      <c r="AB18" s="285" t="s">
        <v>147</v>
      </c>
      <c r="AC18">
        <v>64</v>
      </c>
      <c r="AD18" s="285" t="s">
        <v>98</v>
      </c>
      <c r="AE18" s="285" t="s">
        <v>166</v>
      </c>
    </row>
    <row r="23" spans="1:31" x14ac:dyDescent="0.25">
      <c r="Q23" s="286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36" activePane="bottomLeft" state="frozen"/>
      <selection pane="bottomLeft" activeCell="O49" sqref="O49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tr">
        <f>_xlfn.XLOOKUP(Teams[[#This Row],[Seed]],South_Regional_–_State_Farm_Arena__Atlanta__GA[Seed],South_Regional_–_State_Farm_Arena__Atlanta__GA[School],,0,1)</f>
        <v>Auburn</v>
      </c>
      <c r="D2" t="str">
        <f>_xlfn.XLOOKUP(Teams[[#This Row],[Team]],Team_Links[School],Team_Links[PartialLink],,0,1)</f>
        <v>auburn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tr">
        <f>_xlfn.XLOOKUP(Teams[[#This Row],[Seed]],South_Regional_–_State_Farm_Arena__Atlanta__GA[Seed],South_Regional_–_State_Farm_Arena__Atlanta__GA[School],,0,1)</f>
        <v>Alabama State</v>
      </c>
      <c r="D3" t="str">
        <f>_xlfn.XLOOKUP(Teams[[#This Row],[Team]],Team_Links[School],Team_Links[PartialLink],,0,1)</f>
        <v>alabama-state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tr">
        <f>_xlfn.XLOOKUP(Teams[[#This Row],[Seed]],South_Regional_–_State_Farm_Arena__Atlanta__GA[Seed],South_Regional_–_State_Farm_Arena__Atlanta__GA[School],,0,1)</f>
        <v>Louisville</v>
      </c>
      <c r="D4" t="str">
        <f>_xlfn.XLOOKUP(Teams[[#This Row],[Team]],Team_Links[School],Team_Links[PartialLink],,0,1)</f>
        <v>louisville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tr">
        <f>_xlfn.XLOOKUP(Teams[[#This Row],[Seed]],South_Regional_–_State_Farm_Arena__Atlanta__GA[Seed],South_Regional_–_State_Farm_Arena__Atlanta__GA[School],,0,1)</f>
        <v>Creighton</v>
      </c>
      <c r="D5" t="str">
        <f>_xlfn.XLOOKUP(Teams[[#This Row],[Team]],Team_Links[School],Team_Links[PartialLink],,0,1)</f>
        <v>creighton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tr">
        <f>_xlfn.XLOOKUP(Teams[[#This Row],[Seed]],South_Regional_–_State_Farm_Arena__Atlanta__GA[Seed],South_Regional_–_State_Farm_Arena__Atlanta__GA[School],,0,1)</f>
        <v>Michigan</v>
      </c>
      <c r="D6" t="str">
        <f>_xlfn.XLOOKUP(Teams[[#This Row],[Team]],Team_Links[School],Team_Links[PartialLink],,0,1)</f>
        <v>michigan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tr">
        <f>_xlfn.XLOOKUP(Teams[[#This Row],[Seed]],South_Regional_–_State_Farm_Arena__Atlanta__GA[Seed],South_Regional_–_State_Farm_Arena__Atlanta__GA[School],,0,1)</f>
        <v>UC San Diego</v>
      </c>
      <c r="D7" t="str">
        <f>_xlfn.XLOOKUP(Teams[[#This Row],[Team]],Team_Links[School],Team_Links[PartialLink],,0,1)</f>
        <v>california-san-diego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tr">
        <f>_xlfn.XLOOKUP(Teams[[#This Row],[Seed]],South_Regional_–_State_Farm_Arena__Atlanta__GA[Seed],South_Regional_–_State_Farm_Arena__Atlanta__GA[School],,0,1)</f>
        <v>Texas A&amp;M</v>
      </c>
      <c r="D8" t="str">
        <f>_xlfn.XLOOKUP(Teams[[#This Row],[Team]],Team_Links[School],Team_Links[PartialLink],,0,1)</f>
        <v>texas-am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tr">
        <f>_xlfn.XLOOKUP(Teams[[#This Row],[Seed]],South_Regional_–_State_Farm_Arena__Atlanta__GA[Seed],South_Regional_–_State_Farm_Arena__Atlanta__GA[School],,0,1)</f>
        <v>Yale</v>
      </c>
      <c r="D9" t="str">
        <f>_xlfn.XLOOKUP(Teams[[#This Row],[Team]],Team_Links[School],Team_Links[PartialLink],,0,1)</f>
        <v>yale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tr">
        <f>_xlfn.XLOOKUP(Teams[[#This Row],[Seed]],South_Regional_–_State_Farm_Arena__Atlanta__GA[Seed],South_Regional_–_State_Farm_Arena__Atlanta__GA[School],,0,1)</f>
        <v>Mississippi</v>
      </c>
      <c r="D10" t="str">
        <f>_xlfn.XLOOKUP(Teams[[#This Row],[Team]],Team_Links[School],Team_Links[PartialLink],,0,1)</f>
        <v>mississippi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tr">
        <f>_xlfn.XLOOKUP(Teams[[#This Row],[Seed]],South_Regional_–_State_Farm_Arena__Atlanta__GA[Seed],South_Regional_–_State_Farm_Arena__Atlanta__GA[School],,0,1)</f>
        <v>North Carolina</v>
      </c>
      <c r="D11" t="str">
        <f>_xlfn.XLOOKUP(Teams[[#This Row],[Team]],Team_Links[School],Team_Links[PartialLink],,0,1)</f>
        <v>north-carolina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tr">
        <f>_xlfn.XLOOKUP(Teams[[#This Row],[Seed]],South_Regional_–_State_Farm_Arena__Atlanta__GA[Seed],South_Regional_–_State_Farm_Arena__Atlanta__GA[School],,0,1)</f>
        <v>Iowa State</v>
      </c>
      <c r="D12" t="str">
        <f>_xlfn.XLOOKUP(Teams[[#This Row],[Team]],Team_Links[School],Team_Links[PartialLink],,0,1)</f>
        <v>iowa-state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tr">
        <f>_xlfn.XLOOKUP(Teams[[#This Row],[Seed]],South_Regional_–_State_Farm_Arena__Atlanta__GA[Seed],South_Regional_–_State_Farm_Arena__Atlanta__GA[School],,0,1)</f>
        <v>Lipscomb</v>
      </c>
      <c r="D13" t="str">
        <f>_xlfn.XLOOKUP(Teams[[#This Row],[Team]],Team_Links[School],Team_Links[PartialLink],,0,1)</f>
        <v>lipscomb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tr">
        <f>_xlfn.XLOOKUP(Teams[[#This Row],[Seed]],South_Regional_–_State_Farm_Arena__Atlanta__GA[Seed],South_Regional_–_State_Farm_Arena__Atlanta__GA[School],,0,1)</f>
        <v>Marquette</v>
      </c>
      <c r="D14" t="str">
        <f>_xlfn.XLOOKUP(Teams[[#This Row],[Team]],Team_Links[School],Team_Links[PartialLink],,0,1)</f>
        <v>marquette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tr">
        <f>_xlfn.XLOOKUP(Teams[[#This Row],[Seed]],South_Regional_–_State_Farm_Arena__Atlanta__GA[Seed],South_Regional_–_State_Farm_Arena__Atlanta__GA[School],,0,1)</f>
        <v>New Mexico</v>
      </c>
      <c r="D15" t="str">
        <f>_xlfn.XLOOKUP(Teams[[#This Row],[Team]],Team_Links[School],Team_Links[PartialLink],,0,1)</f>
        <v>new-mexico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tr">
        <f>_xlfn.XLOOKUP(Teams[[#This Row],[Seed]],South_Regional_–_State_Farm_Arena__Atlanta__GA[Seed],South_Regional_–_State_Farm_Arena__Atlanta__GA[School],,0,1)</f>
        <v>Michigan State</v>
      </c>
      <c r="D16" t="str">
        <f>_xlfn.XLOOKUP(Teams[[#This Row],[Team]],Team_Links[School],Team_Links[PartialLink],,0,1)</f>
        <v>michigan-state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tr">
        <f>_xlfn.XLOOKUP(Teams[[#This Row],[Seed]],South_Regional_–_State_Farm_Arena__Atlanta__GA[Seed],South_Regional_–_State_Farm_Arena__Atlanta__GA[School],,0,1)</f>
        <v>Bryant</v>
      </c>
      <c r="D17" t="str">
        <f>_xlfn.XLOOKUP(Teams[[#This Row],[Team]],Team_Links[School],Team_Links[PartialLink],,0,1)</f>
        <v>bryant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tr">
        <f>_xlfn.XLOOKUP(Teams[[#This Row],[Seed]],West_Regional_–_Chase_Center__San_Francisco__CA[Seed],West_Regional_–_Chase_Center__San_Francisco__CA[School],,0,1)</f>
        <v>Florida</v>
      </c>
      <c r="D18" t="str">
        <f>_xlfn.XLOOKUP(Teams[[#This Row],[Team]],Team_Links[School],Team_Links[PartialLink],,0,1)</f>
        <v>florida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tr">
        <f>_xlfn.XLOOKUP(Teams[[#This Row],[Seed]],West_Regional_–_Chase_Center__San_Francisco__CA[Seed],West_Regional_–_Chase_Center__San_Francisco__CA[School],,0,1)</f>
        <v>Norfolk State</v>
      </c>
      <c r="D19" t="str">
        <f>_xlfn.XLOOKUP(Teams[[#This Row],[Team]],Team_Links[School],Team_Links[PartialLink],,0,1)</f>
        <v>norfolk-state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tr">
        <f>_xlfn.XLOOKUP(Teams[[#This Row],[Seed]],West_Regional_–_Chase_Center__San_Francisco__CA[Seed],West_Regional_–_Chase_Center__San_Francisco__CA[School],,0,1)</f>
        <v>Connecticut</v>
      </c>
      <c r="D20" t="str">
        <f>_xlfn.XLOOKUP(Teams[[#This Row],[Team]],Team_Links[School],Team_Links[PartialLink],,0,1)</f>
        <v>connecticut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tr">
        <f>_xlfn.XLOOKUP(Teams[[#This Row],[Seed]],West_Regional_–_Chase_Center__San_Francisco__CA[Seed],West_Regional_–_Chase_Center__San_Francisco__CA[School],,0,1)</f>
        <v>Oklahoma</v>
      </c>
      <c r="D21" t="str">
        <f>_xlfn.XLOOKUP(Teams[[#This Row],[Team]],Team_Links[School],Team_Links[PartialLink],,0,1)</f>
        <v>oklahoma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tr">
        <f>_xlfn.XLOOKUP(Teams[[#This Row],[Seed]],West_Regional_–_Chase_Center__San_Francisco__CA[Seed],West_Regional_–_Chase_Center__San_Francisco__CA[School],,0,1)</f>
        <v>Memphis</v>
      </c>
      <c r="D22" t="str">
        <f>_xlfn.XLOOKUP(Teams[[#This Row],[Team]],Team_Links[School],Team_Links[PartialLink],,0,1)</f>
        <v>memphis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tr">
        <f>_xlfn.XLOOKUP(Teams[[#This Row],[Seed]],West_Regional_–_Chase_Center__San_Francisco__CA[Seed],West_Regional_–_Chase_Center__San_Francisco__CA[School],,0,1)</f>
        <v>Colorado State</v>
      </c>
      <c r="D23" t="str">
        <f>_xlfn.XLOOKUP(Teams[[#This Row],[Team]],Team_Links[School],Team_Links[PartialLink],,0,1)</f>
        <v>colorado-state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tr">
        <f>_xlfn.XLOOKUP(Teams[[#This Row],[Seed]],West_Regional_–_Chase_Center__San_Francisco__CA[Seed],West_Regional_–_Chase_Center__San_Francisco__CA[School],,0,1)</f>
        <v>Maryland</v>
      </c>
      <c r="D24" t="str">
        <f>_xlfn.XLOOKUP(Teams[[#This Row],[Team]],Team_Links[School],Team_Links[PartialLink],,0,1)</f>
        <v>maryland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tr">
        <f>_xlfn.XLOOKUP(Teams[[#This Row],[Seed]],West_Regional_–_Chase_Center__San_Francisco__CA[Seed],West_Regional_–_Chase_Center__San_Francisco__CA[School],,0,1)</f>
        <v>Grand Canyon</v>
      </c>
      <c r="D25" t="str">
        <f>_xlfn.XLOOKUP(Teams[[#This Row],[Team]],Team_Links[School],Team_Links[PartialLink],,0,1)</f>
        <v>grand-canyon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tr">
        <f>_xlfn.XLOOKUP(Teams[[#This Row],[Seed]],West_Regional_–_Chase_Center__San_Francisco__CA[Seed],West_Regional_–_Chase_Center__San_Francisco__CA[School],,0,1)</f>
        <v>Missouri</v>
      </c>
      <c r="D26" t="str">
        <f>_xlfn.XLOOKUP(Teams[[#This Row],[Team]],Team_Links[School],Team_Links[PartialLink],,0,1)</f>
        <v>missouri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tr">
        <f>_xlfn.XLOOKUP(Teams[[#This Row],[Seed]],West_Regional_–_Chase_Center__San_Francisco__CA[Seed],West_Regional_–_Chase_Center__San_Francisco__CA[School],,0,1)</f>
        <v>Drake</v>
      </c>
      <c r="D27" t="str">
        <f>_xlfn.XLOOKUP(Teams[[#This Row],[Team]],Team_Links[School],Team_Links[PartialLink],,0,1)</f>
        <v>drake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tr">
        <f>_xlfn.XLOOKUP(Teams[[#This Row],[Seed]],West_Regional_–_Chase_Center__San_Francisco__CA[Seed],West_Regional_–_Chase_Center__San_Francisco__CA[School],,0,1)</f>
        <v>Texas Tech</v>
      </c>
      <c r="D28" t="str">
        <f>_xlfn.XLOOKUP(Teams[[#This Row],[Team]],Team_Links[School],Team_Links[PartialLink],,0,1)</f>
        <v>texas-tech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tr">
        <f>_xlfn.XLOOKUP(Teams[[#This Row],[Seed]],West_Regional_–_Chase_Center__San_Francisco__CA[Seed],West_Regional_–_Chase_Center__San_Francisco__CA[School],,0,1)</f>
        <v>UNC Wilmington</v>
      </c>
      <c r="D29" t="str">
        <f>_xlfn.XLOOKUP(Teams[[#This Row],[Team]],Team_Links[School],Team_Links[PartialLink],,0,1)</f>
        <v>north-carolina-wilmington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tr">
        <f>_xlfn.XLOOKUP(Teams[[#This Row],[Seed]],West_Regional_–_Chase_Center__San_Francisco__CA[Seed],West_Regional_–_Chase_Center__San_Francisco__CA[School],,0,1)</f>
        <v>Kansas</v>
      </c>
      <c r="D30" t="str">
        <f>_xlfn.XLOOKUP(Teams[[#This Row],[Team]],Team_Links[School],Team_Links[PartialLink],,0,1)</f>
        <v>kansas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tr">
        <f>_xlfn.XLOOKUP(Teams[[#This Row],[Seed]],West_Regional_–_Chase_Center__San_Francisco__CA[Seed],West_Regional_–_Chase_Center__San_Francisco__CA[School],,0,1)</f>
        <v>Arkansas</v>
      </c>
      <c r="D31" t="str">
        <f>_xlfn.XLOOKUP(Teams[[#This Row],[Team]],Team_Links[School],Team_Links[PartialLink],,0,1)</f>
        <v>arkansas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tr">
        <f>_xlfn.XLOOKUP(Teams[[#This Row],[Seed]],West_Regional_–_Chase_Center__San_Francisco__CA[Seed],West_Regional_–_Chase_Center__San_Francisco__CA[School],,0,1)</f>
        <v>St. John's (NY)</v>
      </c>
      <c r="D32" t="str">
        <f>_xlfn.XLOOKUP(Teams[[#This Row],[Team]],Team_Links[School],Team_Links[PartialLink],,0,1)</f>
        <v>st-johns-ny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tr">
        <f>_xlfn.XLOOKUP(Teams[[#This Row],[Seed]],West_Regional_–_Chase_Center__San_Francisco__CA[Seed],West_Regional_–_Chase_Center__San_Francisco__CA[School],,0,1)</f>
        <v>Omaha</v>
      </c>
      <c r="D33" t="str">
        <f>_xlfn.XLOOKUP(Teams[[#This Row],[Team]],Team_Links[School],Team_Links[PartialLink],,0,1)</f>
        <v>nebraska-omaha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tr">
        <f>_xlfn.XLOOKUP(Teams[[#This Row],[Seed]],East_Regional_–_Prudential_Center__Newark__NJ__2[Seed],East_Regional_–_Prudential_Center__Newark__NJ__2[School],,0,1)</f>
        <v>Duke</v>
      </c>
      <c r="D34" t="str">
        <f>_xlfn.XLOOKUP(Teams[[#This Row],[Team]],Team_Links[School],Team_Links[PartialLink],,0,1)</f>
        <v>duke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tr">
        <f>_xlfn.XLOOKUP(Teams[[#This Row],[Seed]],East_Regional_–_Prudential_Center__Newark__NJ__2[Seed],East_Regional_–_Prudential_Center__Newark__NJ__2[School],,0,1)</f>
        <v>Mount St. Mary's</v>
      </c>
      <c r="D35" t="str">
        <f>_xlfn.XLOOKUP(Teams[[#This Row],[Team]],Team_Links[School],Team_Links[PartialLink],,0,1)</f>
        <v>mount-st-marys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tr">
        <f>_xlfn.XLOOKUP(Teams[[#This Row],[Seed]],East_Regional_–_Prudential_Center__Newark__NJ__2[Seed],East_Regional_–_Prudential_Center__Newark__NJ__2[School],,0,1)</f>
        <v>Mississippi State</v>
      </c>
      <c r="D36" t="str">
        <f>_xlfn.XLOOKUP(Teams[[#This Row],[Team]],Team_Links[School],Team_Links[PartialLink],,0,1)</f>
        <v>mississippi-state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tr">
        <f>_xlfn.XLOOKUP(Teams[[#This Row],[Seed]],East_Regional_–_Prudential_Center__Newark__NJ__2[Seed],East_Regional_–_Prudential_Center__Newark__NJ__2[School],,0,1)</f>
        <v>Baylor</v>
      </c>
      <c r="D37" t="str">
        <f>_xlfn.XLOOKUP(Teams[[#This Row],[Team]],Team_Links[School],Team_Links[PartialLink],,0,1)</f>
        <v>baylor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tr">
        <f>_xlfn.XLOOKUP(Teams[[#This Row],[Seed]],East_Regional_–_Prudential_Center__Newark__NJ__2[Seed],East_Regional_–_Prudential_Center__Newark__NJ__2[School],,0,1)</f>
        <v>Oregon</v>
      </c>
      <c r="D38" t="str">
        <f>_xlfn.XLOOKUP(Teams[[#This Row],[Team]],Team_Links[School],Team_Links[PartialLink],,0,1)</f>
        <v>oregon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tr">
        <f>_xlfn.XLOOKUP(Teams[[#This Row],[Seed]],East_Regional_–_Prudential_Center__Newark__NJ__2[Seed],East_Regional_–_Prudential_Center__Newark__NJ__2[School],,0,1)</f>
        <v>Liberty</v>
      </c>
      <c r="D39" t="str">
        <f>_xlfn.XLOOKUP(Teams[[#This Row],[Team]],Team_Links[School],Team_Links[PartialLink],,0,1)</f>
        <v>liberty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tr">
        <f>_xlfn.XLOOKUP(Teams[[#This Row],[Seed]],East_Regional_–_Prudential_Center__Newark__NJ__2[Seed],East_Regional_–_Prudential_Center__Newark__NJ__2[School],,0,1)</f>
        <v>Arizona</v>
      </c>
      <c r="D40" t="str">
        <f>_xlfn.XLOOKUP(Teams[[#This Row],[Team]],Team_Links[School],Team_Links[PartialLink],,0,1)</f>
        <v>arizona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tr">
        <f>_xlfn.XLOOKUP(Teams[[#This Row],[Seed]],East_Regional_–_Prudential_Center__Newark__NJ__2[Seed],East_Regional_–_Prudential_Center__Newark__NJ__2[School],,0,1)</f>
        <v>Akron</v>
      </c>
      <c r="D41" t="str">
        <f>_xlfn.XLOOKUP(Teams[[#This Row],[Team]],Team_Links[School],Team_Links[PartialLink],,0,1)</f>
        <v>akron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tr">
        <f>_xlfn.XLOOKUP(Teams[[#This Row],[Seed]],East_Regional_–_Prudential_Center__Newark__NJ__2[Seed],East_Regional_–_Prudential_Center__Newark__NJ__2[School],,0,1)</f>
        <v>Brigham Young</v>
      </c>
      <c r="D42" t="str">
        <f>_xlfn.XLOOKUP(Teams[[#This Row],[Team]],Team_Links[School],Team_Links[PartialLink],,0,1)</f>
        <v>brigham-young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tr">
        <f>_xlfn.XLOOKUP(Teams[[#This Row],[Seed]],East_Regional_–_Prudential_Center__Newark__NJ__2[Seed],East_Regional_–_Prudential_Center__Newark__NJ__2[School],,0,1)</f>
        <v>Virginia Commonwealth</v>
      </c>
      <c r="D43" t="str">
        <f>_xlfn.XLOOKUP(Teams[[#This Row],[Team]],Team_Links[School],Team_Links[PartialLink],,0,1)</f>
        <v>virginia-commonwealth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tr">
        <f>_xlfn.XLOOKUP(Teams[[#This Row],[Seed]],East_Regional_–_Prudential_Center__Newark__NJ__2[Seed],East_Regional_–_Prudential_Center__Newark__NJ__2[School],,0,1)</f>
        <v>Wisconsin</v>
      </c>
      <c r="D44" t="str">
        <f>_xlfn.XLOOKUP(Teams[[#This Row],[Team]],Team_Links[School],Team_Links[PartialLink],,0,1)</f>
        <v>wisconsin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tr">
        <f>_xlfn.XLOOKUP(Teams[[#This Row],[Seed]],East_Regional_–_Prudential_Center__Newark__NJ__2[Seed],East_Regional_–_Prudential_Center__Newark__NJ__2[School],,0,1)</f>
        <v>Montana</v>
      </c>
      <c r="D45" t="str">
        <f>_xlfn.XLOOKUP(Teams[[#This Row],[Team]],Team_Links[School],Team_Links[PartialLink],,0,1)</f>
        <v>montana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905</v>
      </c>
      <c r="D46" t="str">
        <f>_xlfn.XLOOKUP(Teams[[#This Row],[Team]],Team_Links[School],Team_Links[PartialLink],,0,1)</f>
        <v>saint-marys-ca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tr">
        <f>_xlfn.XLOOKUP(Teams[[#This Row],[Seed]],East_Regional_–_Prudential_Center__Newark__NJ__2[Seed],East_Regional_–_Prudential_Center__Newark__NJ__2[School],,0,1)</f>
        <v>Vanderbilt</v>
      </c>
      <c r="D47" t="str">
        <f>_xlfn.XLOOKUP(Teams[[#This Row],[Team]],Team_Links[School],Team_Links[PartialLink],,0,1)</f>
        <v>vanderbilt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tr">
        <f>_xlfn.XLOOKUP(Teams[[#This Row],[Seed]],East_Regional_–_Prudential_Center__Newark__NJ__2[Seed],East_Regional_–_Prudential_Center__Newark__NJ__2[School],,0,1)</f>
        <v>Alabama</v>
      </c>
      <c r="D48" t="str">
        <f>_xlfn.XLOOKUP(Teams[[#This Row],[Team]],Team_Links[School],Team_Links[PartialLink],,0,1)</f>
        <v>alabama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tr">
        <f>_xlfn.XLOOKUP(Teams[[#This Row],[Seed]],East_Regional_–_Prudential_Center__Newark__NJ__2[Seed],East_Regional_–_Prudential_Center__Newark__NJ__2[School],,0,1)</f>
        <v>Robert Morris</v>
      </c>
      <c r="D49" t="str">
        <f>_xlfn.XLOOKUP(Teams[[#This Row],[Team]],Team_Links[School],Team_Links[PartialLink],,0,1)</f>
        <v>robert-morris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tr">
        <f>_xlfn.XLOOKUP(Teams[[#This Row],[Seed]],Midwest_Regional_–_Lucas_Oil_Stadium__Indianapolis__IN[Seed],Midwest_Regional_–_Lucas_Oil_Stadium__Indianapolis__IN[School],,0,1)</f>
        <v>Houston</v>
      </c>
      <c r="D50" t="str">
        <f>_xlfn.XLOOKUP(Teams[[#This Row],[Team]],Team_Links[School],Team_Links[PartialLink],,0,1)</f>
        <v>houston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tr">
        <f>_xlfn.XLOOKUP(Teams[[#This Row],[Seed]],Midwest_Regional_–_Lucas_Oil_Stadium__Indianapolis__IN[Seed],Midwest_Regional_–_Lucas_Oil_Stadium__Indianapolis__IN[School],,0,1)</f>
        <v>SIU Edwardsville</v>
      </c>
      <c r="D51" t="str">
        <f>_xlfn.XLOOKUP(Teams[[#This Row],[Team]],Team_Links[School],Team_Links[PartialLink],,0,1)</f>
        <v>southern-illinois-edwardsville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tr">
        <f>_xlfn.XLOOKUP(Teams[[#This Row],[Seed]],Midwest_Regional_–_Lucas_Oil_Stadium__Indianapolis__IN[Seed],Midwest_Regional_–_Lucas_Oil_Stadium__Indianapolis__IN[School],,0,1)</f>
        <v>Gonzaga</v>
      </c>
      <c r="D52" t="str">
        <f>_xlfn.XLOOKUP(Teams[[#This Row],[Team]],Team_Links[School],Team_Links[PartialLink],,0,1)</f>
        <v>gonzaga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tr">
        <f>_xlfn.XLOOKUP(Teams[[#This Row],[Seed]],Midwest_Regional_–_Lucas_Oil_Stadium__Indianapolis__IN[Seed],Midwest_Regional_–_Lucas_Oil_Stadium__Indianapolis__IN[School],,0,1)</f>
        <v>Georgia</v>
      </c>
      <c r="D53" t="str">
        <f>_xlfn.XLOOKUP(Teams[[#This Row],[Team]],Team_Links[School],Team_Links[PartialLink],,0,1)</f>
        <v>georgia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tr">
        <f>_xlfn.XLOOKUP(Teams[[#This Row],[Seed]],Midwest_Regional_–_Lucas_Oil_Stadium__Indianapolis__IN[Seed],Midwest_Regional_–_Lucas_Oil_Stadium__Indianapolis__IN[School],,0,1)</f>
        <v>Clemson</v>
      </c>
      <c r="D54" t="str">
        <f>_xlfn.XLOOKUP(Teams[[#This Row],[Team]],Team_Links[School],Team_Links[PartialLink],,0,1)</f>
        <v>clemson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644</v>
      </c>
      <c r="D55" t="str">
        <f>_xlfn.XLOOKUP(Teams[[#This Row],[Team]],Team_Links[School],Team_Links[PartialLink],,0,1)</f>
        <v>mcneese-state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tr">
        <f>_xlfn.XLOOKUP(Teams[[#This Row],[Seed]],Midwest_Regional_–_Lucas_Oil_Stadium__Indianapolis__IN[Seed],Midwest_Regional_–_Lucas_Oil_Stadium__Indianapolis__IN[School],,0,1)</f>
        <v>Purdue</v>
      </c>
      <c r="D56" t="str">
        <f>_xlfn.XLOOKUP(Teams[[#This Row],[Team]],Team_Links[School],Team_Links[PartialLink],,0,1)</f>
        <v>purdue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tr">
        <f>_xlfn.XLOOKUP(Teams[[#This Row],[Seed]],Midwest_Regional_–_Lucas_Oil_Stadium__Indianapolis__IN[Seed],Midwest_Regional_–_Lucas_Oil_Stadium__Indianapolis__IN[School],,0,1)</f>
        <v>High Point</v>
      </c>
      <c r="D57" t="str">
        <f>_xlfn.XLOOKUP(Teams[[#This Row],[Team]],Team_Links[School],Team_Links[PartialLink],,0,1)</f>
        <v>high-point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tr">
        <f>_xlfn.XLOOKUP(Teams[[#This Row],[Seed]],Midwest_Regional_–_Lucas_Oil_Stadium__Indianapolis__IN[Seed],Midwest_Regional_–_Lucas_Oil_Stadium__Indianapolis__IN[School],,0,1)</f>
        <v>Illinois</v>
      </c>
      <c r="D58" t="str">
        <f>_xlfn.XLOOKUP(Teams[[#This Row],[Team]],Team_Links[School],Team_Links[PartialLink],,0,1)</f>
        <v>illinois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tr">
        <f>_xlfn.XLOOKUP(Teams[[#This Row],[Seed]],Midwest_Regional_–_Lucas_Oil_Stadium__Indianapolis__IN[Seed],Midwest_Regional_–_Lucas_Oil_Stadium__Indianapolis__IN[School],,0,1)</f>
        <v>Texas</v>
      </c>
      <c r="D59" t="str">
        <f>_xlfn.XLOOKUP(Teams[[#This Row],[Team]],Team_Links[School],Team_Links[PartialLink],,0,1)</f>
        <v>texas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tr">
        <f>_xlfn.XLOOKUP(Teams[[#This Row],[Seed]],Midwest_Regional_–_Lucas_Oil_Stadium__Indianapolis__IN[Seed],Midwest_Regional_–_Lucas_Oil_Stadium__Indianapolis__IN[School],,0,1)</f>
        <v>Kentucky</v>
      </c>
      <c r="D60" t="str">
        <f>_xlfn.XLOOKUP(Teams[[#This Row],[Team]],Team_Links[School],Team_Links[PartialLink],,0,1)</f>
        <v>kentucky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tr">
        <f>_xlfn.XLOOKUP(Teams[[#This Row],[Seed]],Midwest_Regional_–_Lucas_Oil_Stadium__Indianapolis__IN[Seed],Midwest_Regional_–_Lucas_Oil_Stadium__Indianapolis__IN[School],,0,1)</f>
        <v>Troy</v>
      </c>
      <c r="D61" t="str">
        <f>_xlfn.XLOOKUP(Teams[[#This Row],[Team]],Team_Links[School],Team_Links[PartialLink],,0,1)</f>
        <v>troy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tr">
        <f>_xlfn.XLOOKUP(Teams[[#This Row],[Seed]],Midwest_Regional_–_Lucas_Oil_Stadium__Indianapolis__IN[Seed],Midwest_Regional_–_Lucas_Oil_Stadium__Indianapolis__IN[School],,0,1)</f>
        <v>UCLA</v>
      </c>
      <c r="D62" t="str">
        <f>_xlfn.XLOOKUP(Teams[[#This Row],[Team]],Team_Links[School],Team_Links[PartialLink],,0,1)</f>
        <v>ucla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tr">
        <f>_xlfn.XLOOKUP(Teams[[#This Row],[Seed]],Midwest_Regional_–_Lucas_Oil_Stadium__Indianapolis__IN[Seed],Midwest_Regional_–_Lucas_Oil_Stadium__Indianapolis__IN[School],,0,1)</f>
        <v>Utah State</v>
      </c>
      <c r="D63" t="str">
        <f>_xlfn.XLOOKUP(Teams[[#This Row],[Team]],Team_Links[School],Team_Links[PartialLink],,0,1)</f>
        <v>utah-state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tr">
        <f>_xlfn.XLOOKUP(Teams[[#This Row],[Seed]],Midwest_Regional_–_Lucas_Oil_Stadium__Indianapolis__IN[Seed],Midwest_Regional_–_Lucas_Oil_Stadium__Indianapolis__IN[School],,0,1)</f>
        <v>Tennessee</v>
      </c>
      <c r="D64" t="str">
        <f>_xlfn.XLOOKUP(Teams[[#This Row],[Team]],Team_Links[School],Team_Links[PartialLink],,0,1)</f>
        <v>tennessee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tr">
        <f>_xlfn.XLOOKUP(Teams[[#This Row],[Seed]],Midwest_Regional_–_Lucas_Oil_Stadium__Indianapolis__IN[Seed],Midwest_Regional_–_Lucas_Oil_Stadium__Indianapolis__IN[School],,0,1)</f>
        <v>Wofford</v>
      </c>
      <c r="D65" t="str">
        <f>_xlfn.XLOOKUP(Teams[[#This Row],[Team]],Team_Links[School],Team_Links[PartialLink],,0,1)</f>
        <v>wofford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85" zoomScaleNormal="85" workbookViewId="0">
      <pane ySplit="4" topLeftCell="A5" activePane="bottomLeft" state="frozen"/>
      <selection activeCell="E1" sqref="E1"/>
      <selection pane="bottomLeft" activeCell="Q12" sqref="Q12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60.777343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20"/>
      <c r="B3" s="221"/>
      <c r="C3" s="221" t="s">
        <v>12</v>
      </c>
      <c r="D3" s="222" t="s">
        <v>11</v>
      </c>
      <c r="E3" s="281" t="s">
        <v>10</v>
      </c>
      <c r="F3" s="278" t="s">
        <v>21</v>
      </c>
      <c r="G3" s="283" t="s">
        <v>93</v>
      </c>
      <c r="H3" s="283"/>
      <c r="I3" s="283"/>
      <c r="J3" s="278" t="s">
        <v>21</v>
      </c>
      <c r="K3" s="278" t="s">
        <v>24</v>
      </c>
      <c r="L3" s="278"/>
      <c r="M3" s="278" t="s">
        <v>25</v>
      </c>
      <c r="N3" s="278"/>
      <c r="O3" s="278" t="s">
        <v>8</v>
      </c>
      <c r="P3" s="202"/>
      <c r="Q3" s="278" t="s">
        <v>94</v>
      </c>
    </row>
    <row r="4" spans="1:19" ht="14.4" thickBot="1" x14ac:dyDescent="0.3">
      <c r="A4" s="223"/>
      <c r="B4" s="224"/>
      <c r="C4" s="224"/>
      <c r="D4" s="225"/>
      <c r="E4" s="282"/>
      <c r="F4" s="279"/>
      <c r="G4" s="284"/>
      <c r="H4" s="284"/>
      <c r="I4" s="284"/>
      <c r="J4" s="279"/>
      <c r="K4" s="279"/>
      <c r="L4" s="279"/>
      <c r="M4" s="279"/>
      <c r="N4" s="279"/>
      <c r="O4" s="279"/>
      <c r="P4" s="203"/>
      <c r="Q4" s="279"/>
    </row>
    <row r="5" spans="1:19" ht="24" customHeight="1" x14ac:dyDescent="0.25">
      <c r="A5" s="91" t="str">
        <f>G5</f>
        <v>Auburn</v>
      </c>
      <c r="B5" s="91" t="str">
        <f t="shared" ref="B5:B36" si="0">I5</f>
        <v>Alabama State</v>
      </c>
      <c r="C5" s="91" t="str">
        <f t="shared" ref="C5:C36" ca="1" si="1">IF(O5="","",IF(A5=O5,B5,A5))</f>
        <v>Alabama State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Auburn</v>
      </c>
      <c r="H5" s="182" t="s">
        <v>9</v>
      </c>
      <c r="I5" s="132" t="str">
        <f>Teams!C3</f>
        <v>Alabama State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118</v>
      </c>
      <c r="M5" s="84" t="e" vm="66">
        <f>_xlfn.XLOOKUP(I5,Teams!$C:$C,Teams!$E:$E,,0,1)</f>
        <v>#VALUE!</v>
      </c>
      <c r="N5" s="84">
        <f ca="1">RANDBETWEEN(90,120)</f>
        <v>112</v>
      </c>
      <c r="O5" s="195" t="str">
        <f t="shared" ref="O5:O36" ca="1" si="3">IF(L5&gt;N5,G5,I5)</f>
        <v>Auburn</v>
      </c>
      <c r="P5" s="210" t="e" vm="65">
        <f ca="1">_xlfn.XLOOKUP(O5,Teams!$C:$C,Teams!$E:$E,,0,1)</f>
        <v>#VALUE!</v>
      </c>
      <c r="Q5" s="219"/>
      <c r="R5" s="6" t="b">
        <f ca="1">IF(
O5=G5,
IF(F5&gt;J5,TRUE,FALSE),
IF(J5&gt;F5,TRUE,FALSE))</f>
        <v>0</v>
      </c>
      <c r="S5" s="98"/>
    </row>
    <row r="6" spans="1:19" ht="24" customHeight="1" x14ac:dyDescent="0.25">
      <c r="A6" s="91" t="str">
        <f t="shared" ref="A6:A20" si="4">G6</f>
        <v>Louisville</v>
      </c>
      <c r="B6" s="91" t="str">
        <f t="shared" si="0"/>
        <v>Creighton</v>
      </c>
      <c r="C6" s="91" t="str">
        <f t="shared" ca="1" si="1"/>
        <v>Louisville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Louisville</v>
      </c>
      <c r="H6" s="176" t="s">
        <v>9</v>
      </c>
      <c r="I6" s="102" t="str">
        <f>Teams!C5</f>
        <v>Creighton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95</v>
      </c>
      <c r="M6" s="82" t="e" vm="68">
        <f>_xlfn.XLOOKUP(I6,Teams!$C:$C,Teams!$E:$E,,0,1)</f>
        <v>#VALUE!</v>
      </c>
      <c r="N6" s="82">
        <f t="shared" ca="1" si="5"/>
        <v>103</v>
      </c>
      <c r="O6" s="190" t="str">
        <f t="shared" ca="1" si="3"/>
        <v>Creighton</v>
      </c>
      <c r="P6" s="205" t="e" vm="68">
        <f ca="1">_xlfn.XLOOKUP(O6,Teams!$C:$C,Teams!$E:$E,,0,1)</f>
        <v>#VALUE!</v>
      </c>
      <c r="Q6" s="216"/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Michigan</v>
      </c>
      <c r="B7" s="91" t="str">
        <f t="shared" si="0"/>
        <v>UC San Diego</v>
      </c>
      <c r="C7" s="91" t="str">
        <f t="shared" ca="1" si="1"/>
        <v>Michigan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Michigan</v>
      </c>
      <c r="H7" s="176" t="s">
        <v>9</v>
      </c>
      <c r="I7" s="102" t="str">
        <f>Teams[[#This Row],[Team]]</f>
        <v>UC San Diego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92</v>
      </c>
      <c r="M7" s="82" t="e" vm="70">
        <f>_xlfn.XLOOKUP(I7,Teams!$C:$C,Teams!$E:$E,,0,1)</f>
        <v>#VALUE!</v>
      </c>
      <c r="N7" s="82">
        <f t="shared" ca="1" si="5"/>
        <v>96</v>
      </c>
      <c r="O7" s="190" t="str">
        <f t="shared" ca="1" si="3"/>
        <v>UC San Diego</v>
      </c>
      <c r="P7" s="205" t="e" vm="70">
        <f ca="1">_xlfn.XLOOKUP(O7,Teams!$C:$C,Teams!$E:$E,,0,1)</f>
        <v>#VALUE!</v>
      </c>
      <c r="Q7" s="216"/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Texas A&amp;M</v>
      </c>
      <c r="B8" s="91" t="str">
        <f t="shared" si="0"/>
        <v>Yale</v>
      </c>
      <c r="C8" s="91" t="str">
        <f t="shared" ca="1" si="1"/>
        <v>Texas A&amp;M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Texas A&amp;M</v>
      </c>
      <c r="H8" s="176" t="s">
        <v>9</v>
      </c>
      <c r="I8" s="102" t="str">
        <f>Teams!C9</f>
        <v>Yale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97</v>
      </c>
      <c r="M8" s="82" t="e" vm="72">
        <f>_xlfn.XLOOKUP(I8,Teams!$C:$C,Teams!$E:$E,,0,1)</f>
        <v>#VALUE!</v>
      </c>
      <c r="N8" s="82">
        <f t="shared" ca="1" si="5"/>
        <v>112</v>
      </c>
      <c r="O8" s="190" t="str">
        <f t="shared" ca="1" si="3"/>
        <v>Yale</v>
      </c>
      <c r="P8" s="205" t="e" vm="72">
        <f ca="1">_xlfn.XLOOKUP(O8,Teams!$C:$C,Teams!$E:$E,,0,1)</f>
        <v>#VALUE!</v>
      </c>
      <c r="Q8" s="216"/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Mississippi</v>
      </c>
      <c r="B9" s="91" t="str">
        <f t="shared" si="0"/>
        <v>North Carolina</v>
      </c>
      <c r="C9" s="91" t="str">
        <f t="shared" ca="1" si="1"/>
        <v>Mississippi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Mississippi</v>
      </c>
      <c r="H9" s="176" t="s">
        <v>9</v>
      </c>
      <c r="I9" s="102" t="str">
        <f>Teams!C11</f>
        <v>North Carolina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105</v>
      </c>
      <c r="M9" s="82" t="e" vm="74">
        <f>_xlfn.XLOOKUP(I9,Teams!$C:$C,Teams!$E:$E,,0,1)</f>
        <v>#VALUE!</v>
      </c>
      <c r="N9" s="82">
        <f t="shared" ca="1" si="5"/>
        <v>111</v>
      </c>
      <c r="O9" s="190" t="str">
        <f t="shared" ca="1" si="3"/>
        <v>North Carolina</v>
      </c>
      <c r="P9" s="205" t="e" vm="74">
        <f ca="1">_xlfn.XLOOKUP(O9,Teams!$C:$C,Teams!$E:$E,,0,1)</f>
        <v>#VALUE!</v>
      </c>
      <c r="Q9" s="216"/>
      <c r="R9" s="6" t="b">
        <f t="shared" ca="1" si="6"/>
        <v>1</v>
      </c>
      <c r="S9" s="98"/>
    </row>
    <row r="10" spans="1:19" ht="24" customHeight="1" x14ac:dyDescent="0.25">
      <c r="A10" s="91" t="str">
        <f t="shared" si="4"/>
        <v>Iowa State</v>
      </c>
      <c r="B10" s="91" t="str">
        <f t="shared" si="0"/>
        <v>Lipscomb</v>
      </c>
      <c r="C10" s="91" t="str">
        <f t="shared" ca="1" si="1"/>
        <v>Iowa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Iowa State</v>
      </c>
      <c r="H10" s="176" t="s">
        <v>9</v>
      </c>
      <c r="I10" s="102" t="str">
        <f>Teams!C13</f>
        <v>Lipscomb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93</v>
      </c>
      <c r="M10" s="82" t="e" vm="76">
        <f>_xlfn.XLOOKUP(I10,Teams!$C:$C,Teams!$E:$E,,0,1)</f>
        <v>#VALUE!</v>
      </c>
      <c r="N10" s="82">
        <f t="shared" ca="1" si="5"/>
        <v>94</v>
      </c>
      <c r="O10" s="190" t="str">
        <f t="shared" ca="1" si="3"/>
        <v>Lipscomb</v>
      </c>
      <c r="P10" s="205" t="e" vm="76">
        <f ca="1">_xlfn.XLOOKUP(O10,Teams!$C:$C,Teams!$E:$E,,0,1)</f>
        <v>#VALUE!</v>
      </c>
      <c r="Q10" s="216"/>
      <c r="R10" s="6" t="b">
        <f t="shared" ca="1" si="6"/>
        <v>1</v>
      </c>
      <c r="S10" s="98"/>
    </row>
    <row r="11" spans="1:19" ht="24" customHeight="1" x14ac:dyDescent="0.25">
      <c r="A11" s="91" t="str">
        <f t="shared" si="4"/>
        <v>Marquette</v>
      </c>
      <c r="B11" s="91" t="str">
        <f t="shared" si="0"/>
        <v>New Mexico</v>
      </c>
      <c r="C11" s="91" t="str">
        <f t="shared" ca="1" si="1"/>
        <v>Marquette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Marquette</v>
      </c>
      <c r="H11" s="176" t="s">
        <v>9</v>
      </c>
      <c r="I11" s="102" t="str">
        <f>Teams!C15</f>
        <v>New Mexico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94</v>
      </c>
      <c r="M11" s="82" t="e" vm="78">
        <f>_xlfn.XLOOKUP(I11,Teams!$C:$C,Teams!$E:$E,,0,1)</f>
        <v>#VALUE!</v>
      </c>
      <c r="N11" s="82">
        <f t="shared" ca="1" si="5"/>
        <v>103</v>
      </c>
      <c r="O11" s="190" t="str">
        <f t="shared" ca="1" si="3"/>
        <v>New Mexico</v>
      </c>
      <c r="P11" s="205" t="e" vm="78">
        <f ca="1">_xlfn.XLOOKUP(O11,Teams!$C:$C,Teams!$E:$E,,0,1)</f>
        <v>#VALUE!</v>
      </c>
      <c r="Q11" s="216"/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Michigan State</v>
      </c>
      <c r="B12" s="91" t="str">
        <f t="shared" si="0"/>
        <v>Bryant</v>
      </c>
      <c r="C12" s="91" t="str">
        <f t="shared" ca="1" si="1"/>
        <v>Michigan State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Michigan State</v>
      </c>
      <c r="H12" s="177" t="s">
        <v>9</v>
      </c>
      <c r="I12" s="107" t="str">
        <f>Teams!C17</f>
        <v>Bryant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96</v>
      </c>
      <c r="M12" s="109" t="e" vm="80">
        <f>_xlfn.XLOOKUP(I12,Teams!$C:$C,Teams!$E:$E,,0,1)</f>
        <v>#VALUE!</v>
      </c>
      <c r="N12" s="109">
        <f t="shared" ca="1" si="5"/>
        <v>96</v>
      </c>
      <c r="O12" s="191" t="str">
        <f t="shared" ca="1" si="3"/>
        <v>Bryant</v>
      </c>
      <c r="P12" s="206" t="e" vm="80">
        <f ca="1">_xlfn.XLOOKUP(O12,Teams!$C:$C,Teams!$E:$E,,0,1)</f>
        <v>#VALUE!</v>
      </c>
      <c r="Q12" s="216"/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Florida</v>
      </c>
      <c r="B13" s="91" t="str">
        <f t="shared" si="0"/>
        <v>Norfolk State</v>
      </c>
      <c r="C13" s="91" t="str">
        <f t="shared" ca="1" si="1"/>
        <v>Norfolk State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Florida</v>
      </c>
      <c r="H13" s="178" t="s">
        <v>9</v>
      </c>
      <c r="I13" s="113" t="str">
        <f>Teams!C19</f>
        <v>Norfolk State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101</v>
      </c>
      <c r="M13" s="115" t="e" vm="82">
        <f>_xlfn.XLOOKUP(I13,Teams!$C:$C,Teams!$E:$E,,0,1)</f>
        <v>#VALUE!</v>
      </c>
      <c r="N13" s="115">
        <f t="shared" ca="1" si="5"/>
        <v>96</v>
      </c>
      <c r="O13" s="192" t="str">
        <f t="shared" ca="1" si="3"/>
        <v>Florida</v>
      </c>
      <c r="P13" s="207" t="e" vm="81">
        <f ca="1">_xlfn.XLOOKUP(O13,Teams!$C:$C,Teams!$E:$E,,0,1)</f>
        <v>#VALUE!</v>
      </c>
      <c r="Q13" s="217"/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Connecticut</v>
      </c>
      <c r="B14" s="91" t="str">
        <f t="shared" si="0"/>
        <v>Oklahoma</v>
      </c>
      <c r="C14" s="91" t="str">
        <f t="shared" ca="1" si="1"/>
        <v>Connecticut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Connecticut</v>
      </c>
      <c r="H14" s="179" t="s">
        <v>9</v>
      </c>
      <c r="I14" s="119" t="str">
        <f>Teams!C21</f>
        <v>Oklahoma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101</v>
      </c>
      <c r="M14" s="83" t="e" vm="84">
        <f>_xlfn.XLOOKUP(I14,Teams!$C:$C,Teams!$E:$E,,0,1)</f>
        <v>#VALUE!</v>
      </c>
      <c r="N14" s="83">
        <f t="shared" ca="1" si="5"/>
        <v>107</v>
      </c>
      <c r="O14" s="193" t="str">
        <f t="shared" ca="1" si="3"/>
        <v>Oklahoma</v>
      </c>
      <c r="P14" s="208" t="e" vm="84">
        <f ca="1">_xlfn.XLOOKUP(O14,Teams!$C:$C,Teams!$E:$E,,0,1)</f>
        <v>#VALUE!</v>
      </c>
      <c r="Q14" s="217"/>
      <c r="R14" s="6" t="b">
        <f t="shared" ca="1" si="6"/>
        <v>1</v>
      </c>
      <c r="S14" s="98"/>
    </row>
    <row r="15" spans="1:19" ht="24" customHeight="1" x14ac:dyDescent="0.25">
      <c r="A15" s="91" t="str">
        <f t="shared" si="4"/>
        <v>Memphis</v>
      </c>
      <c r="B15" s="91" t="str">
        <f t="shared" si="0"/>
        <v>Colorado State</v>
      </c>
      <c r="C15" s="91" t="str">
        <f t="shared" ca="1" si="1"/>
        <v>Colorado State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Memphis</v>
      </c>
      <c r="H15" s="179" t="s">
        <v>9</v>
      </c>
      <c r="I15" s="119" t="str">
        <f>Teams!C23</f>
        <v>Colorado State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120</v>
      </c>
      <c r="M15" s="83" t="e" vm="86">
        <f>_xlfn.XLOOKUP(I15,Teams!$C:$C,Teams!$E:$E,,0,1)</f>
        <v>#VALUE!</v>
      </c>
      <c r="N15" s="83">
        <f t="shared" ca="1" si="5"/>
        <v>101</v>
      </c>
      <c r="O15" s="193" t="str">
        <f t="shared" ca="1" si="3"/>
        <v>Memphis</v>
      </c>
      <c r="P15" s="208" t="e" vm="85">
        <f ca="1">_xlfn.XLOOKUP(O15,Teams!$C:$C,Teams!$E:$E,,0,1)</f>
        <v>#VALUE!</v>
      </c>
      <c r="Q15" s="217"/>
      <c r="R15" s="6" t="b">
        <f t="shared" ca="1" si="6"/>
        <v>0</v>
      </c>
      <c r="S15" s="98"/>
    </row>
    <row r="16" spans="1:19" ht="24" customHeight="1" x14ac:dyDescent="0.25">
      <c r="A16" s="91" t="str">
        <f t="shared" si="4"/>
        <v>Maryland</v>
      </c>
      <c r="B16" s="91" t="str">
        <f t="shared" si="0"/>
        <v>Grand Canyon</v>
      </c>
      <c r="C16" s="91" t="str">
        <f t="shared" ca="1" si="1"/>
        <v>Maryland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Maryland</v>
      </c>
      <c r="H16" s="179" t="s">
        <v>9</v>
      </c>
      <c r="I16" s="119" t="str">
        <f>Teams!C25</f>
        <v>Grand Canyon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109</v>
      </c>
      <c r="M16" s="83" t="e" vm="88">
        <f>_xlfn.XLOOKUP(I16,Teams!$C:$C,Teams!$E:$E,,0,1)</f>
        <v>#VALUE!</v>
      </c>
      <c r="N16" s="83">
        <f t="shared" ca="1" si="5"/>
        <v>115</v>
      </c>
      <c r="O16" s="193" t="str">
        <f t="shared" ca="1" si="3"/>
        <v>Grand Canyon</v>
      </c>
      <c r="P16" s="208" t="e" vm="88">
        <f ca="1">_xlfn.XLOOKUP(O16,Teams!$C:$C,Teams!$E:$E,,0,1)</f>
        <v>#VALUE!</v>
      </c>
      <c r="Q16" s="217"/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Missouri</v>
      </c>
      <c r="B17" s="91" t="str">
        <f t="shared" si="0"/>
        <v>Drake</v>
      </c>
      <c r="C17" s="91" t="str">
        <f t="shared" ca="1" si="1"/>
        <v>Drake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Missouri</v>
      </c>
      <c r="H17" s="179" t="s">
        <v>9</v>
      </c>
      <c r="I17" s="119" t="str">
        <f>Teams!C27</f>
        <v>Drake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119</v>
      </c>
      <c r="M17" s="83" t="e" vm="90">
        <f>_xlfn.XLOOKUP(I17,Teams!$C:$C,Teams!$E:$E,,0,1)</f>
        <v>#VALUE!</v>
      </c>
      <c r="N17" s="83">
        <f t="shared" ca="1" si="5"/>
        <v>112</v>
      </c>
      <c r="O17" s="193" t="str">
        <f t="shared" ca="1" si="3"/>
        <v>Missouri</v>
      </c>
      <c r="P17" s="208" t="e" vm="89">
        <f ca="1">_xlfn.XLOOKUP(O17,Teams!$C:$C,Teams!$E:$E,,0,1)</f>
        <v>#VALUE!</v>
      </c>
      <c r="Q17" s="217"/>
      <c r="R17" s="6" t="b">
        <f t="shared" ca="1" si="6"/>
        <v>0</v>
      </c>
      <c r="S17" s="98"/>
    </row>
    <row r="18" spans="1:19" ht="24" customHeight="1" x14ac:dyDescent="0.25">
      <c r="A18" s="91" t="str">
        <f t="shared" si="4"/>
        <v>Texas Tech</v>
      </c>
      <c r="B18" s="91" t="str">
        <f t="shared" si="0"/>
        <v>UNC Wilmington</v>
      </c>
      <c r="C18" s="91" t="str">
        <f t="shared" ca="1" si="1"/>
        <v>Texas Tech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Texas Tech</v>
      </c>
      <c r="H18" s="179" t="s">
        <v>9</v>
      </c>
      <c r="I18" s="119" t="str">
        <f>Teams!C29</f>
        <v>UNC Wilmington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96</v>
      </c>
      <c r="M18" s="83" t="e" vm="92">
        <f>_xlfn.XLOOKUP(I18,Teams!$C:$C,Teams!$E:$E,,0,1)</f>
        <v>#VALUE!</v>
      </c>
      <c r="N18" s="83">
        <f t="shared" ca="1" si="5"/>
        <v>105</v>
      </c>
      <c r="O18" s="193" t="str">
        <f t="shared" ca="1" si="3"/>
        <v>UNC Wilmington</v>
      </c>
      <c r="P18" s="208" t="e" vm="92">
        <f ca="1">_xlfn.XLOOKUP(O18,Teams!$C:$C,Teams!$E:$E,,0,1)</f>
        <v>#VALUE!</v>
      </c>
      <c r="Q18" s="217"/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Kansas</v>
      </c>
      <c r="B19" s="91" t="str">
        <f t="shared" si="0"/>
        <v>Arkansas</v>
      </c>
      <c r="C19" s="91" t="str">
        <f t="shared" ca="1" si="1"/>
        <v>Kansas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Kansas</v>
      </c>
      <c r="H19" s="179" t="s">
        <v>9</v>
      </c>
      <c r="I19" s="119" t="str">
        <f>Teams!C31</f>
        <v>Arkansas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111</v>
      </c>
      <c r="M19" s="83" t="e" vm="94">
        <f>_xlfn.XLOOKUP(I19,Teams!$C:$C,Teams!$E:$E,,0,1)</f>
        <v>#VALUE!</v>
      </c>
      <c r="N19" s="83">
        <f t="shared" ca="1" si="5"/>
        <v>120</v>
      </c>
      <c r="O19" s="193" t="str">
        <f t="shared" ca="1" si="3"/>
        <v>Arkansas</v>
      </c>
      <c r="P19" s="208" t="e" vm="94">
        <f ca="1">_xlfn.XLOOKUP(O19,Teams!$C:$C,Teams!$E:$E,,0,1)</f>
        <v>#VALUE!</v>
      </c>
      <c r="Q19" s="217"/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St. John's (NY)</v>
      </c>
      <c r="B20" s="91" t="str">
        <f t="shared" si="0"/>
        <v>Omaha</v>
      </c>
      <c r="C20" s="91" t="str">
        <f t="shared" ca="1" si="1"/>
        <v>Omaha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St. John's (NY)</v>
      </c>
      <c r="H20" s="180" t="s">
        <v>9</v>
      </c>
      <c r="I20" s="124" t="str">
        <f>Teams!C33</f>
        <v>Omaha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113</v>
      </c>
      <c r="M20" s="126" t="e" vm="96">
        <f>_xlfn.XLOOKUP(I20,Teams!$C:$C,Teams!$E:$E,,0,1)</f>
        <v>#VALUE!</v>
      </c>
      <c r="N20" s="126">
        <f t="shared" ca="1" si="5"/>
        <v>108</v>
      </c>
      <c r="O20" s="194" t="str">
        <f t="shared" ca="1" si="3"/>
        <v>St. John's (NY)</v>
      </c>
      <c r="P20" s="209" t="e" vm="95">
        <f ca="1">_xlfn.XLOOKUP(O20,Teams!$C:$C,Teams!$E:$E,,0,1)</f>
        <v>#VALUE!</v>
      </c>
      <c r="Q20" s="217"/>
      <c r="R20" s="6" t="b">
        <f t="shared" ca="1" si="6"/>
        <v>0</v>
      </c>
      <c r="S20" s="98"/>
    </row>
    <row r="21" spans="1:19" ht="24" customHeight="1" x14ac:dyDescent="0.25">
      <c r="A21" s="91" t="str">
        <f t="shared" ref="A21:A36" si="7">G21</f>
        <v>Duke</v>
      </c>
      <c r="B21" s="91" t="str">
        <f t="shared" si="0"/>
        <v>Mount St. Mary's</v>
      </c>
      <c r="C21" s="91" t="str">
        <f t="shared" ca="1" si="1"/>
        <v>Mount St. Mary's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Duke</v>
      </c>
      <c r="H21" s="175" t="s">
        <v>9</v>
      </c>
      <c r="I21" s="95" t="str">
        <f>Teams!C35</f>
        <v>Mount St. Mary's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113</v>
      </c>
      <c r="M21" s="97" t="e" vm="98">
        <f>_xlfn.XLOOKUP(I21,Teams!$C:$C,Teams!$E:$E,,0,1)</f>
        <v>#VALUE!</v>
      </c>
      <c r="N21" s="97">
        <f t="shared" ca="1" si="5"/>
        <v>96</v>
      </c>
      <c r="O21" s="189" t="str">
        <f t="shared" ca="1" si="3"/>
        <v>Duke</v>
      </c>
      <c r="P21" s="204" t="e" vm="97">
        <f ca="1">_xlfn.XLOOKUP(O21,Teams!$C:$C,Teams!$E:$E,,0,1)</f>
        <v>#VALUE!</v>
      </c>
      <c r="Q21" s="216"/>
      <c r="R21" s="6" t="b">
        <f t="shared" ca="1" si="6"/>
        <v>0</v>
      </c>
      <c r="S21" s="98"/>
    </row>
    <row r="22" spans="1:19" ht="24" customHeight="1" x14ac:dyDescent="0.25">
      <c r="A22" s="91" t="str">
        <f t="shared" si="7"/>
        <v>Mississippi State</v>
      </c>
      <c r="B22" s="91" t="str">
        <f t="shared" si="0"/>
        <v>Baylor</v>
      </c>
      <c r="C22" s="91" t="str">
        <f t="shared" ca="1" si="1"/>
        <v>Mississippi State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Mississippi State</v>
      </c>
      <c r="H22" s="176" t="s">
        <v>9</v>
      </c>
      <c r="I22" s="102" t="str">
        <f>Teams!C37</f>
        <v>Baylor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95</v>
      </c>
      <c r="M22" s="82" t="e" vm="100">
        <f>_xlfn.XLOOKUP(I22,Teams!$C:$C,Teams!$E:$E,,0,1)</f>
        <v>#VALUE!</v>
      </c>
      <c r="N22" s="82">
        <f t="shared" ca="1" si="5"/>
        <v>112</v>
      </c>
      <c r="O22" s="190" t="str">
        <f t="shared" ca="1" si="3"/>
        <v>Baylor</v>
      </c>
      <c r="P22" s="205" t="e" vm="100">
        <f ca="1">_xlfn.XLOOKUP(O22,Teams!$C:$C,Teams!$E:$E,,0,1)</f>
        <v>#VALUE!</v>
      </c>
      <c r="Q22" s="216"/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Oregon</v>
      </c>
      <c r="B23" s="91" t="str">
        <f t="shared" si="0"/>
        <v>Liberty</v>
      </c>
      <c r="C23" s="91" t="str">
        <f t="shared" ca="1" si="1"/>
        <v>Liberty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Oregon</v>
      </c>
      <c r="H23" s="176" t="s">
        <v>9</v>
      </c>
      <c r="I23" s="102" t="str">
        <f>Teams!C39</f>
        <v>Liberty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105</v>
      </c>
      <c r="M23" s="82" t="e" vm="102">
        <f>_xlfn.XLOOKUP(I23,Teams!$C:$C,Teams!$E:$E,,0,1)</f>
        <v>#VALUE!</v>
      </c>
      <c r="N23" s="82">
        <f t="shared" ca="1" si="5"/>
        <v>90</v>
      </c>
      <c r="O23" s="190" t="str">
        <f t="shared" ca="1" si="3"/>
        <v>Oregon</v>
      </c>
      <c r="P23" s="205" t="e" vm="101">
        <f ca="1">_xlfn.XLOOKUP(O23,Teams!$C:$C,Teams!$E:$E,,0,1)</f>
        <v>#VALUE!</v>
      </c>
      <c r="Q23" s="216"/>
      <c r="R23" s="6" t="b">
        <f t="shared" ca="1" si="6"/>
        <v>0</v>
      </c>
      <c r="S23" s="98"/>
    </row>
    <row r="24" spans="1:19" ht="24" customHeight="1" x14ac:dyDescent="0.25">
      <c r="A24" s="91" t="str">
        <f t="shared" si="7"/>
        <v>Arizona</v>
      </c>
      <c r="B24" s="91" t="str">
        <f t="shared" si="0"/>
        <v>Akron</v>
      </c>
      <c r="C24" s="91" t="str">
        <f t="shared" ca="1" si="1"/>
        <v>Arizona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Arizona</v>
      </c>
      <c r="H24" s="176" t="s">
        <v>9</v>
      </c>
      <c r="I24" s="102" t="str">
        <f>Teams!C41</f>
        <v>Akron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95</v>
      </c>
      <c r="M24" s="82" t="e" vm="104">
        <f>_xlfn.XLOOKUP(I24,Teams!$C:$C,Teams!$E:$E,,0,1)</f>
        <v>#VALUE!</v>
      </c>
      <c r="N24" s="82">
        <f t="shared" ca="1" si="5"/>
        <v>111</v>
      </c>
      <c r="O24" s="190" t="str">
        <f t="shared" ca="1" si="3"/>
        <v>Akron</v>
      </c>
      <c r="P24" s="205" t="e" vm="104">
        <f ca="1">_xlfn.XLOOKUP(O24,Teams!$C:$C,Teams!$E:$E,,0,1)</f>
        <v>#VALUE!</v>
      </c>
      <c r="Q24" s="216"/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Brigham Young</v>
      </c>
      <c r="B25" s="91" t="str">
        <f t="shared" si="0"/>
        <v>Virginia Commonwealth</v>
      </c>
      <c r="C25" s="91" t="str">
        <f t="shared" ca="1" si="1"/>
        <v>Virginia Commonwealth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Brigham Young</v>
      </c>
      <c r="H25" s="176" t="s">
        <v>9</v>
      </c>
      <c r="I25" s="102" t="str">
        <f>Teams!C43</f>
        <v>Virginia Commonwealth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108</v>
      </c>
      <c r="M25" s="82" t="e" vm="106">
        <f>_xlfn.XLOOKUP(I25,Teams!$C:$C,Teams!$E:$E,,0,1)</f>
        <v>#VALUE!</v>
      </c>
      <c r="N25" s="82">
        <f t="shared" ca="1" si="5"/>
        <v>96</v>
      </c>
      <c r="O25" s="190" t="str">
        <f t="shared" ca="1" si="3"/>
        <v>Brigham Young</v>
      </c>
      <c r="P25" s="205" t="e" vm="105">
        <f ca="1">_xlfn.XLOOKUP(O25,Teams!$C:$C,Teams!$E:$E,,0,1)</f>
        <v>#VALUE!</v>
      </c>
      <c r="Q25" s="216"/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Wisconsin</v>
      </c>
      <c r="B26" s="91" t="str">
        <f t="shared" si="0"/>
        <v>Montana</v>
      </c>
      <c r="C26" s="91" t="str">
        <f t="shared" ca="1" si="1"/>
        <v>Wisconsin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Wisconsin</v>
      </c>
      <c r="H26" s="176" t="s">
        <v>9</v>
      </c>
      <c r="I26" s="102" t="str">
        <f>Teams!C45</f>
        <v>Montana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101</v>
      </c>
      <c r="M26" s="82" t="e" vm="108">
        <f>_xlfn.XLOOKUP(I26,Teams!$C:$C,Teams!$E:$E,,0,1)</f>
        <v>#VALUE!</v>
      </c>
      <c r="N26" s="82">
        <f t="shared" ca="1" si="5"/>
        <v>118</v>
      </c>
      <c r="O26" s="190" t="str">
        <f t="shared" ca="1" si="3"/>
        <v>Montana</v>
      </c>
      <c r="P26" s="205" t="e" vm="108">
        <f ca="1">_xlfn.XLOOKUP(O26,Teams!$C:$C,Teams!$E:$E,,0,1)</f>
        <v>#VALUE!</v>
      </c>
      <c r="Q26" s="216"/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Saint Mary's (CA)</v>
      </c>
      <c r="B27" s="91" t="str">
        <f t="shared" si="0"/>
        <v>Vanderbilt</v>
      </c>
      <c r="C27" s="91" t="str">
        <f t="shared" ca="1" si="1"/>
        <v>Vanderbilt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Saint Mary's (CA)</v>
      </c>
      <c r="H27" s="176" t="s">
        <v>9</v>
      </c>
      <c r="I27" s="102" t="str">
        <f>Teams!C47</f>
        <v>Vanderbilt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119</v>
      </c>
      <c r="M27" s="82" t="e" vm="110">
        <f>_xlfn.XLOOKUP(I27,Teams!$C:$C,Teams!$E:$E,,0,1)</f>
        <v>#VALUE!</v>
      </c>
      <c r="N27" s="82">
        <f t="shared" ca="1" si="5"/>
        <v>93</v>
      </c>
      <c r="O27" s="190" t="str">
        <f t="shared" ca="1" si="3"/>
        <v>Saint Mary's (CA)</v>
      </c>
      <c r="P27" s="205" t="e" vm="109">
        <f ca="1">_xlfn.XLOOKUP(O27,Teams!$C:$C,Teams!$E:$E,,0,1)</f>
        <v>#VALUE!</v>
      </c>
      <c r="Q27" s="216"/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Alabama</v>
      </c>
      <c r="B28" s="91" t="str">
        <f t="shared" si="0"/>
        <v>Robert Morris</v>
      </c>
      <c r="C28" s="91" t="str">
        <f t="shared" ca="1" si="1"/>
        <v>Alabama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Alabama</v>
      </c>
      <c r="H28" s="177" t="s">
        <v>9</v>
      </c>
      <c r="I28" s="107" t="str">
        <f>Teams!C49</f>
        <v>Robert Morris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101</v>
      </c>
      <c r="M28" s="109" t="e" vm="112">
        <f>_xlfn.XLOOKUP(I28,Teams!$C:$C,Teams!$E:$E,,0,1)</f>
        <v>#VALUE!</v>
      </c>
      <c r="N28" s="109">
        <f t="shared" ca="1" si="5"/>
        <v>109</v>
      </c>
      <c r="O28" s="191" t="str">
        <f t="shared" ca="1" si="3"/>
        <v>Robert Morris</v>
      </c>
      <c r="P28" s="206" t="e" vm="112">
        <f ca="1">_xlfn.XLOOKUP(O28,Teams!$C:$C,Teams!$E:$E,,0,1)</f>
        <v>#VALUE!</v>
      </c>
      <c r="Q28" s="216"/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Houston</v>
      </c>
      <c r="B29" s="91" t="str">
        <f t="shared" si="0"/>
        <v>SIU Edwardsville</v>
      </c>
      <c r="C29" s="91" t="str">
        <f t="shared" ca="1" si="1"/>
        <v>Houston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Houston</v>
      </c>
      <c r="H29" s="181" t="s">
        <v>9</v>
      </c>
      <c r="I29" s="128" t="str">
        <f>Teams!C51</f>
        <v>SIU Edwardsville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100</v>
      </c>
      <c r="M29" s="115" t="e" vm="114">
        <f>_xlfn.XLOOKUP(I29,Teams!$C:$C,Teams!$E:$E,,0,1)</f>
        <v>#VALUE!</v>
      </c>
      <c r="N29" s="115">
        <f t="shared" ca="1" si="5"/>
        <v>117</v>
      </c>
      <c r="O29" s="192" t="str">
        <f t="shared" ca="1" si="3"/>
        <v>SIU Edwardsville</v>
      </c>
      <c r="P29" s="207" t="e" vm="114">
        <f ca="1">_xlfn.XLOOKUP(O29,Teams!$C:$C,Teams!$E:$E,,0,1)</f>
        <v>#VALUE!</v>
      </c>
      <c r="Q29" s="217"/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Gonzaga</v>
      </c>
      <c r="B30" s="91" t="str">
        <f t="shared" si="0"/>
        <v>Georgia</v>
      </c>
      <c r="C30" s="91" t="str">
        <f t="shared" ca="1" si="1"/>
        <v>Georgia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Gonzaga</v>
      </c>
      <c r="H30" s="179" t="s">
        <v>9</v>
      </c>
      <c r="I30" s="119" t="str">
        <f>Teams!C53</f>
        <v>Georgia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118</v>
      </c>
      <c r="M30" s="83" t="e" vm="116">
        <f>_xlfn.XLOOKUP(I30,Teams!$C:$C,Teams!$E:$E,,0,1)</f>
        <v>#VALUE!</v>
      </c>
      <c r="N30" s="83">
        <f t="shared" ca="1" si="5"/>
        <v>101</v>
      </c>
      <c r="O30" s="193" t="str">
        <f t="shared" ca="1" si="3"/>
        <v>Gonzaga</v>
      </c>
      <c r="P30" s="208" t="e" vm="115">
        <f ca="1">_xlfn.XLOOKUP(O30,Teams!$C:$C,Teams!$E:$E,,0,1)</f>
        <v>#VALUE!</v>
      </c>
      <c r="Q30" s="217"/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Clemson</v>
      </c>
      <c r="B31" s="91" t="str">
        <f t="shared" si="0"/>
        <v>McNeese State</v>
      </c>
      <c r="C31" s="91" t="str">
        <f t="shared" ca="1" si="1"/>
        <v>McNeese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Clemson</v>
      </c>
      <c r="H31" s="179" t="s">
        <v>9</v>
      </c>
      <c r="I31" s="119" t="str">
        <f>Teams!C55</f>
        <v>McNeese State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115</v>
      </c>
      <c r="M31" s="83" t="e" vm="118">
        <f>_xlfn.XLOOKUP(I31,Teams!$C:$C,Teams!$E:$E,,0,1)</f>
        <v>#VALUE!</v>
      </c>
      <c r="N31" s="83">
        <f t="shared" ca="1" si="5"/>
        <v>104</v>
      </c>
      <c r="O31" s="193" t="str">
        <f t="shared" ca="1" si="3"/>
        <v>Clemson</v>
      </c>
      <c r="P31" s="208" t="e" vm="117">
        <f ca="1">_xlfn.XLOOKUP(O31,Teams!$C:$C,Teams!$E:$E,,0,1)</f>
        <v>#VALUE!</v>
      </c>
      <c r="Q31" s="217"/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Purdue</v>
      </c>
      <c r="B32" s="91" t="str">
        <f t="shared" si="0"/>
        <v>High Point</v>
      </c>
      <c r="C32" s="91" t="str">
        <f t="shared" ca="1" si="1"/>
        <v>Purdue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Purdue</v>
      </c>
      <c r="H32" s="179" t="s">
        <v>9</v>
      </c>
      <c r="I32" s="119" t="str">
        <f>Teams!C57</f>
        <v>High Point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104</v>
      </c>
      <c r="M32" s="83" t="e" vm="120">
        <f>_xlfn.XLOOKUP(I32,Teams!$C:$C,Teams!$E:$E,,0,1)</f>
        <v>#VALUE!</v>
      </c>
      <c r="N32" s="83">
        <f t="shared" ca="1" si="5"/>
        <v>120</v>
      </c>
      <c r="O32" s="193" t="str">
        <f t="shared" ca="1" si="3"/>
        <v>High Point</v>
      </c>
      <c r="P32" s="208" t="e" vm="120">
        <f ca="1">_xlfn.XLOOKUP(O32,Teams!$C:$C,Teams!$E:$E,,0,1)</f>
        <v>#VALUE!</v>
      </c>
      <c r="Q32" s="217"/>
      <c r="R32" s="6" t="b">
        <f t="shared" ca="1" si="6"/>
        <v>1</v>
      </c>
      <c r="S32" s="98"/>
    </row>
    <row r="33" spans="1:19" ht="24" customHeight="1" x14ac:dyDescent="0.25">
      <c r="A33" s="91" t="str">
        <f t="shared" si="7"/>
        <v>Illinois</v>
      </c>
      <c r="B33" s="91" t="str">
        <f t="shared" si="0"/>
        <v>Texas</v>
      </c>
      <c r="C33" s="91" t="str">
        <f t="shared" ca="1" si="1"/>
        <v>Texas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Illinois</v>
      </c>
      <c r="H33" s="179" t="s">
        <v>9</v>
      </c>
      <c r="I33" s="119" t="str">
        <f>Teams!C59</f>
        <v>Texas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111</v>
      </c>
      <c r="M33" s="83" t="e" vm="122">
        <f>_xlfn.XLOOKUP(I33,Teams!$C:$C,Teams!$E:$E,,0,1)</f>
        <v>#VALUE!</v>
      </c>
      <c r="N33" s="83">
        <f t="shared" ca="1" si="5"/>
        <v>100</v>
      </c>
      <c r="O33" s="193" t="str">
        <f t="shared" ca="1" si="3"/>
        <v>Illinois</v>
      </c>
      <c r="P33" s="208" t="e" vm="121">
        <f ca="1">_xlfn.XLOOKUP(O33,Teams!$C:$C,Teams!$E:$E,,0,1)</f>
        <v>#VALUE!</v>
      </c>
      <c r="Q33" s="217"/>
      <c r="R33" s="6" t="b">
        <f t="shared" ca="1" si="6"/>
        <v>0</v>
      </c>
      <c r="S33" s="98"/>
    </row>
    <row r="34" spans="1:19" ht="24" customHeight="1" x14ac:dyDescent="0.25">
      <c r="A34" s="91" t="str">
        <f t="shared" si="7"/>
        <v>Kentucky</v>
      </c>
      <c r="B34" s="91" t="str">
        <f t="shared" si="0"/>
        <v>Troy</v>
      </c>
      <c r="C34" s="91" t="str">
        <f t="shared" ca="1" si="1"/>
        <v>Troy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Kentucky</v>
      </c>
      <c r="H34" s="179" t="s">
        <v>9</v>
      </c>
      <c r="I34" s="119" t="str">
        <f>Teams!C61</f>
        <v>Troy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106</v>
      </c>
      <c r="M34" s="83" t="e" vm="124">
        <f>_xlfn.XLOOKUP(I34,Teams!$C:$C,Teams!$E:$E,,0,1)</f>
        <v>#VALUE!</v>
      </c>
      <c r="N34" s="83">
        <f t="shared" ca="1" si="5"/>
        <v>100</v>
      </c>
      <c r="O34" s="193" t="str">
        <f t="shared" ca="1" si="3"/>
        <v>Kentucky</v>
      </c>
      <c r="P34" s="208" t="e" vm="123">
        <f ca="1">_xlfn.XLOOKUP(O34,Teams!$C:$C,Teams!$E:$E,,0,1)</f>
        <v>#VALUE!</v>
      </c>
      <c r="Q34" s="217"/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UCLA</v>
      </c>
      <c r="B35" s="91" t="str">
        <f t="shared" si="0"/>
        <v>Utah State</v>
      </c>
      <c r="C35" s="91" t="str">
        <f t="shared" ca="1" si="1"/>
        <v>Utah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UCLA</v>
      </c>
      <c r="H35" s="179" t="s">
        <v>9</v>
      </c>
      <c r="I35" s="119" t="str">
        <f>Teams!C63</f>
        <v>Utah State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112</v>
      </c>
      <c r="M35" s="83" t="e" vm="126">
        <f>_xlfn.XLOOKUP(I35,Teams!$C:$C,Teams!$E:$E,,0,1)</f>
        <v>#VALUE!</v>
      </c>
      <c r="N35" s="83">
        <f t="shared" ca="1" si="5"/>
        <v>90</v>
      </c>
      <c r="O35" s="193" t="str">
        <f t="shared" ca="1" si="3"/>
        <v>UCLA</v>
      </c>
      <c r="P35" s="208" t="e" vm="125">
        <f ca="1">_xlfn.XLOOKUP(O35,Teams!$C:$C,Teams!$E:$E,,0,1)</f>
        <v>#VALUE!</v>
      </c>
      <c r="Q35" s="217"/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Tennessee</v>
      </c>
      <c r="B36" s="91" t="str">
        <f t="shared" si="0"/>
        <v>Wofford</v>
      </c>
      <c r="C36" s="91" t="str">
        <f t="shared" ca="1" si="1"/>
        <v>Tennessee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Tennessee</v>
      </c>
      <c r="H36" s="180" t="s">
        <v>9</v>
      </c>
      <c r="I36" s="124" t="str">
        <f>Teams!C65</f>
        <v>Wofford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101</v>
      </c>
      <c r="M36" s="126" t="e" vm="128">
        <f>_xlfn.XLOOKUP(I36,Teams!$C:$C,Teams!$E:$E,,0,1)</f>
        <v>#VALUE!</v>
      </c>
      <c r="N36" s="126">
        <f t="shared" ca="1" si="5"/>
        <v>103</v>
      </c>
      <c r="O36" s="194" t="str">
        <f t="shared" ca="1" si="3"/>
        <v>Wofford</v>
      </c>
      <c r="P36" s="209" t="e" vm="128">
        <f ca="1">_xlfn.XLOOKUP(O36,Teams!$C:$C,Teams!$E:$E,,0,1)</f>
        <v>#VALUE!</v>
      </c>
      <c r="Q36" s="217"/>
      <c r="R36" s="6" t="b">
        <f t="shared" ca="1" si="6"/>
        <v>1</v>
      </c>
      <c r="S36" s="98"/>
    </row>
    <row r="37" spans="1:19" ht="24" customHeight="1" thickBot="1" x14ac:dyDescent="0.3">
      <c r="E37" s="67" t="s">
        <v>10</v>
      </c>
      <c r="F37" s="280" t="str">
        <f>Bracket!F2</f>
        <v>Second Round</v>
      </c>
      <c r="G37" s="280"/>
      <c r="H37" s="280"/>
      <c r="I37" s="280"/>
      <c r="J37" s="280"/>
      <c r="K37" s="68"/>
      <c r="L37" s="68"/>
      <c r="M37" s="68"/>
      <c r="N37" s="68"/>
      <c r="O37" s="68" t="s">
        <v>8</v>
      </c>
      <c r="P37" s="68"/>
      <c r="Q37" s="215"/>
      <c r="S37" s="98"/>
    </row>
    <row r="38" spans="1:19" ht="24" customHeight="1" x14ac:dyDescent="0.25">
      <c r="A38" s="91" t="str">
        <f ca="1">G38</f>
        <v>Auburn</v>
      </c>
      <c r="B38" s="91" t="str">
        <f ca="1">I38</f>
        <v>Creighton</v>
      </c>
      <c r="C38" s="91" t="str">
        <f t="shared" ref="C38:C53" ca="1" si="8">IF(O38="","",IF(A38=O38,B38,A38))</f>
        <v>Creighton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</v>
      </c>
      <c r="G38" s="131" t="str">
        <f ca="1">O5</f>
        <v>Auburn</v>
      </c>
      <c r="H38" s="182" t="s">
        <v>9</v>
      </c>
      <c r="I38" s="132" t="str">
        <f ca="1">O6</f>
        <v>Creighton</v>
      </c>
      <c r="J38" s="133" cm="1">
        <f t="array" aca="1" ref="J38" ca="1">_xlfn.XLOOKUP(I38,Teams[[#All],[Team]],Teams[[#All],[Seed]],0,0,1)</f>
        <v>9</v>
      </c>
      <c r="K38" s="84" t="e" vm="65">
        <f ca="1">_xlfn.XLOOKUP(G38,Teams!$C:$C,Teams!$E:$E,,0,1)</f>
        <v>#VALUE!</v>
      </c>
      <c r="L38" s="84">
        <f t="shared" ref="L38:N72" ca="1" si="10">RANDBETWEEN(90,120)</f>
        <v>107</v>
      </c>
      <c r="M38" s="84" t="e" vm="68">
        <f ca="1">_xlfn.XLOOKUP(I38,Teams!$C:$C,Teams!$E:$E,,0,1)</f>
        <v>#VALUE!</v>
      </c>
      <c r="N38" s="84">
        <f t="shared" ca="1" si="10"/>
        <v>97</v>
      </c>
      <c r="O38" s="195" t="str">
        <f t="shared" ref="O38:O53" ca="1" si="11">IF(L38&gt;N38,G38,I38)</f>
        <v>Auburn</v>
      </c>
      <c r="P38" s="210" t="e" vm="65">
        <f ca="1">_xlfn.XLOOKUP(O38,Teams!$C:$C,Teams!$E:$E,,0,1)</f>
        <v>#VALUE!</v>
      </c>
      <c r="Q38" s="216"/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UC San Diego</v>
      </c>
      <c r="B39" s="91" t="str">
        <f t="shared" ref="B39:B53" ca="1" si="13">I39</f>
        <v>Yale</v>
      </c>
      <c r="C39" s="91" t="str">
        <f t="shared" ca="1" si="8"/>
        <v>Yale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UC San Diego</v>
      </c>
      <c r="H39" s="176" t="s">
        <v>9</v>
      </c>
      <c r="I39" s="102" t="str">
        <f ca="1">O8</f>
        <v>Yale</v>
      </c>
      <c r="J39" s="103" cm="1">
        <f t="array" aca="1" ref="J39" ca="1">_xlfn.XLOOKUP(I39,Teams[[#All],[Team]],Teams[[#All],[Seed]],0,0,1)</f>
        <v>13</v>
      </c>
      <c r="K39" s="82" t="e" vm="70">
        <f ca="1">_xlfn.XLOOKUP(G39,Teams!$C:$C,Teams!$E:$E,,0,1)</f>
        <v>#VALUE!</v>
      </c>
      <c r="L39" s="82">
        <f t="shared" ca="1" si="10"/>
        <v>115</v>
      </c>
      <c r="M39" s="82" t="e" vm="72">
        <f ca="1">_xlfn.XLOOKUP(I39,Teams!$C:$C,Teams!$E:$E,,0,1)</f>
        <v>#VALUE!</v>
      </c>
      <c r="N39" s="82">
        <f t="shared" ca="1" si="10"/>
        <v>93</v>
      </c>
      <c r="O39" s="190" t="str">
        <f t="shared" ca="1" si="11"/>
        <v>UC San Diego</v>
      </c>
      <c r="P39" s="205" t="e" vm="70">
        <f ca="1">_xlfn.XLOOKUP(O39,Teams!$C:$C,Teams!$E:$E,,0,1)</f>
        <v>#VALUE!</v>
      </c>
      <c r="Q39" s="216"/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North Carolina</v>
      </c>
      <c r="B40" s="91" t="str">
        <f t="shared" ca="1" si="13"/>
        <v>Lipscomb</v>
      </c>
      <c r="C40" s="91" t="str">
        <f t="shared" ca="1" si="8"/>
        <v>Lipscomb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11</v>
      </c>
      <c r="G40" s="101" t="str">
        <f ca="1">O9</f>
        <v>North Carolina</v>
      </c>
      <c r="H40" s="176" t="s">
        <v>9</v>
      </c>
      <c r="I40" s="102" t="str">
        <f ca="1">O10</f>
        <v>Lipscomb</v>
      </c>
      <c r="J40" s="103" cm="1">
        <f t="array" aca="1" ref="J40" ca="1">_xlfn.XLOOKUP(I40,Teams[[#All],[Team]],Teams[[#All],[Seed]],0,0,1)</f>
        <v>14</v>
      </c>
      <c r="K40" s="82" t="e" vm="74">
        <f ca="1">_xlfn.XLOOKUP(G40,Teams!$C:$C,Teams!$E:$E,,0,1)</f>
        <v>#VALUE!</v>
      </c>
      <c r="L40" s="82">
        <f t="shared" ca="1" si="10"/>
        <v>112</v>
      </c>
      <c r="M40" s="82" t="e" vm="76">
        <f ca="1">_xlfn.XLOOKUP(I40,Teams!$C:$C,Teams!$E:$E,,0,1)</f>
        <v>#VALUE!</v>
      </c>
      <c r="N40" s="82">
        <f t="shared" ca="1" si="10"/>
        <v>104</v>
      </c>
      <c r="O40" s="190" t="str">
        <f t="shared" ca="1" si="11"/>
        <v>North Carolina</v>
      </c>
      <c r="P40" s="205" t="e" vm="74">
        <f ca="1">_xlfn.XLOOKUP(O40,Teams!$C:$C,Teams!$E:$E,,0,1)</f>
        <v>#VALUE!</v>
      </c>
      <c r="Q40" s="216"/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New Mexico</v>
      </c>
      <c r="B41" s="91" t="str">
        <f t="shared" ca="1" si="13"/>
        <v>Bryant</v>
      </c>
      <c r="C41" s="91" t="str">
        <f t="shared" ca="1" si="8"/>
        <v>New Mexico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New Mexico</v>
      </c>
      <c r="H41" s="183" t="s">
        <v>9</v>
      </c>
      <c r="I41" s="137" t="str">
        <f ca="1">O12</f>
        <v>Bryant</v>
      </c>
      <c r="J41" s="138" cm="1">
        <f t="array" aca="1" ref="J41" ca="1">_xlfn.XLOOKUP(I41,Teams[[#All],[Team]],Teams[[#All],[Seed]],0,0,1)</f>
        <v>15</v>
      </c>
      <c r="K41" s="139" t="e" vm="78">
        <f ca="1">_xlfn.XLOOKUP(G41,Teams!$C:$C,Teams!$E:$E,,0,1)</f>
        <v>#VALUE!</v>
      </c>
      <c r="L41" s="139">
        <f t="shared" ca="1" si="10"/>
        <v>97</v>
      </c>
      <c r="M41" s="139" t="e" vm="80">
        <f ca="1">_xlfn.XLOOKUP(I41,Teams!$C:$C,Teams!$E:$E,,0,1)</f>
        <v>#VALUE!</v>
      </c>
      <c r="N41" s="139">
        <f t="shared" ca="1" si="10"/>
        <v>110</v>
      </c>
      <c r="O41" s="196" t="str">
        <f t="shared" ca="1" si="11"/>
        <v>Bryant</v>
      </c>
      <c r="P41" s="211" t="e" vm="80">
        <f ca="1">_xlfn.XLOOKUP(O41,Teams!$C:$C,Teams!$E:$E,,0,1)</f>
        <v>#VALUE!</v>
      </c>
      <c r="Q41" s="216"/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Florida</v>
      </c>
      <c r="B42" s="91" t="str">
        <f t="shared" ca="1" si="13"/>
        <v>Oklahoma</v>
      </c>
      <c r="C42" s="91" t="str">
        <f t="shared" ca="1" si="8"/>
        <v>Florida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Florida</v>
      </c>
      <c r="H42" s="184" t="s">
        <v>9</v>
      </c>
      <c r="I42" s="143" t="str">
        <f ca="1">O14</f>
        <v>Oklahoma</v>
      </c>
      <c r="J42" s="144" cm="1">
        <f t="array" aca="1" ref="J42" ca="1">_xlfn.XLOOKUP(I42,Teams[[#All],[Team]],Teams[[#All],[Seed]],0,0,1)</f>
        <v>9</v>
      </c>
      <c r="K42" s="145" t="e" vm="81">
        <f ca="1">_xlfn.XLOOKUP(G42,Teams!$C:$C,Teams!$E:$E,,0,1)</f>
        <v>#VALUE!</v>
      </c>
      <c r="L42" s="145">
        <f t="shared" ca="1" si="10"/>
        <v>99</v>
      </c>
      <c r="M42" s="145" t="e" vm="84">
        <f ca="1">_xlfn.XLOOKUP(I42,Teams!$C:$C,Teams!$E:$E,,0,1)</f>
        <v>#VALUE!</v>
      </c>
      <c r="N42" s="145">
        <f t="shared" ca="1" si="10"/>
        <v>109</v>
      </c>
      <c r="O42" s="197" t="str">
        <f t="shared" ca="1" si="11"/>
        <v>Oklahoma</v>
      </c>
      <c r="P42" s="212" t="e" vm="84">
        <f ca="1">_xlfn.XLOOKUP(O42,Teams!$C:$C,Teams!$E:$E,,0,1)</f>
        <v>#VALUE!</v>
      </c>
      <c r="Q42" s="217"/>
      <c r="R42" s="6" t="b">
        <f t="shared" ca="1" si="6"/>
        <v>1</v>
      </c>
      <c r="S42" s="98"/>
    </row>
    <row r="43" spans="1:19" ht="24" customHeight="1" x14ac:dyDescent="0.25">
      <c r="A43" s="91" t="str">
        <f t="shared" ca="1" si="12"/>
        <v>Memphis</v>
      </c>
      <c r="B43" s="91" t="str">
        <f t="shared" ca="1" si="13"/>
        <v>Grand Canyon</v>
      </c>
      <c r="C43" s="91" t="str">
        <f t="shared" ca="1" si="8"/>
        <v>Grand Canyon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5</v>
      </c>
      <c r="G43" s="118" t="str">
        <f ca="1">O15</f>
        <v>Memphis</v>
      </c>
      <c r="H43" s="179" t="s">
        <v>9</v>
      </c>
      <c r="I43" s="119" t="str">
        <f ca="1">O16</f>
        <v>Grand Canyon</v>
      </c>
      <c r="J43" s="120" cm="1">
        <f t="array" aca="1" ref="J43" ca="1">_xlfn.XLOOKUP(I43,Teams[[#All],[Team]],Teams[[#All],[Seed]],0,0,1)</f>
        <v>13</v>
      </c>
      <c r="K43" s="83" t="e" vm="85">
        <f ca="1">_xlfn.XLOOKUP(G43,Teams!$C:$C,Teams!$E:$E,,0,1)</f>
        <v>#VALUE!</v>
      </c>
      <c r="L43" s="83">
        <f t="shared" ca="1" si="10"/>
        <v>107</v>
      </c>
      <c r="M43" s="83" t="e" vm="88">
        <f ca="1">_xlfn.XLOOKUP(I43,Teams!$C:$C,Teams!$E:$E,,0,1)</f>
        <v>#VALUE!</v>
      </c>
      <c r="N43" s="83">
        <f t="shared" ca="1" si="10"/>
        <v>94</v>
      </c>
      <c r="O43" s="193" t="str">
        <f t="shared" ca="1" si="11"/>
        <v>Memphis</v>
      </c>
      <c r="P43" s="208" t="e" vm="85">
        <f ca="1">_xlfn.XLOOKUP(O43,Teams!$C:$C,Teams!$E:$E,,0,1)</f>
        <v>#VALUE!</v>
      </c>
      <c r="Q43" s="217"/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Missouri</v>
      </c>
      <c r="B44" s="91" t="str">
        <f t="shared" ca="1" si="13"/>
        <v>UNC Wilmington</v>
      </c>
      <c r="C44" s="91" t="str">
        <f t="shared" ca="1" si="8"/>
        <v>Missouri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6</v>
      </c>
      <c r="G44" s="118" t="str">
        <f ca="1">O17</f>
        <v>Missouri</v>
      </c>
      <c r="H44" s="179" t="s">
        <v>9</v>
      </c>
      <c r="I44" s="119" t="str">
        <f ca="1">O18</f>
        <v>UNC Wilmington</v>
      </c>
      <c r="J44" s="120" cm="1">
        <f t="array" aca="1" ref="J44" ca="1">_xlfn.XLOOKUP(I44,Teams[[#All],[Team]],Teams[[#All],[Seed]],0,0,1)</f>
        <v>14</v>
      </c>
      <c r="K44" s="83" t="e" vm="89">
        <f ca="1">_xlfn.XLOOKUP(G44,Teams!$C:$C,Teams!$E:$E,,0,1)</f>
        <v>#VALUE!</v>
      </c>
      <c r="L44" s="83">
        <f t="shared" ca="1" si="10"/>
        <v>93</v>
      </c>
      <c r="M44" s="83" t="e" vm="92">
        <f ca="1">_xlfn.XLOOKUP(I44,Teams!$C:$C,Teams!$E:$E,,0,1)</f>
        <v>#VALUE!</v>
      </c>
      <c r="N44" s="83">
        <f t="shared" ca="1" si="10"/>
        <v>97</v>
      </c>
      <c r="O44" s="193" t="str">
        <f t="shared" ca="1" si="11"/>
        <v>UNC Wilmington</v>
      </c>
      <c r="P44" s="208" t="e" vm="92">
        <f ca="1">_xlfn.XLOOKUP(O44,Teams!$C:$C,Teams!$E:$E,,0,1)</f>
        <v>#VALUE!</v>
      </c>
      <c r="Q44" s="217"/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Arkansas</v>
      </c>
      <c r="B45" s="91" t="str">
        <f t="shared" ca="1" si="13"/>
        <v>St. John's (NY)</v>
      </c>
      <c r="C45" s="91" t="str">
        <f t="shared" ca="1" si="8"/>
        <v>Arkansas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Arkansas</v>
      </c>
      <c r="H45" s="185" t="s">
        <v>9</v>
      </c>
      <c r="I45" s="149" t="str">
        <f ca="1">O20</f>
        <v>St. John's (NY)</v>
      </c>
      <c r="J45" s="150" cm="1">
        <f t="array" aca="1" ref="J45" ca="1">_xlfn.XLOOKUP(I45,Teams[[#All],[Team]],Teams[[#All],[Seed]],0,0,1)</f>
        <v>2</v>
      </c>
      <c r="K45" s="151" t="e" vm="94">
        <f ca="1">_xlfn.XLOOKUP(G45,Teams!$C:$C,Teams!$E:$E,,0,1)</f>
        <v>#VALUE!</v>
      </c>
      <c r="L45" s="151">
        <f t="shared" ca="1" si="10"/>
        <v>98</v>
      </c>
      <c r="M45" s="151" t="e" vm="95">
        <f ca="1">_xlfn.XLOOKUP(I45,Teams!$C:$C,Teams!$E:$E,,0,1)</f>
        <v>#VALUE!</v>
      </c>
      <c r="N45" s="151">
        <f t="shared" ca="1" si="10"/>
        <v>117</v>
      </c>
      <c r="O45" s="198" t="str">
        <f t="shared" ca="1" si="11"/>
        <v>St. John's (NY)</v>
      </c>
      <c r="P45" s="213" t="e" vm="95">
        <f ca="1">_xlfn.XLOOKUP(O45,Teams!$C:$C,Teams!$E:$E,,0,1)</f>
        <v>#VALUE!</v>
      </c>
      <c r="Q45" s="217"/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Duke</v>
      </c>
      <c r="B46" s="152" t="str">
        <f t="shared" ca="1" si="13"/>
        <v>Baylor</v>
      </c>
      <c r="C46" s="152" t="str">
        <f t="shared" ca="1" si="8"/>
        <v>Duke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</v>
      </c>
      <c r="G46" s="131" t="str">
        <f ca="1">O21</f>
        <v>Duke</v>
      </c>
      <c r="H46" s="182" t="s">
        <v>9</v>
      </c>
      <c r="I46" s="132" t="str">
        <f ca="1">O22</f>
        <v>Baylor</v>
      </c>
      <c r="J46" s="133" cm="1">
        <f t="array" aca="1" ref="J46" ca="1">_xlfn.XLOOKUP(I46,Teams[[#All],[Team]],Teams[[#All],[Seed]],0,0,1)</f>
        <v>9</v>
      </c>
      <c r="K46" s="84" t="e" vm="97">
        <f ca="1">_xlfn.XLOOKUP(G46,Teams!$C:$C,Teams!$E:$E,,0,1)</f>
        <v>#VALUE!</v>
      </c>
      <c r="L46" s="84">
        <f t="shared" ca="1" si="10"/>
        <v>98</v>
      </c>
      <c r="M46" s="84" t="e" vm="100">
        <f ca="1">_xlfn.XLOOKUP(I46,Teams!$C:$C,Teams!$E:$E,,0,1)</f>
        <v>#VALUE!</v>
      </c>
      <c r="N46" s="84">
        <f t="shared" ca="1" si="10"/>
        <v>104</v>
      </c>
      <c r="O46" s="195" t="str">
        <f t="shared" ca="1" si="11"/>
        <v>Baylor</v>
      </c>
      <c r="P46" s="210" t="e" vm="100">
        <f ca="1">_xlfn.XLOOKUP(O46,Teams!$C:$C,Teams!$E:$E,,0,1)</f>
        <v>#VALUE!</v>
      </c>
      <c r="Q46" s="216"/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Oregon</v>
      </c>
      <c r="B47" s="152" t="str">
        <f t="shared" ca="1" si="13"/>
        <v>Akron</v>
      </c>
      <c r="C47" s="152" t="str">
        <f t="shared" ca="1" si="8"/>
        <v>Akron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5</v>
      </c>
      <c r="G47" s="101" t="str">
        <f ca="1">O23</f>
        <v>Oregon</v>
      </c>
      <c r="H47" s="176" t="s">
        <v>9</v>
      </c>
      <c r="I47" s="102" t="str">
        <f ca="1">O24</f>
        <v>Akron</v>
      </c>
      <c r="J47" s="103" cm="1">
        <f t="array" aca="1" ref="J47" ca="1">_xlfn.XLOOKUP(I47,Teams[[#All],[Team]],Teams[[#All],[Seed]],0,0,1)</f>
        <v>13</v>
      </c>
      <c r="K47" s="82" t="e" vm="101">
        <f ca="1">_xlfn.XLOOKUP(G47,Teams!$C:$C,Teams!$E:$E,,0,1)</f>
        <v>#VALUE!</v>
      </c>
      <c r="L47" s="82">
        <f t="shared" ca="1" si="10"/>
        <v>108</v>
      </c>
      <c r="M47" s="82" t="e" vm="104">
        <f ca="1">_xlfn.XLOOKUP(I47,Teams!$C:$C,Teams!$E:$E,,0,1)</f>
        <v>#VALUE!</v>
      </c>
      <c r="N47" s="82">
        <f t="shared" ca="1" si="10"/>
        <v>98</v>
      </c>
      <c r="O47" s="190" t="str">
        <f t="shared" ca="1" si="11"/>
        <v>Oregon</v>
      </c>
      <c r="P47" s="205" t="e" vm="101">
        <f ca="1">_xlfn.XLOOKUP(O47,Teams!$C:$C,Teams!$E:$E,,0,1)</f>
        <v>#VALUE!</v>
      </c>
      <c r="Q47" s="216"/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Brigham Young</v>
      </c>
      <c r="B48" s="152" t="str">
        <f t="shared" ca="1" si="13"/>
        <v>Montana</v>
      </c>
      <c r="C48" s="152" t="str">
        <f t="shared" ca="1" si="8"/>
        <v>Brigham Young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Brigham Young</v>
      </c>
      <c r="H48" s="176" t="s">
        <v>9</v>
      </c>
      <c r="I48" s="102" t="str">
        <f ca="1">O26</f>
        <v>Montana</v>
      </c>
      <c r="J48" s="103" cm="1">
        <f t="array" aca="1" ref="J48" ca="1">_xlfn.XLOOKUP(I48,Teams[[#All],[Team]],Teams[[#All],[Seed]],0,0,1)</f>
        <v>14</v>
      </c>
      <c r="K48" s="82" t="e" vm="105">
        <f ca="1">_xlfn.XLOOKUP(G48,Teams!$C:$C,Teams!$E:$E,,0,1)</f>
        <v>#VALUE!</v>
      </c>
      <c r="L48" s="82">
        <f t="shared" ca="1" si="10"/>
        <v>94</v>
      </c>
      <c r="M48" s="82" t="e" vm="108">
        <f ca="1">_xlfn.XLOOKUP(I48,Teams!$C:$C,Teams!$E:$E,,0,1)</f>
        <v>#VALUE!</v>
      </c>
      <c r="N48" s="82">
        <f t="shared" ca="1" si="10"/>
        <v>109</v>
      </c>
      <c r="O48" s="190" t="str">
        <f t="shared" ca="1" si="11"/>
        <v>Montana</v>
      </c>
      <c r="P48" s="205" t="e" vm="108">
        <f ca="1">_xlfn.XLOOKUP(O48,Teams!$C:$C,Teams!$E:$E,,0,1)</f>
        <v>#VALUE!</v>
      </c>
      <c r="Q48" s="216"/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Saint Mary's (CA)</v>
      </c>
      <c r="B49" s="152" t="str">
        <f t="shared" ca="1" si="13"/>
        <v>Robert Morris</v>
      </c>
      <c r="C49" s="152" t="str">
        <f t="shared" ca="1" si="8"/>
        <v>Saint Mary's (CA)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Saint Mary's (CA)</v>
      </c>
      <c r="H49" s="183" t="s">
        <v>9</v>
      </c>
      <c r="I49" s="137" t="str">
        <f ca="1">O28</f>
        <v>Robert Morris</v>
      </c>
      <c r="J49" s="138" cm="1">
        <f t="array" aca="1" ref="J49" ca="1">_xlfn.XLOOKUP(I49,Teams[[#All],[Team]],Teams[[#All],[Seed]],0,0,1)</f>
        <v>15</v>
      </c>
      <c r="K49" s="139" t="e" vm="109">
        <f ca="1">_xlfn.XLOOKUP(G49,Teams!$C:$C,Teams!$E:$E,,0,1)</f>
        <v>#VALUE!</v>
      </c>
      <c r="L49" s="139">
        <f t="shared" ca="1" si="10"/>
        <v>92</v>
      </c>
      <c r="M49" s="139" t="e" vm="112">
        <f ca="1">_xlfn.XLOOKUP(I49,Teams!$C:$C,Teams!$E:$E,,0,1)</f>
        <v>#VALUE!</v>
      </c>
      <c r="N49" s="139">
        <f t="shared" ca="1" si="10"/>
        <v>120</v>
      </c>
      <c r="O49" s="196" t="str">
        <f t="shared" ca="1" si="11"/>
        <v>Robert Morris</v>
      </c>
      <c r="P49" s="211" t="e" vm="112">
        <f ca="1">_xlfn.XLOOKUP(O49,Teams!$C:$C,Teams!$E:$E,,0,1)</f>
        <v>#VALUE!</v>
      </c>
      <c r="Q49" s="216"/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SIU Edwardsville</v>
      </c>
      <c r="B50" s="91" t="str">
        <f t="shared" ca="1" si="13"/>
        <v>Gonzaga</v>
      </c>
      <c r="C50" s="91" t="str">
        <f t="shared" ca="1" si="8"/>
        <v>Gonzaga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SIU Edwardsville</v>
      </c>
      <c r="H50" s="184" t="s">
        <v>9</v>
      </c>
      <c r="I50" s="143" t="str">
        <f ca="1">O30</f>
        <v>Gonzaga</v>
      </c>
      <c r="J50" s="144" cm="1">
        <f t="array" aca="1" ref="J50" ca="1">_xlfn.XLOOKUP(I50,Teams[[#All],[Team]],Teams[[#All],[Seed]],0,0,1)</f>
        <v>8</v>
      </c>
      <c r="K50" s="145" t="e" vm="114">
        <f ca="1">_xlfn.XLOOKUP(G50,Teams!$C:$C,Teams!$E:$E,,0,1)</f>
        <v>#VALUE!</v>
      </c>
      <c r="L50" s="145">
        <f t="shared" ca="1" si="10"/>
        <v>118</v>
      </c>
      <c r="M50" s="145" t="e" vm="115">
        <f ca="1">_xlfn.XLOOKUP(I50,Teams!$C:$C,Teams!$E:$E,,0,1)</f>
        <v>#VALUE!</v>
      </c>
      <c r="N50" s="145">
        <f t="shared" ca="1" si="10"/>
        <v>117</v>
      </c>
      <c r="O50" s="197" t="str">
        <f t="shared" ca="1" si="11"/>
        <v>SIU Edwardsville</v>
      </c>
      <c r="P50" s="212" t="e" vm="114">
        <f ca="1">_xlfn.XLOOKUP(O50,Teams!$C:$C,Teams!$E:$E,,0,1)</f>
        <v>#VALUE!</v>
      </c>
      <c r="Q50" s="217"/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Clemson</v>
      </c>
      <c r="B51" s="91" t="str">
        <f t="shared" ca="1" si="13"/>
        <v>High Point</v>
      </c>
      <c r="C51" s="91" t="str">
        <f t="shared" ca="1" si="8"/>
        <v>High Point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Clemson</v>
      </c>
      <c r="H51" s="179" t="s">
        <v>9</v>
      </c>
      <c r="I51" s="119" t="str">
        <f ca="1">O32</f>
        <v>High Point</v>
      </c>
      <c r="J51" s="120" cm="1">
        <f t="array" aca="1" ref="J51" ca="1">_xlfn.XLOOKUP(I51,Teams[[#All],[Team]],Teams[[#All],[Seed]],0,0,1)</f>
        <v>13</v>
      </c>
      <c r="K51" s="83" t="e" vm="117">
        <f ca="1">_xlfn.XLOOKUP(G51,Teams!$C:$C,Teams!$E:$E,,0,1)</f>
        <v>#VALUE!</v>
      </c>
      <c r="L51" s="83">
        <f t="shared" ca="1" si="10"/>
        <v>119</v>
      </c>
      <c r="M51" s="83" t="e" vm="120">
        <f ca="1">_xlfn.XLOOKUP(I51,Teams!$C:$C,Teams!$E:$E,,0,1)</f>
        <v>#VALUE!</v>
      </c>
      <c r="N51" s="83">
        <f t="shared" ca="1" si="10"/>
        <v>93</v>
      </c>
      <c r="O51" s="193" t="str">
        <f t="shared" ca="1" si="11"/>
        <v>Clemson</v>
      </c>
      <c r="P51" s="208" t="e" vm="117">
        <f ca="1">_xlfn.XLOOKUP(O51,Teams!$C:$C,Teams!$E:$E,,0,1)</f>
        <v>#VALUE!</v>
      </c>
      <c r="Q51" s="217"/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Illinois</v>
      </c>
      <c r="B52" s="91" t="str">
        <f t="shared" ca="1" si="13"/>
        <v>Kentucky</v>
      </c>
      <c r="C52" s="91" t="str">
        <f t="shared" ca="1" si="8"/>
        <v>Illinois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6</v>
      </c>
      <c r="G52" s="118" t="str">
        <f ca="1">O33</f>
        <v>Illinois</v>
      </c>
      <c r="H52" s="179" t="s">
        <v>9</v>
      </c>
      <c r="I52" s="119" t="str">
        <f ca="1">O34</f>
        <v>Kentucky</v>
      </c>
      <c r="J52" s="120" cm="1">
        <f t="array" aca="1" ref="J52" ca="1">_xlfn.XLOOKUP(I52,Teams[[#All],[Team]],Teams[[#All],[Seed]],0,0,1)</f>
        <v>3</v>
      </c>
      <c r="K52" s="83" t="e" vm="121">
        <f ca="1">_xlfn.XLOOKUP(G52,Teams!$C:$C,Teams!$E:$E,,0,1)</f>
        <v>#VALUE!</v>
      </c>
      <c r="L52" s="83">
        <f t="shared" ca="1" si="10"/>
        <v>94</v>
      </c>
      <c r="M52" s="83" t="e" vm="123">
        <f ca="1">_xlfn.XLOOKUP(I52,Teams!$C:$C,Teams!$E:$E,,0,1)</f>
        <v>#VALUE!</v>
      </c>
      <c r="N52" s="83">
        <f t="shared" ca="1" si="10"/>
        <v>115</v>
      </c>
      <c r="O52" s="193" t="str">
        <f t="shared" ca="1" si="11"/>
        <v>Kentucky</v>
      </c>
      <c r="P52" s="208" t="e" vm="123">
        <f ca="1">_xlfn.XLOOKUP(O52,Teams!$C:$C,Teams!$E:$E,,0,1)</f>
        <v>#VALUE!</v>
      </c>
      <c r="Q52" s="217"/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UCLA</v>
      </c>
      <c r="B53" s="91" t="str">
        <f t="shared" ca="1" si="13"/>
        <v>Wofford</v>
      </c>
      <c r="C53" s="91" t="str">
        <f t="shared" ca="1" si="8"/>
        <v>UCLA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UCLA</v>
      </c>
      <c r="H53" s="185" t="s">
        <v>9</v>
      </c>
      <c r="I53" s="149" t="str">
        <f ca="1">O36</f>
        <v>Wofford</v>
      </c>
      <c r="J53" s="150" cm="1">
        <f t="array" aca="1" ref="J53" ca="1">_xlfn.XLOOKUP(I53,Teams[[#All],[Team]],Teams[[#All],[Seed]],0,0,1)</f>
        <v>15</v>
      </c>
      <c r="K53" s="151" t="e" vm="125">
        <f ca="1">_xlfn.XLOOKUP(G53,Teams!$C:$C,Teams!$E:$E,,0,1)</f>
        <v>#VALUE!</v>
      </c>
      <c r="L53" s="151">
        <f t="shared" ca="1" si="10"/>
        <v>103</v>
      </c>
      <c r="M53" s="151" t="e" vm="128">
        <f ca="1">_xlfn.XLOOKUP(I53,Teams!$C:$C,Teams!$E:$E,,0,1)</f>
        <v>#VALUE!</v>
      </c>
      <c r="N53" s="151">
        <f t="shared" ca="1" si="10"/>
        <v>106</v>
      </c>
      <c r="O53" s="198" t="str">
        <f t="shared" ca="1" si="11"/>
        <v>Wofford</v>
      </c>
      <c r="P53" s="213" t="e" vm="128">
        <f ca="1">_xlfn.XLOOKUP(O53,Teams!$C:$C,Teams!$E:$E,,0,1)</f>
        <v>#VALUE!</v>
      </c>
      <c r="Q53" s="217"/>
      <c r="R53" s="6" t="b">
        <f t="shared" ca="1" si="6"/>
        <v>1</v>
      </c>
      <c r="S53" s="98"/>
    </row>
    <row r="54" spans="1:19" ht="24" customHeight="1" thickBot="1" x14ac:dyDescent="0.3">
      <c r="E54" s="67" t="s">
        <v>10</v>
      </c>
      <c r="F54" s="280" t="str">
        <f>Bracket!I2</f>
        <v>Sweet 16</v>
      </c>
      <c r="G54" s="280"/>
      <c r="H54" s="280"/>
      <c r="I54" s="280"/>
      <c r="J54" s="280"/>
      <c r="K54" s="68"/>
      <c r="L54" s="68"/>
      <c r="M54" s="68"/>
      <c r="N54" s="68"/>
      <c r="O54" s="68" t="s">
        <v>8</v>
      </c>
      <c r="P54" s="68"/>
      <c r="Q54" s="215"/>
      <c r="S54" s="98"/>
    </row>
    <row r="55" spans="1:19" ht="24" customHeight="1" x14ac:dyDescent="0.25">
      <c r="A55" s="91" t="str">
        <f ca="1">G55</f>
        <v>Auburn</v>
      </c>
      <c r="B55" s="91" t="str">
        <f ca="1">I55</f>
        <v>UC San Diego</v>
      </c>
      <c r="C55" s="91" t="str">
        <f t="shared" ref="C55:C62" ca="1" si="14">IF(O55="","",IF(A55=O55,B55,A55))</f>
        <v>UC San Diego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</v>
      </c>
      <c r="G55" s="94" t="str">
        <f ca="1">O38</f>
        <v>Auburn</v>
      </c>
      <c r="H55" s="175" t="s">
        <v>9</v>
      </c>
      <c r="I55" s="95" t="str">
        <f ca="1">O39</f>
        <v>UC San Diego</v>
      </c>
      <c r="J55" s="96" cm="1">
        <f t="array" aca="1" ref="J55" ca="1">_xlfn.XLOOKUP(I55,Teams[[#All],[Team]],Teams[[#All],[Seed]],0,0,1)</f>
        <v>12</v>
      </c>
      <c r="K55" s="97" t="e" vm="65">
        <f ca="1">_xlfn.XLOOKUP(G55,Teams!$C:$C,Teams!$E:$E,,0,1)</f>
        <v>#VALUE!</v>
      </c>
      <c r="L55" s="97">
        <f t="shared" ca="1" si="10"/>
        <v>119</v>
      </c>
      <c r="M55" s="97" t="e" vm="70">
        <f ca="1">_xlfn.XLOOKUP(I55,Teams!$C:$C,Teams!$E:$E,,0,1)</f>
        <v>#VALUE!</v>
      </c>
      <c r="N55" s="97">
        <f t="shared" ca="1" si="10"/>
        <v>93</v>
      </c>
      <c r="O55" s="189" t="str">
        <f t="shared" ref="O55:O62" ca="1" si="16">IF(L55&gt;N55,G55,I55)</f>
        <v>Auburn</v>
      </c>
      <c r="P55" s="205" t="e" vm="65">
        <f ca="1">_xlfn.XLOOKUP(O55,Teams!$C:$C,Teams!$E:$E,,0,1)</f>
        <v>#VALUE!</v>
      </c>
      <c r="Q55" s="216"/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North Carolina</v>
      </c>
      <c r="B56" s="91" t="str">
        <f t="shared" ref="B56:B62" ca="1" si="18">I56</f>
        <v>Bryant</v>
      </c>
      <c r="C56" s="91" t="str">
        <f t="shared" ca="1" si="14"/>
        <v>Bryant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11</v>
      </c>
      <c r="G56" s="136" t="str">
        <f ca="1">O40</f>
        <v>North Carolina</v>
      </c>
      <c r="H56" s="183" t="s">
        <v>9</v>
      </c>
      <c r="I56" s="137" t="str">
        <f ca="1">O41</f>
        <v>Bryant</v>
      </c>
      <c r="J56" s="138" cm="1">
        <f t="array" aca="1" ref="J56" ca="1">_xlfn.XLOOKUP(I56,Teams[[#All],[Team]],Teams[[#All],[Seed]],0,0,1)</f>
        <v>15</v>
      </c>
      <c r="K56" s="139" t="e" vm="74">
        <f ca="1">_xlfn.XLOOKUP(G56,Teams!$C:$C,Teams!$E:$E,,0,1)</f>
        <v>#VALUE!</v>
      </c>
      <c r="L56" s="139">
        <f t="shared" ca="1" si="10"/>
        <v>102</v>
      </c>
      <c r="M56" s="139" t="e" vm="80">
        <f ca="1">_xlfn.XLOOKUP(I56,Teams!$C:$C,Teams!$E:$E,,0,1)</f>
        <v>#VALUE!</v>
      </c>
      <c r="N56" s="139">
        <f t="shared" ca="1" si="10"/>
        <v>97</v>
      </c>
      <c r="O56" s="196" t="str">
        <f t="shared" ca="1" si="16"/>
        <v>North Carolina</v>
      </c>
      <c r="P56" s="211" t="e" vm="74">
        <f ca="1">_xlfn.XLOOKUP(O56,Teams!$C:$C,Teams!$E:$E,,0,1)</f>
        <v>#VALUE!</v>
      </c>
      <c r="Q56" s="216"/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Oklahoma</v>
      </c>
      <c r="B57" s="91" t="str">
        <f t="shared" ca="1" si="18"/>
        <v>Memphis</v>
      </c>
      <c r="C57" s="91" t="str">
        <f t="shared" ca="1" si="14"/>
        <v>Memphis</v>
      </c>
      <c r="D57" s="91" t="e">
        <f t="shared" si="15"/>
        <v>#REF!</v>
      </c>
      <c r="E57" s="140">
        <v>51</v>
      </c>
      <c r="F57" s="142" cm="1">
        <f t="array" aca="1" ref="F57" ca="1">_xlfn.XLOOKUP(G57,Teams[[#All],[Team]],Teams[[#All],[Seed]],0,0,1)</f>
        <v>9</v>
      </c>
      <c r="G57" s="142" t="str">
        <f ca="1">O42</f>
        <v>Oklahoma</v>
      </c>
      <c r="H57" s="184" t="s">
        <v>9</v>
      </c>
      <c r="I57" s="143" t="str">
        <f ca="1">O43</f>
        <v>Memphis</v>
      </c>
      <c r="J57" s="144" cm="1">
        <f t="array" aca="1" ref="J57" ca="1">_xlfn.XLOOKUP(I57,Teams[[#All],[Team]],Teams[[#All],[Seed]],0,0,1)</f>
        <v>5</v>
      </c>
      <c r="K57" s="145" t="e" vm="84">
        <f ca="1">_xlfn.XLOOKUP(G57,Teams!$C:$C,Teams!$E:$E,,0,1)</f>
        <v>#VALUE!</v>
      </c>
      <c r="L57" s="145">
        <f t="shared" ca="1" si="10"/>
        <v>117</v>
      </c>
      <c r="M57" s="145" t="e" vm="85">
        <f ca="1">_xlfn.XLOOKUP(I57,Teams!$C:$C,Teams!$E:$E,,0,1)</f>
        <v>#VALUE!</v>
      </c>
      <c r="N57" s="145">
        <f t="shared" ca="1" si="10"/>
        <v>109</v>
      </c>
      <c r="O57" s="197" t="str">
        <f t="shared" ca="1" si="16"/>
        <v>Oklahoma</v>
      </c>
      <c r="P57" s="212" t="e" vm="84">
        <f ca="1">_xlfn.XLOOKUP(O57,Teams!$C:$C,Teams!$E:$E,,0,1)</f>
        <v>#VALUE!</v>
      </c>
      <c r="Q57" s="217"/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UNC Wilmington</v>
      </c>
      <c r="B58" s="91" t="str">
        <f t="shared" ca="1" si="18"/>
        <v>St. John's (NY)</v>
      </c>
      <c r="C58" s="91" t="str">
        <f t="shared" ca="1" si="14"/>
        <v>St. John's (NY)</v>
      </c>
      <c r="D58" s="91" t="e">
        <f t="shared" si="15"/>
        <v>#REF!</v>
      </c>
      <c r="E58" s="146">
        <v>52</v>
      </c>
      <c r="F58" s="148" cm="1">
        <f t="array" aca="1" ref="F58" ca="1">_xlfn.XLOOKUP(G58,Teams[[#All],[Team]],Teams[[#All],[Seed]],0,0,1)</f>
        <v>14</v>
      </c>
      <c r="G58" s="148" t="str">
        <f ca="1">O44</f>
        <v>UNC Wilmington</v>
      </c>
      <c r="H58" s="185" t="s">
        <v>9</v>
      </c>
      <c r="I58" s="149" t="str">
        <f ca="1">O45</f>
        <v>St. John's (NY)</v>
      </c>
      <c r="J58" s="150" cm="1">
        <f t="array" aca="1" ref="J58" ca="1">_xlfn.XLOOKUP(I58,Teams[[#All],[Team]],Teams[[#All],[Seed]],0,0,1)</f>
        <v>2</v>
      </c>
      <c r="K58" s="151" t="e" vm="92">
        <f ca="1">_xlfn.XLOOKUP(G58,Teams!$C:$C,Teams!$E:$E,,0,1)</f>
        <v>#VALUE!</v>
      </c>
      <c r="L58" s="151">
        <f t="shared" ca="1" si="10"/>
        <v>117</v>
      </c>
      <c r="M58" s="151" t="e" vm="95">
        <f ca="1">_xlfn.XLOOKUP(I58,Teams!$C:$C,Teams!$E:$E,,0,1)</f>
        <v>#VALUE!</v>
      </c>
      <c r="N58" s="151">
        <f t="shared" ca="1" si="10"/>
        <v>116</v>
      </c>
      <c r="O58" s="198" t="str">
        <f t="shared" ca="1" si="16"/>
        <v>UNC Wilmington</v>
      </c>
      <c r="P58" s="213" t="e" vm="92">
        <f ca="1">_xlfn.XLOOKUP(O58,Teams!$C:$C,Teams!$E:$E,,0,1)</f>
        <v>#VALUE!</v>
      </c>
      <c r="Q58" s="217"/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Baylor</v>
      </c>
      <c r="B59" s="152" t="str">
        <f t="shared" ca="1" si="18"/>
        <v>Oregon</v>
      </c>
      <c r="C59" s="152" t="str">
        <f t="shared" ca="1" si="14"/>
        <v>Baylor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9</v>
      </c>
      <c r="G59" s="131" t="str">
        <f ca="1">O46</f>
        <v>Baylor</v>
      </c>
      <c r="H59" s="182" t="s">
        <v>9</v>
      </c>
      <c r="I59" s="132" t="str">
        <f ca="1">O47</f>
        <v>Oregon</v>
      </c>
      <c r="J59" s="133" cm="1">
        <f t="array" aca="1" ref="J59" ca="1">_xlfn.XLOOKUP(I59,Teams[[#All],[Team]],Teams[[#All],[Seed]],0,0,1)</f>
        <v>5</v>
      </c>
      <c r="K59" s="84" t="e" vm="100">
        <f ca="1">_xlfn.XLOOKUP(G59,Teams!$C:$C,Teams!$E:$E,,0,1)</f>
        <v>#VALUE!</v>
      </c>
      <c r="L59" s="84">
        <f t="shared" ca="1" si="10"/>
        <v>104</v>
      </c>
      <c r="M59" s="84" t="e" vm="101">
        <f ca="1">_xlfn.XLOOKUP(I59,Teams!$C:$C,Teams!$E:$E,,0,1)</f>
        <v>#VALUE!</v>
      </c>
      <c r="N59" s="84">
        <f t="shared" ca="1" si="10"/>
        <v>106</v>
      </c>
      <c r="O59" s="195" t="str">
        <f t="shared" ca="1" si="16"/>
        <v>Oregon</v>
      </c>
      <c r="P59" s="210" t="e" vm="101">
        <f ca="1">_xlfn.XLOOKUP(O59,Teams!$C:$C,Teams!$E:$E,,0,1)</f>
        <v>#VALUE!</v>
      </c>
      <c r="Q59" s="216"/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Montana</v>
      </c>
      <c r="B60" s="152" t="str">
        <f t="shared" ca="1" si="18"/>
        <v>Robert Morris</v>
      </c>
      <c r="C60" s="152" t="str">
        <f t="shared" ca="1" si="14"/>
        <v>Robert Morris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Montana</v>
      </c>
      <c r="H60" s="183" t="s">
        <v>9</v>
      </c>
      <c r="I60" s="137" t="str">
        <f ca="1">O49</f>
        <v>Robert Morris</v>
      </c>
      <c r="J60" s="138" cm="1">
        <f t="array" aca="1" ref="J60" ca="1">_xlfn.XLOOKUP(I60,Teams[[#All],[Team]],Teams[[#All],[Seed]],0,0,1)</f>
        <v>15</v>
      </c>
      <c r="K60" s="139" t="e" vm="108">
        <f ca="1">_xlfn.XLOOKUP(G60,Teams!$C:$C,Teams!$E:$E,,0,1)</f>
        <v>#VALUE!</v>
      </c>
      <c r="L60" s="139">
        <f t="shared" ca="1" si="10"/>
        <v>114</v>
      </c>
      <c r="M60" s="139" t="e" vm="112">
        <f ca="1">_xlfn.XLOOKUP(I60,Teams!$C:$C,Teams!$E:$E,,0,1)</f>
        <v>#VALUE!</v>
      </c>
      <c r="N60" s="139">
        <f t="shared" ca="1" si="10"/>
        <v>99</v>
      </c>
      <c r="O60" s="196" t="str">
        <f t="shared" ca="1" si="16"/>
        <v>Montana</v>
      </c>
      <c r="P60" s="211" t="e" vm="108">
        <f ca="1">_xlfn.XLOOKUP(O60,Teams!$C:$C,Teams!$E:$E,,0,1)</f>
        <v>#VALUE!</v>
      </c>
      <c r="Q60" s="216"/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SIU Edwardsville</v>
      </c>
      <c r="B61" s="91" t="str">
        <f t="shared" ca="1" si="18"/>
        <v>Clemson</v>
      </c>
      <c r="C61" s="91" t="str">
        <f t="shared" ca="1" si="14"/>
        <v>SIU Edwardsville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16</v>
      </c>
      <c r="G61" s="142" t="str">
        <f ca="1">O50</f>
        <v>SIU Edwardsville</v>
      </c>
      <c r="H61" s="184" t="s">
        <v>9</v>
      </c>
      <c r="I61" s="143" t="str">
        <f ca="1">O51</f>
        <v>Clemson</v>
      </c>
      <c r="J61" s="144" cm="1">
        <f t="array" aca="1" ref="J61" ca="1">_xlfn.XLOOKUP(I61,Teams[[#All],[Team]],Teams[[#All],[Seed]],0,0,1)</f>
        <v>5</v>
      </c>
      <c r="K61" s="145" t="e" vm="114">
        <f ca="1">_xlfn.XLOOKUP(G61,Teams!$C:$C,Teams!$E:$E,,0,1)</f>
        <v>#VALUE!</v>
      </c>
      <c r="L61" s="145">
        <f t="shared" ca="1" si="10"/>
        <v>101</v>
      </c>
      <c r="M61" s="145" t="e" vm="117">
        <f ca="1">_xlfn.XLOOKUP(I61,Teams!$C:$C,Teams!$E:$E,,0,1)</f>
        <v>#VALUE!</v>
      </c>
      <c r="N61" s="145">
        <f t="shared" ca="1" si="10"/>
        <v>108</v>
      </c>
      <c r="O61" s="197" t="str">
        <f t="shared" ca="1" si="16"/>
        <v>Clemson</v>
      </c>
      <c r="P61" s="212" t="e" vm="117">
        <f ca="1">_xlfn.XLOOKUP(O61,Teams!$C:$C,Teams!$E:$E,,0,1)</f>
        <v>#VALUE!</v>
      </c>
      <c r="Q61" s="217"/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Kentucky</v>
      </c>
      <c r="B62" s="91" t="str">
        <f t="shared" ca="1" si="18"/>
        <v>Wofford</v>
      </c>
      <c r="C62" s="91" t="str">
        <f t="shared" ca="1" si="14"/>
        <v>Wofford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Kentucky</v>
      </c>
      <c r="H62" s="185" t="s">
        <v>9</v>
      </c>
      <c r="I62" s="149" t="str">
        <f ca="1">O53</f>
        <v>Wofford</v>
      </c>
      <c r="J62" s="150" cm="1">
        <f t="array" aca="1" ref="J62" ca="1">_xlfn.XLOOKUP(I62,Teams[[#All],[Team]],Teams[[#All],[Seed]],0,0,1)</f>
        <v>15</v>
      </c>
      <c r="K62" s="151" t="e" vm="123">
        <f ca="1">_xlfn.XLOOKUP(G62,Teams!$C:$C,Teams!$E:$E,,0,1)</f>
        <v>#VALUE!</v>
      </c>
      <c r="L62" s="151">
        <f t="shared" ca="1" si="10"/>
        <v>120</v>
      </c>
      <c r="M62" s="151" t="e" vm="128">
        <f ca="1">_xlfn.XLOOKUP(I62,Teams!$C:$C,Teams!$E:$E,,0,1)</f>
        <v>#VALUE!</v>
      </c>
      <c r="N62" s="151">
        <f t="shared" ca="1" si="10"/>
        <v>108</v>
      </c>
      <c r="O62" s="198" t="str">
        <f t="shared" ca="1" si="16"/>
        <v>Kentucky</v>
      </c>
      <c r="P62" s="213" t="e" vm="123">
        <f ca="1">_xlfn.XLOOKUP(O62,Teams!$C:$C,Teams!$E:$E,,0,1)</f>
        <v>#VALUE!</v>
      </c>
      <c r="Q62" s="217"/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80" t="str">
        <f>Bracket!L2</f>
        <v>Elite 8</v>
      </c>
      <c r="G63" s="280"/>
      <c r="H63" s="280"/>
      <c r="I63" s="280"/>
      <c r="J63" s="280"/>
      <c r="K63" s="68"/>
      <c r="L63" s="68"/>
      <c r="M63" s="68"/>
      <c r="N63" s="68"/>
      <c r="O63" s="68" t="s">
        <v>8</v>
      </c>
      <c r="P63" s="68"/>
      <c r="Q63" s="215"/>
      <c r="S63" s="98"/>
    </row>
    <row r="64" spans="1:19" ht="24" customHeight="1" thickBot="1" x14ac:dyDescent="0.3">
      <c r="A64" s="91" t="str">
        <f ca="1">G64</f>
        <v>Auburn</v>
      </c>
      <c r="B64" s="91" t="str">
        <f ca="1">I64</f>
        <v>North Carolina</v>
      </c>
      <c r="C64" s="91" t="str">
        <f ca="1">IF(O64="","",IF(A64=O64,B64,A64))</f>
        <v>North Carolina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</v>
      </c>
      <c r="G64" s="155" t="str">
        <f ca="1">O55</f>
        <v>Auburn</v>
      </c>
      <c r="H64" s="186" t="s">
        <v>9</v>
      </c>
      <c r="I64" s="156" t="str">
        <f ca="1">O56</f>
        <v>North Carolina</v>
      </c>
      <c r="J64" s="157" cm="1">
        <f t="array" aca="1" ref="J64" ca="1">_xlfn.XLOOKUP(I64,Teams[[#All],[Team]],Teams[[#All],[Seed]],0,0,1)</f>
        <v>11</v>
      </c>
      <c r="K64" s="158" t="e" vm="65">
        <f ca="1">_xlfn.XLOOKUP(G64,Teams!$C:$C,Teams!$E:$E,,0,1)</f>
        <v>#VALUE!</v>
      </c>
      <c r="L64" s="158">
        <f t="shared" ca="1" si="10"/>
        <v>120</v>
      </c>
      <c r="M64" s="158" t="e" vm="74">
        <f ca="1">_xlfn.XLOOKUP(I64,Teams!$C:$C,Teams!$E:$E,,0,1)</f>
        <v>#VALUE!</v>
      </c>
      <c r="N64" s="158">
        <f t="shared" ca="1" si="10"/>
        <v>109</v>
      </c>
      <c r="O64" s="199" t="str">
        <f ca="1">IF(L64&gt;N64,G64,I64)</f>
        <v>Auburn</v>
      </c>
      <c r="P64" s="205" t="e" vm="65">
        <f ca="1">_xlfn.XLOOKUP(O64,Teams!$C:$C,Teams!$E:$E,,0,1)</f>
        <v>#VALUE!</v>
      </c>
      <c r="Q64" s="216"/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Oklahoma</v>
      </c>
      <c r="B65" s="91" t="str">
        <f ca="1">I65</f>
        <v>UNC Wilmington</v>
      </c>
      <c r="C65" s="91" t="str">
        <f ca="1">IF(O65="","",IF(A65=O65,B65,A65))</f>
        <v>Oklahoma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9</v>
      </c>
      <c r="G65" s="161" t="str">
        <f ca="1">O57</f>
        <v>Oklahoma</v>
      </c>
      <c r="H65" s="187" t="s">
        <v>9</v>
      </c>
      <c r="I65" s="162" t="str">
        <f ca="1">O58</f>
        <v>UNC Wilmington</v>
      </c>
      <c r="J65" s="163" cm="1">
        <f t="array" aca="1" ref="J65" ca="1">_xlfn.XLOOKUP(I65,Teams[[#All],[Team]],Teams[[#All],[Seed]],0,0,1)</f>
        <v>14</v>
      </c>
      <c r="K65" s="164" t="e" vm="84">
        <f ca="1">_xlfn.XLOOKUP(G65,Teams!$C:$C,Teams!$E:$E,,0,1)</f>
        <v>#VALUE!</v>
      </c>
      <c r="L65" s="164">
        <f t="shared" ca="1" si="10"/>
        <v>109</v>
      </c>
      <c r="M65" s="164" t="e" vm="92">
        <f ca="1">_xlfn.XLOOKUP(I65,Teams!$C:$C,Teams!$E:$E,,0,1)</f>
        <v>#VALUE!</v>
      </c>
      <c r="N65" s="164">
        <f t="shared" ca="1" si="10"/>
        <v>120</v>
      </c>
      <c r="O65" s="200" t="str">
        <f ca="1">IF(L65&gt;N65,G65,I65)</f>
        <v>UNC Wilmington</v>
      </c>
      <c r="P65" s="208" t="e" vm="92">
        <f ca="1">_xlfn.XLOOKUP(O65,Teams!$C:$C,Teams!$E:$E,,0,1)</f>
        <v>#VALUE!</v>
      </c>
      <c r="Q65" s="217"/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Oregon</v>
      </c>
      <c r="B66" s="91" t="str">
        <f ca="1">I66</f>
        <v>Montana</v>
      </c>
      <c r="C66" s="91" t="str">
        <f ca="1">IF(O66="","",IF(A66=O66,B66,A66))</f>
        <v>Oregon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5</v>
      </c>
      <c r="G66" s="155" t="str">
        <f ca="1">O59</f>
        <v>Oregon</v>
      </c>
      <c r="H66" s="186" t="s">
        <v>9</v>
      </c>
      <c r="I66" s="156" t="str">
        <f ca="1">O60</f>
        <v>Montana</v>
      </c>
      <c r="J66" s="157" cm="1">
        <f t="array" aca="1" ref="J66" ca="1">_xlfn.XLOOKUP(I66,Teams[[#All],[Team]],Teams[[#All],[Seed]],0,0,1)</f>
        <v>14</v>
      </c>
      <c r="K66" s="158" t="e" vm="101">
        <f ca="1">_xlfn.XLOOKUP(G66,Teams!$C:$C,Teams!$E:$E,,0,1)</f>
        <v>#VALUE!</v>
      </c>
      <c r="L66" s="158">
        <f t="shared" ca="1" si="10"/>
        <v>104</v>
      </c>
      <c r="M66" s="158" t="e" vm="108">
        <f ca="1">_xlfn.XLOOKUP(I66,Teams!$C:$C,Teams!$E:$E,,0,1)</f>
        <v>#VALUE!</v>
      </c>
      <c r="N66" s="158">
        <f t="shared" ca="1" si="10"/>
        <v>114</v>
      </c>
      <c r="O66" s="199" t="str">
        <f ca="1">IF(L66&gt;N66,G66,I66)</f>
        <v>Montana</v>
      </c>
      <c r="P66" s="205" t="e" vm="108">
        <f ca="1">_xlfn.XLOOKUP(O66,Teams!$C:$C,Teams!$E:$E,,0,1)</f>
        <v>#VALUE!</v>
      </c>
      <c r="Q66" s="216"/>
      <c r="R66" s="6" t="b">
        <f t="shared" ca="1" si="6"/>
        <v>1</v>
      </c>
      <c r="S66" s="98"/>
    </row>
    <row r="67" spans="1:19" ht="24" customHeight="1" thickBot="1" x14ac:dyDescent="0.3">
      <c r="A67" s="91" t="str">
        <f ca="1">G67</f>
        <v>Clemson</v>
      </c>
      <c r="B67" s="91" t="str">
        <f ca="1">I67</f>
        <v>Kentucky</v>
      </c>
      <c r="C67" s="91" t="str">
        <f ca="1">IF(O67="","",IF(A67=O67,B67,A67))</f>
        <v>Kentucky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5</v>
      </c>
      <c r="G67" s="161" t="str">
        <f ca="1">O61</f>
        <v>Clemson</v>
      </c>
      <c r="H67" s="187" t="s">
        <v>9</v>
      </c>
      <c r="I67" s="162" t="str">
        <f ca="1">O62</f>
        <v>Kentucky</v>
      </c>
      <c r="J67" s="163" cm="1">
        <f t="array" aca="1" ref="J67" ca="1">_xlfn.XLOOKUP(I67,Teams[[#All],[Team]],Teams[[#All],[Seed]],0,0,1)</f>
        <v>3</v>
      </c>
      <c r="K67" s="164" t="e" vm="117">
        <f ca="1">_xlfn.XLOOKUP(G67,Teams!$C:$C,Teams!$E:$E,,0,1)</f>
        <v>#VALUE!</v>
      </c>
      <c r="L67" s="164">
        <f t="shared" ca="1" si="10"/>
        <v>120</v>
      </c>
      <c r="M67" s="164" t="e" vm="123">
        <f ca="1">_xlfn.XLOOKUP(I67,Teams!$C:$C,Teams!$E:$E,,0,1)</f>
        <v>#VALUE!</v>
      </c>
      <c r="N67" s="164">
        <f t="shared" ca="1" si="10"/>
        <v>95</v>
      </c>
      <c r="O67" s="200" t="str">
        <f ca="1">IF(L67&gt;N67,G67,I67)</f>
        <v>Clemson</v>
      </c>
      <c r="P67" s="208" t="e" vm="117">
        <f ca="1">_xlfn.XLOOKUP(O67,Teams!$C:$C,Teams!$E:$E,,0,1)</f>
        <v>#VALUE!</v>
      </c>
      <c r="Q67" s="217"/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80" t="str">
        <f>Bracket!O2</f>
        <v>Final Four</v>
      </c>
      <c r="G68" s="280"/>
      <c r="H68" s="280"/>
      <c r="I68" s="280"/>
      <c r="J68" s="280"/>
      <c r="K68" s="68"/>
      <c r="L68" s="68"/>
      <c r="M68" s="68"/>
      <c r="N68" s="68"/>
      <c r="O68" s="68" t="s">
        <v>8</v>
      </c>
      <c r="P68" s="68"/>
      <c r="Q68" s="215"/>
      <c r="S68" s="98"/>
    </row>
    <row r="69" spans="1:19" ht="24" customHeight="1" thickBot="1" x14ac:dyDescent="0.3">
      <c r="A69" s="91" t="str">
        <f ca="1">G69</f>
        <v>Auburn</v>
      </c>
      <c r="B69" s="91" t="str">
        <f ca="1">I69</f>
        <v>UNC Wilmington</v>
      </c>
      <c r="C69" s="91" t="str">
        <f ca="1">IF(O69="","",IF(A69=O69,B69,A69))</f>
        <v>UNC Wilmington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1</v>
      </c>
      <c r="G69" s="167" t="str">
        <f ca="1">O64</f>
        <v>Auburn</v>
      </c>
      <c r="H69" s="188" t="s">
        <v>9</v>
      </c>
      <c r="I69" s="168" t="str">
        <f ca="1">O65</f>
        <v>UNC Wilmington</v>
      </c>
      <c r="J69" s="169" cm="1">
        <f t="array" aca="1" ref="J69" ca="1">_xlfn.XLOOKUP(I69,Teams[[#All],[Team]],Teams[[#All],[Seed]],0,0,1)</f>
        <v>14</v>
      </c>
      <c r="K69" s="170" t="e" vm="65">
        <f ca="1">_xlfn.XLOOKUP(G69,Teams!$C:$C,Teams!$E:$E,,0,1)</f>
        <v>#VALUE!</v>
      </c>
      <c r="L69" s="170">
        <f t="shared" ca="1" si="10"/>
        <v>117</v>
      </c>
      <c r="M69" s="170" t="e" vm="92">
        <f ca="1">_xlfn.XLOOKUP(I69,Teams!$C:$C,Teams!$E:$E,,0,1)</f>
        <v>#VALUE!</v>
      </c>
      <c r="N69" s="170">
        <f t="shared" ca="1" si="10"/>
        <v>116</v>
      </c>
      <c r="O69" s="201" t="str">
        <f ca="1">IF(L69&gt;N69,G69,I69)</f>
        <v>Auburn</v>
      </c>
      <c r="P69" s="211" t="e" vm="65">
        <f ca="1">_xlfn.XLOOKUP(O69,Teams!$C:$C,Teams!$E:$E,,0,1)</f>
        <v>#VALUE!</v>
      </c>
      <c r="Q69" s="216"/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Montana</v>
      </c>
      <c r="B70" s="91" t="str">
        <f ca="1">I70</f>
        <v>Clemson</v>
      </c>
      <c r="C70" s="91" t="str">
        <f ca="1">IF(O70="","",IF(A70=O70,B70,A70))</f>
        <v>Montana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14</v>
      </c>
      <c r="G70" s="161" t="str">
        <f ca="1">O66</f>
        <v>Montana</v>
      </c>
      <c r="H70" s="187" t="s">
        <v>9</v>
      </c>
      <c r="I70" s="162" t="str">
        <f ca="1">O67</f>
        <v>Clemson</v>
      </c>
      <c r="J70" s="163" cm="1">
        <f t="array" aca="1" ref="J70" ca="1">_xlfn.XLOOKUP(I70,Teams[[#All],[Team]],Teams[[#All],[Seed]],0,0,1)</f>
        <v>5</v>
      </c>
      <c r="K70" s="164" t="e" vm="108">
        <f ca="1">_xlfn.XLOOKUP(G70,Teams!$C:$C,Teams!$E:$E,,0,1)</f>
        <v>#VALUE!</v>
      </c>
      <c r="L70" s="164">
        <f t="shared" ca="1" si="10"/>
        <v>101</v>
      </c>
      <c r="M70" s="164" t="e" vm="117">
        <f ca="1">_xlfn.XLOOKUP(I70,Teams!$C:$C,Teams!$E:$E,,0,1)</f>
        <v>#VALUE!</v>
      </c>
      <c r="N70" s="164">
        <f t="shared" ca="1" si="10"/>
        <v>101</v>
      </c>
      <c r="O70" s="200" t="str">
        <f ca="1">IF(L70&gt;N70,G70,I70)</f>
        <v>Clemson</v>
      </c>
      <c r="P70" s="214" t="e" vm="117">
        <f ca="1">_xlfn.XLOOKUP(O70,Teams!$C:$C,Teams!$E:$E,,0,1)</f>
        <v>#VALUE!</v>
      </c>
      <c r="Q70" s="217"/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80" t="str">
        <f>Bracket!S2</f>
        <v>Championship</v>
      </c>
      <c r="G71" s="280"/>
      <c r="H71" s="280"/>
      <c r="I71" s="280"/>
      <c r="J71" s="280"/>
      <c r="K71" s="68"/>
      <c r="L71" s="68"/>
      <c r="M71" s="68"/>
      <c r="N71" s="68"/>
      <c r="O71" s="68" t="s">
        <v>8</v>
      </c>
      <c r="P71" s="68"/>
      <c r="Q71" s="215"/>
      <c r="S71" s="98"/>
    </row>
    <row r="72" spans="1:19" ht="24" customHeight="1" thickBot="1" x14ac:dyDescent="0.3">
      <c r="A72" s="91" t="str">
        <f ca="1">G72</f>
        <v>Auburn</v>
      </c>
      <c r="B72" s="91" t="str">
        <f ca="1">I72</f>
        <v>Clemson</v>
      </c>
      <c r="C72" s="91" t="str">
        <f ca="1">IF(O72="","",IF(A72=O72,B72,A72))</f>
        <v>Clemson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</v>
      </c>
      <c r="G72" s="155" t="str">
        <f ca="1">O69</f>
        <v>Auburn</v>
      </c>
      <c r="H72" s="186" t="s">
        <v>9</v>
      </c>
      <c r="I72" s="156" t="str">
        <f ca="1">O70</f>
        <v>Clemson</v>
      </c>
      <c r="J72" s="157" cm="1">
        <f t="array" aca="1" ref="J72" ca="1">_xlfn.XLOOKUP(I72,Teams[[#All],[Team]],Teams[[#All],[Seed]],0,0,1)</f>
        <v>5</v>
      </c>
      <c r="K72" s="158" t="e" vm="65">
        <f ca="1">_xlfn.XLOOKUP(G72,Teams!$C:$C,Teams!$E:$E,,0,1)</f>
        <v>#VALUE!</v>
      </c>
      <c r="L72" s="158">
        <f t="shared" ca="1" si="10"/>
        <v>114</v>
      </c>
      <c r="M72" s="158" t="e" vm="117">
        <f ca="1">_xlfn.XLOOKUP(I72,Teams!$C:$C,Teams!$E:$E,,0,1)</f>
        <v>#VALUE!</v>
      </c>
      <c r="N72" s="158">
        <f t="shared" ca="1" si="10"/>
        <v>109</v>
      </c>
      <c r="O72" s="199" t="str">
        <f ca="1">IF(L72&gt;N72,G72,I72)</f>
        <v>Auburn</v>
      </c>
      <c r="P72" s="206" t="e" vm="65">
        <f ca="1">_xlfn.XLOOKUP(O72,Teams!$C:$C,Teams!$E:$E,,0,1)</f>
        <v>#VALUE!</v>
      </c>
      <c r="Q72" s="218"/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tabSelected="1" zoomScale="50" zoomScaleNormal="60" workbookViewId="0"/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28" t="s">
        <v>20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49" t="s">
        <v>2</v>
      </c>
      <c r="T2" s="249"/>
      <c r="U2" s="249"/>
      <c r="V2" s="249"/>
      <c r="W2" s="249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67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67"/>
    </row>
    <row r="5" spans="1:47" ht="18.600000000000001" customHeight="1" thickBot="1" x14ac:dyDescent="0.35">
      <c r="A5" s="16"/>
      <c r="B5" s="27">
        <v>1</v>
      </c>
      <c r="C5" s="36" t="str">
        <f>Games!G5</f>
        <v>Auburn</v>
      </c>
      <c r="D5" s="70" t="e" vm="65">
        <f>_xlfn.XLOOKUP(C5,Teams!$C:$C,Teams!$E:$E,,0,1)</f>
        <v>#VALUE!</v>
      </c>
      <c r="E5" s="46">
        <f ca="1">Games!L5</f>
        <v>118</v>
      </c>
      <c r="F5" s="235" t="str">
        <f ca="1">Games!O5</f>
        <v>Auburn</v>
      </c>
      <c r="G5" s="245" t="e" vm="65">
        <f ca="1">_xlfn.XLOOKUP(F5,Teams!$C:$C,Teams!$E:$E,,0,1)</f>
        <v>#VALUE!</v>
      </c>
      <c r="H5" s="239">
        <f ca="1">Games!L38</f>
        <v>107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33">
        <f ca="1">Games!L46</f>
        <v>98</v>
      </c>
      <c r="AI5" s="268" t="e" vm="97">
        <f ca="1">_xlfn.XLOOKUP(AJ5,Teams!$C:$C,Teams!$E:$E,,0,1)</f>
        <v>#VALUE!</v>
      </c>
      <c r="AJ5" s="235" t="str">
        <f ca="1">Games!O21</f>
        <v>Duke</v>
      </c>
      <c r="AK5" s="58">
        <f ca="1">Games!L21</f>
        <v>113</v>
      </c>
      <c r="AL5" s="46" t="e" vm="97">
        <f>_xlfn.XLOOKUP(AM5,Teams!$C:$C,Teams!$E:$E,,0,1)</f>
        <v>#VALUE!</v>
      </c>
      <c r="AM5" s="37" t="str">
        <f>Games!G21</f>
        <v>Duke</v>
      </c>
      <c r="AN5" s="27">
        <v>1</v>
      </c>
      <c r="AO5" s="17"/>
      <c r="AQ5" s="267"/>
      <c r="AU5" s="2" t="b">
        <f>IF(AP29="x",TRUE,FALSE)</f>
        <v>1</v>
      </c>
    </row>
    <row r="6" spans="1:47" ht="10.5" customHeight="1" thickBot="1" x14ac:dyDescent="0.35">
      <c r="A6" s="238">
        <f>IF($AU$5=TRUE,1,"")</f>
        <v>1</v>
      </c>
      <c r="B6" s="28"/>
      <c r="C6" s="38"/>
      <c r="D6" s="71"/>
      <c r="E6" s="47"/>
      <c r="F6" s="236"/>
      <c r="G6" s="246"/>
      <c r="H6" s="234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34"/>
      <c r="AI6" s="269"/>
      <c r="AJ6" s="236"/>
      <c r="AK6" s="55"/>
      <c r="AM6" s="39"/>
      <c r="AN6" s="28"/>
      <c r="AO6" s="257">
        <f>IF($AU$5=TRUE,A66+1,"")</f>
        <v>17</v>
      </c>
      <c r="AQ6" s="267"/>
    </row>
    <row r="7" spans="1:47" ht="13.8" customHeight="1" thickBot="1" x14ac:dyDescent="0.35">
      <c r="A7" s="238"/>
      <c r="B7" s="27">
        <v>16</v>
      </c>
      <c r="C7" s="40" t="str">
        <f>Games!I5</f>
        <v>Alabama State</v>
      </c>
      <c r="D7" s="70" t="e" vm="66">
        <f>_xlfn.XLOOKUP(C7,Teams!$C:$C,Teams!$E:$E,,0,1)</f>
        <v>#VALUE!</v>
      </c>
      <c r="E7" s="48">
        <f ca="1">Games!N5</f>
        <v>112</v>
      </c>
      <c r="F7" s="237">
        <f>IF($AU$5=TRUE,AO66+1,"")</f>
        <v>33</v>
      </c>
      <c r="G7" s="14"/>
      <c r="H7" s="49"/>
      <c r="I7" s="229" t="str">
        <f ca="1">Games!O38</f>
        <v>Auburn</v>
      </c>
      <c r="J7" s="245" t="e" vm="65">
        <f ca="1">_xlfn.XLOOKUP(I7,Teams!$C:$C,Teams!$E:$E,,0,1)</f>
        <v>#VALUE!</v>
      </c>
      <c r="K7" s="233">
        <f ca="1">Games!L55</f>
        <v>119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33">
        <f ca="1">Games!L59</f>
        <v>104</v>
      </c>
      <c r="AF7" s="268" t="e" vm="100">
        <f ca="1">_xlfn.XLOOKUP(AG7,Teams!$C:$C,Teams!$E:$E,,0,1)</f>
        <v>#VALUE!</v>
      </c>
      <c r="AG7" s="235" t="str">
        <f ca="1">Games!O46</f>
        <v>Baylor</v>
      </c>
      <c r="AH7" s="55"/>
      <c r="AI7" s="51"/>
      <c r="AJ7" s="237">
        <f>IF($AU$5=TRUE,F63+1,"")</f>
        <v>41</v>
      </c>
      <c r="AK7" s="59">
        <f ca="1">Games!N21</f>
        <v>96</v>
      </c>
      <c r="AL7" s="46" t="e" vm="98">
        <f>_xlfn.XLOOKUP(AM7,Teams!$C:$C,Teams!$E:$E,,0,1)</f>
        <v>#VALUE!</v>
      </c>
      <c r="AM7" s="37" t="str">
        <f>Games!I21</f>
        <v>Mount St. Mary's</v>
      </c>
      <c r="AN7" s="27">
        <v>16</v>
      </c>
      <c r="AO7" s="257"/>
      <c r="AQ7" s="267"/>
    </row>
    <row r="8" spans="1:47" ht="10.199999999999999" customHeight="1" thickBot="1" x14ac:dyDescent="0.35">
      <c r="A8" s="16"/>
      <c r="B8" s="28"/>
      <c r="C8" s="38"/>
      <c r="D8" s="71"/>
      <c r="F8" s="238"/>
      <c r="G8" s="15"/>
      <c r="H8" s="50"/>
      <c r="I8" s="230"/>
      <c r="J8" s="246"/>
      <c r="K8" s="234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34"/>
      <c r="AF8" s="269"/>
      <c r="AG8" s="236"/>
      <c r="AH8" s="56"/>
      <c r="AJ8" s="238"/>
      <c r="AM8" s="39"/>
      <c r="AN8" s="28"/>
      <c r="AO8" s="17"/>
      <c r="AQ8" s="267"/>
    </row>
    <row r="9" spans="1:47" ht="18.600000000000001" customHeight="1" thickBot="1" x14ac:dyDescent="0.35">
      <c r="A9" s="16"/>
      <c r="B9" s="27">
        <v>8</v>
      </c>
      <c r="C9" s="36" t="str">
        <f>Games!G6</f>
        <v>Louisville</v>
      </c>
      <c r="D9" s="70" t="e" vm="67">
        <f>_xlfn.XLOOKUP(C9,Teams!$C:$C,Teams!$E:$E,,0,1)</f>
        <v>#VALUE!</v>
      </c>
      <c r="E9" s="46">
        <f ca="1">Games!L6</f>
        <v>95</v>
      </c>
      <c r="F9" s="235" t="str">
        <f ca="1">Games!O6</f>
        <v>Creighton</v>
      </c>
      <c r="G9" s="245" t="e" vm="68">
        <f ca="1">_xlfn.XLOOKUP(F9,Teams!$C:$C,Teams!$E:$E,,0,1)</f>
        <v>#VALUE!</v>
      </c>
      <c r="H9" s="231">
        <f ca="1">Games!N38</f>
        <v>97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40">
        <f ca="1">Games!N46</f>
        <v>104</v>
      </c>
      <c r="AI9" s="268" t="e" vm="100">
        <f ca="1">_xlfn.XLOOKUP(AJ9,Teams!$C:$C,Teams!$E:$E,,0,1)</f>
        <v>#VALUE!</v>
      </c>
      <c r="AJ9" s="235" t="str">
        <f ca="1">Games!O22</f>
        <v>Baylor</v>
      </c>
      <c r="AK9" s="58">
        <f ca="1">Games!L22</f>
        <v>95</v>
      </c>
      <c r="AL9" s="46" t="e" vm="99">
        <f>_xlfn.XLOOKUP(AM9,Teams!$C:$C,Teams!$E:$E,,0,1)</f>
        <v>#VALUE!</v>
      </c>
      <c r="AM9" s="37" t="str">
        <f>Games!G22</f>
        <v>Mississippi State</v>
      </c>
      <c r="AN9" s="27">
        <v>8</v>
      </c>
      <c r="AO9" s="17"/>
      <c r="AQ9" s="267"/>
    </row>
    <row r="10" spans="1:47" ht="10.5" customHeight="1" thickBot="1" x14ac:dyDescent="0.35">
      <c r="A10" s="258">
        <f>IF($AU$5=TRUE,A6+1,"")</f>
        <v>2</v>
      </c>
      <c r="B10" s="28"/>
      <c r="C10" s="38"/>
      <c r="D10" s="71"/>
      <c r="E10" s="47"/>
      <c r="F10" s="236"/>
      <c r="G10" s="246"/>
      <c r="H10" s="232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41"/>
      <c r="AI10" s="269"/>
      <c r="AJ10" s="236"/>
      <c r="AK10" s="55"/>
      <c r="AM10" s="39"/>
      <c r="AN10" s="28"/>
      <c r="AO10" s="257">
        <f>IF($AU$5=TRUE,AO6+1,"")</f>
        <v>18</v>
      </c>
      <c r="AQ10" s="267"/>
    </row>
    <row r="11" spans="1:47" ht="13.8" customHeight="1" thickBot="1" x14ac:dyDescent="0.35">
      <c r="A11" s="258"/>
      <c r="B11" s="27">
        <v>9</v>
      </c>
      <c r="C11" s="36" t="str">
        <f>Games!I6</f>
        <v>Creighton</v>
      </c>
      <c r="D11" s="70" t="e" vm="68">
        <f>_xlfn.XLOOKUP(C11,Teams!$C:$C,Teams!$E:$E,,0,1)</f>
        <v>#VALUE!</v>
      </c>
      <c r="E11" s="48">
        <f ca="1">Games!N6</f>
        <v>103</v>
      </c>
      <c r="F11" s="24"/>
      <c r="G11" s="24"/>
      <c r="I11" s="238">
        <f>IF($AU$5=TRUE,AJ63+1,"")</f>
        <v>49</v>
      </c>
      <c r="J11" s="15"/>
      <c r="K11" s="50"/>
      <c r="L11" s="229" t="str">
        <f ca="1">Games!O55</f>
        <v>Auburn</v>
      </c>
      <c r="M11" s="245" t="e" vm="65">
        <f ca="1">_xlfn.XLOOKUP(L11,Teams!$C:$C,Teams!$E:$E,,0,1)</f>
        <v>#VALUE!</v>
      </c>
      <c r="N11" s="233">
        <f ca="1">Games!L64</f>
        <v>120</v>
      </c>
      <c r="O11" s="25"/>
      <c r="P11" s="25"/>
      <c r="R11" s="25"/>
      <c r="S11" s="25"/>
      <c r="T11" s="270" t="e" vm="65">
        <f ca="1">_xlfn.XLOOKUP(S32,Teams!$C:$C,Teams!$E:$E,,0,1)</f>
        <v>#VALUE!</v>
      </c>
      <c r="U11" s="271"/>
      <c r="V11" s="272"/>
      <c r="W11" s="25"/>
      <c r="X11" s="25"/>
      <c r="AA11" s="25"/>
      <c r="AB11" s="233">
        <f ca="1">Games!L66</f>
        <v>104</v>
      </c>
      <c r="AC11" s="247" t="e" vm="101">
        <f ca="1">_xlfn.XLOOKUP(AD11,Teams!$C:$C,Teams!$E:$E,,0,1)</f>
        <v>#VALUE!</v>
      </c>
      <c r="AD11" s="235" t="str">
        <f ca="1">Games!O59</f>
        <v>Oregon</v>
      </c>
      <c r="AE11" s="56"/>
      <c r="AG11" s="238">
        <f>IF($AU$5=TRUE,I59+1,"")</f>
        <v>53</v>
      </c>
      <c r="AJ11" s="24"/>
      <c r="AK11" s="59">
        <f ca="1">Games!N22</f>
        <v>112</v>
      </c>
      <c r="AL11" s="46" t="e" vm="100">
        <f>_xlfn.XLOOKUP(AM11,Teams!$C:$C,Teams!$E:$E,,0,1)</f>
        <v>#VALUE!</v>
      </c>
      <c r="AM11" s="37" t="str">
        <f>Games!I22</f>
        <v>Baylor</v>
      </c>
      <c r="AN11" s="27">
        <v>9</v>
      </c>
      <c r="AO11" s="257"/>
      <c r="AQ11" s="267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38"/>
      <c r="J12" s="15"/>
      <c r="K12" s="50"/>
      <c r="L12" s="230"/>
      <c r="M12" s="246"/>
      <c r="N12" s="234"/>
      <c r="O12" s="25"/>
      <c r="P12" s="25"/>
      <c r="R12" s="25"/>
      <c r="S12" s="25"/>
      <c r="T12" s="273"/>
      <c r="U12" s="256"/>
      <c r="V12" s="274"/>
      <c r="W12" s="25"/>
      <c r="X12" s="25"/>
      <c r="AA12" s="25"/>
      <c r="AB12" s="234"/>
      <c r="AC12" s="248"/>
      <c r="AD12" s="236"/>
      <c r="AE12" s="56"/>
      <c r="AG12" s="238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Michigan</v>
      </c>
      <c r="D13" s="70" t="e" vm="69">
        <f>_xlfn.XLOOKUP(C13,Teams!$C:$C,Teams!$E:$E,,0,1)</f>
        <v>#VALUE!</v>
      </c>
      <c r="E13" s="46">
        <f ca="1">Games!L7</f>
        <v>92</v>
      </c>
      <c r="F13" s="235" t="str">
        <f ca="1">Games!O7</f>
        <v>UC San Diego</v>
      </c>
      <c r="G13" s="245" t="e" vm="70">
        <f ca="1">_xlfn.XLOOKUP(F13,Teams!$C:$C,Teams!$E:$E,,0,1)</f>
        <v>#VALUE!</v>
      </c>
      <c r="H13" s="233">
        <f ca="1">Games!L39</f>
        <v>115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73"/>
      <c r="U13" s="256"/>
      <c r="V13" s="274"/>
      <c r="W13" s="25"/>
      <c r="X13" s="25"/>
      <c r="AA13" s="25"/>
      <c r="AB13" s="55"/>
      <c r="AD13" s="25"/>
      <c r="AE13" s="56"/>
      <c r="AG13" s="24"/>
      <c r="AH13" s="233">
        <f ca="1">Games!L47</f>
        <v>108</v>
      </c>
      <c r="AI13" s="247" t="e" vm="101">
        <f ca="1">_xlfn.XLOOKUP(AJ13,Teams!$C:$C,Teams!$E:$E,,0,1)</f>
        <v>#VALUE!</v>
      </c>
      <c r="AJ13" s="235" t="str">
        <f ca="1">Games!O23</f>
        <v>Oregon</v>
      </c>
      <c r="AK13" s="58">
        <f ca="1">Games!L23</f>
        <v>105</v>
      </c>
      <c r="AL13" s="46" t="e" vm="101">
        <f>_xlfn.XLOOKUP(AM13,Teams!$C:$C,Teams!$E:$E,,0,1)</f>
        <v>#VALUE!</v>
      </c>
      <c r="AM13" s="37" t="str">
        <f>Games!G23</f>
        <v>Oregon</v>
      </c>
      <c r="AN13" s="27">
        <v>5</v>
      </c>
      <c r="AO13" s="17"/>
      <c r="AQ13" s="9"/>
    </row>
    <row r="14" spans="1:47" ht="10.5" customHeight="1" thickBot="1" x14ac:dyDescent="0.35">
      <c r="A14" s="238">
        <f>IF($AU$5=TRUE,A10+1,"")</f>
        <v>3</v>
      </c>
      <c r="B14" s="28"/>
      <c r="C14" s="38"/>
      <c r="D14" s="71"/>
      <c r="E14" s="49"/>
      <c r="F14" s="236"/>
      <c r="G14" s="246"/>
      <c r="H14" s="234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73"/>
      <c r="U14" s="256"/>
      <c r="V14" s="274"/>
      <c r="W14" s="25"/>
      <c r="X14" s="25"/>
      <c r="AA14" s="25"/>
      <c r="AB14" s="56"/>
      <c r="AD14" s="25"/>
      <c r="AE14" s="56"/>
      <c r="AG14" s="24"/>
      <c r="AH14" s="234"/>
      <c r="AI14" s="248"/>
      <c r="AJ14" s="236"/>
      <c r="AK14" s="55"/>
      <c r="AM14" s="39"/>
      <c r="AN14" s="28"/>
      <c r="AO14" s="257">
        <f>IF($AU$5=TRUE,AO10+1,"")</f>
        <v>19</v>
      </c>
      <c r="AQ14" s="267"/>
    </row>
    <row r="15" spans="1:47" ht="13.8" customHeight="1" thickBot="1" x14ac:dyDescent="0.35">
      <c r="A15" s="238"/>
      <c r="B15" s="27">
        <v>12</v>
      </c>
      <c r="C15" s="36" t="str">
        <f>Games!I7</f>
        <v>UC San Diego</v>
      </c>
      <c r="D15" s="70" t="e" vm="70">
        <f>_xlfn.XLOOKUP(C15,Teams!$C:$C,Teams!$E:$E,,0,1)</f>
        <v>#VALUE!</v>
      </c>
      <c r="E15" s="48">
        <f ca="1">Games!N7</f>
        <v>96</v>
      </c>
      <c r="F15" s="237">
        <f>IF($AU$5=TRUE,F7+1,"")</f>
        <v>34</v>
      </c>
      <c r="G15" s="14"/>
      <c r="H15" s="49"/>
      <c r="I15" s="229" t="str">
        <f ca="1">Games!O39</f>
        <v>UC San Diego</v>
      </c>
      <c r="J15" s="245" t="e" vm="70">
        <f ca="1">_xlfn.XLOOKUP(I15,Teams!$C:$C,Teams!$E:$E,,0,1)</f>
        <v>#VALUE!</v>
      </c>
      <c r="K15" s="231">
        <f ca="1">Games!N55</f>
        <v>93</v>
      </c>
      <c r="L15" s="25"/>
      <c r="M15" s="25"/>
      <c r="N15" s="50"/>
      <c r="O15" s="25"/>
      <c r="P15" s="25"/>
      <c r="R15" s="25"/>
      <c r="S15" s="25"/>
      <c r="T15" s="273"/>
      <c r="U15" s="256"/>
      <c r="V15" s="274"/>
      <c r="W15" s="25"/>
      <c r="X15" s="25"/>
      <c r="AA15" s="25"/>
      <c r="AB15" s="56"/>
      <c r="AD15" s="25"/>
      <c r="AE15" s="240">
        <f ca="1">Games!N59</f>
        <v>106</v>
      </c>
      <c r="AF15" s="247" t="e" vm="101">
        <f ca="1">_xlfn.XLOOKUP(AG15,Teams!$C:$C,Teams!$E:$E,,0,1)</f>
        <v>#VALUE!</v>
      </c>
      <c r="AG15" s="235" t="str">
        <f ca="1">Games!O47</f>
        <v>Oregon</v>
      </c>
      <c r="AH15" s="55"/>
      <c r="AI15" s="51"/>
      <c r="AJ15" s="237">
        <f>IF($AU$5=TRUE,AJ7+1,"")</f>
        <v>42</v>
      </c>
      <c r="AK15" s="59">
        <f ca="1">Games!N23</f>
        <v>90</v>
      </c>
      <c r="AL15" s="46" t="e" vm="102">
        <f>_xlfn.XLOOKUP(AM15,Teams!$C:$C,Teams!$E:$E,,0,1)</f>
        <v>#VALUE!</v>
      </c>
      <c r="AM15" s="37" t="str">
        <f>Games!I23</f>
        <v>Liberty</v>
      </c>
      <c r="AN15" s="27">
        <v>12</v>
      </c>
      <c r="AO15" s="257"/>
      <c r="AQ15" s="267"/>
    </row>
    <row r="16" spans="1:47" ht="10.5" customHeight="1" thickBot="1" x14ac:dyDescent="0.35">
      <c r="A16" s="16"/>
      <c r="B16" s="28"/>
      <c r="C16" s="38"/>
      <c r="D16" s="71"/>
      <c r="F16" s="238"/>
      <c r="G16" s="15"/>
      <c r="H16" s="50"/>
      <c r="I16" s="230"/>
      <c r="J16" s="246"/>
      <c r="K16" s="232"/>
      <c r="L16" s="25"/>
      <c r="M16" s="25"/>
      <c r="N16" s="50"/>
      <c r="O16" s="25"/>
      <c r="P16" s="25"/>
      <c r="R16" s="25"/>
      <c r="S16" s="25"/>
      <c r="T16" s="273"/>
      <c r="U16" s="256"/>
      <c r="V16" s="274"/>
      <c r="W16" s="25"/>
      <c r="X16" s="25"/>
      <c r="AA16" s="25"/>
      <c r="AB16" s="56"/>
      <c r="AD16" s="25"/>
      <c r="AE16" s="241"/>
      <c r="AF16" s="248"/>
      <c r="AG16" s="236"/>
      <c r="AH16" s="56"/>
      <c r="AJ16" s="238"/>
      <c r="AM16" s="39"/>
      <c r="AN16" s="28"/>
      <c r="AO16" s="17"/>
      <c r="AQ16" s="267"/>
    </row>
    <row r="17" spans="1:43" ht="18.600000000000001" customHeight="1" thickBot="1" x14ac:dyDescent="0.35">
      <c r="A17" s="16"/>
      <c r="B17" s="27">
        <v>4</v>
      </c>
      <c r="C17" s="36" t="str">
        <f>Games!G8</f>
        <v>Texas A&amp;M</v>
      </c>
      <c r="D17" s="70" t="e" vm="71">
        <f>_xlfn.XLOOKUP(C17,Teams!$C:$C,Teams!$E:$E,,0,1)</f>
        <v>#VALUE!</v>
      </c>
      <c r="E17" s="46">
        <f ca="1">Games!L8</f>
        <v>97</v>
      </c>
      <c r="F17" s="235" t="str">
        <f ca="1">Games!O8</f>
        <v>Yale</v>
      </c>
      <c r="G17" s="245" t="e" vm="72">
        <f ca="1">_xlfn.XLOOKUP(F17,Teams!$C:$C,Teams!$E:$E,,0,1)</f>
        <v>#VALUE!</v>
      </c>
      <c r="H17" s="231">
        <f ca="1">Games!N39</f>
        <v>93</v>
      </c>
      <c r="I17" s="24"/>
      <c r="J17" s="24"/>
      <c r="L17" s="25"/>
      <c r="M17" s="25"/>
      <c r="N17" s="50"/>
      <c r="O17" s="25"/>
      <c r="P17" s="25"/>
      <c r="R17" s="25"/>
      <c r="S17" s="25"/>
      <c r="T17" s="273"/>
      <c r="U17" s="256"/>
      <c r="V17" s="274"/>
      <c r="W17" s="25"/>
      <c r="X17" s="25"/>
      <c r="AA17" s="25"/>
      <c r="AB17" s="56"/>
      <c r="AD17" s="25"/>
      <c r="AG17" s="24"/>
      <c r="AH17" s="240">
        <f ca="1">Games!N47</f>
        <v>98</v>
      </c>
      <c r="AI17" s="247" t="e" vm="104">
        <f ca="1">_xlfn.XLOOKUP(AJ17,Teams!$C:$C,Teams!$E:$E,,0,1)</f>
        <v>#VALUE!</v>
      </c>
      <c r="AJ17" s="235" t="str">
        <f ca="1">Games!O24</f>
        <v>Akron</v>
      </c>
      <c r="AK17" s="58">
        <f ca="1">Games!L24</f>
        <v>95</v>
      </c>
      <c r="AL17" s="46" t="e" vm="103">
        <f>_xlfn.XLOOKUP(AM17,Teams!$C:$C,Teams!$E:$E,,0,1)</f>
        <v>#VALUE!</v>
      </c>
      <c r="AM17" s="37" t="str">
        <f>Games!G24</f>
        <v>Arizona</v>
      </c>
      <c r="AN17" s="27">
        <v>4</v>
      </c>
      <c r="AO17" s="17"/>
      <c r="AQ17" s="267"/>
    </row>
    <row r="18" spans="1:43" ht="10.5" customHeight="1" thickBot="1" x14ac:dyDescent="0.35">
      <c r="A18" s="238">
        <f>IF($AU$5=TRUE,A14+1,"")</f>
        <v>4</v>
      </c>
      <c r="B18" s="28"/>
      <c r="C18" s="38"/>
      <c r="D18" s="71"/>
      <c r="E18" s="49"/>
      <c r="F18" s="236"/>
      <c r="G18" s="246"/>
      <c r="H18" s="232"/>
      <c r="I18" s="24"/>
      <c r="J18" s="24"/>
      <c r="L18" s="25"/>
      <c r="M18" s="25"/>
      <c r="N18" s="50"/>
      <c r="O18" s="25"/>
      <c r="P18" s="25"/>
      <c r="R18" s="25"/>
      <c r="S18" s="25"/>
      <c r="T18" s="273"/>
      <c r="U18" s="256"/>
      <c r="V18" s="274"/>
      <c r="W18" s="25"/>
      <c r="X18" s="25"/>
      <c r="AA18" s="25"/>
      <c r="AB18" s="56"/>
      <c r="AD18" s="25"/>
      <c r="AG18" s="24"/>
      <c r="AH18" s="241"/>
      <c r="AI18" s="248"/>
      <c r="AJ18" s="236"/>
      <c r="AK18" s="55"/>
      <c r="AM18" s="39"/>
      <c r="AN18" s="28"/>
      <c r="AO18" s="257">
        <f>IF($AU$5=TRUE,AO14+1,"")</f>
        <v>20</v>
      </c>
      <c r="AQ18" s="267"/>
    </row>
    <row r="19" spans="1:43" ht="13.8" customHeight="1" thickBot="1" x14ac:dyDescent="0.45">
      <c r="A19" s="238"/>
      <c r="B19" s="27">
        <v>13</v>
      </c>
      <c r="C19" s="36" t="str">
        <f>Games!I8</f>
        <v>Yale</v>
      </c>
      <c r="D19" s="70" t="e" vm="72">
        <f>_xlfn.XLOOKUP(C19,Teams!$C:$C,Teams!$E:$E,,0,1)</f>
        <v>#VALUE!</v>
      </c>
      <c r="E19" s="48">
        <f ca="1">Games!N8</f>
        <v>112</v>
      </c>
      <c r="F19" s="24"/>
      <c r="G19" s="24"/>
      <c r="I19" s="24"/>
      <c r="J19" s="24"/>
      <c r="K19" s="244" t="s">
        <v>15</v>
      </c>
      <c r="L19" s="244"/>
      <c r="M19" s="20"/>
      <c r="N19" s="50"/>
      <c r="O19" s="229" t="str">
        <f ca="1">Games!O64</f>
        <v>Auburn</v>
      </c>
      <c r="P19" s="245" t="e" vm="65">
        <f ca="1">_xlfn.XLOOKUP(O19,Teams!$C:$C,Teams!$E:$E,,0,1)</f>
        <v>#VALUE!</v>
      </c>
      <c r="Q19" s="233">
        <f ca="1">Games!L69</f>
        <v>117</v>
      </c>
      <c r="R19" s="25"/>
      <c r="S19" s="25"/>
      <c r="T19" s="275"/>
      <c r="U19" s="276"/>
      <c r="V19" s="277"/>
      <c r="W19" s="25"/>
      <c r="X19" s="25"/>
      <c r="Y19" s="233">
        <f ca="1">Games!L70</f>
        <v>101</v>
      </c>
      <c r="Z19" s="247" t="e" vm="108">
        <f ca="1">_xlfn.XLOOKUP(AA19,Teams!$C:$C,Teams!$E:$E,,0,1)</f>
        <v>#VALUE!</v>
      </c>
      <c r="AA19" s="235" t="str">
        <f ca="1">Games!O66</f>
        <v>Montana</v>
      </c>
      <c r="AB19" s="56"/>
      <c r="AD19" s="244" t="s">
        <v>3</v>
      </c>
      <c r="AE19" s="244"/>
      <c r="AF19" s="20"/>
      <c r="AG19" s="24"/>
      <c r="AJ19" s="24"/>
      <c r="AK19" s="59">
        <f ca="1">Games!N24</f>
        <v>111</v>
      </c>
      <c r="AL19" s="46" t="e" vm="104">
        <f>_xlfn.XLOOKUP(AM19,Teams!$C:$C,Teams!$E:$E,,0,1)</f>
        <v>#VALUE!</v>
      </c>
      <c r="AM19" s="37" t="str">
        <f>Games!I24</f>
        <v>Akron</v>
      </c>
      <c r="AN19" s="27">
        <v>13</v>
      </c>
      <c r="AO19" s="257"/>
      <c r="AQ19" s="267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44"/>
      <c r="L20" s="244"/>
      <c r="M20" s="20"/>
      <c r="N20" s="50"/>
      <c r="O20" s="230"/>
      <c r="P20" s="246"/>
      <c r="Q20" s="234"/>
      <c r="R20" s="25"/>
      <c r="S20" s="25"/>
      <c r="T20" s="25"/>
      <c r="U20" s="75"/>
      <c r="V20" s="25"/>
      <c r="W20" s="25"/>
      <c r="X20" s="25"/>
      <c r="Y20" s="234"/>
      <c r="Z20" s="248"/>
      <c r="AA20" s="236"/>
      <c r="AB20" s="56"/>
      <c r="AD20" s="244"/>
      <c r="AE20" s="244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38">
        <f>IF($AU$5=TRUE,A18+1,"")</f>
        <v>5</v>
      </c>
      <c r="B21" s="27">
        <v>6</v>
      </c>
      <c r="C21" s="36" t="str">
        <f>Games!G9</f>
        <v>Mississippi</v>
      </c>
      <c r="D21" s="70" t="e" vm="73">
        <f>_xlfn.XLOOKUP(C21,Teams!$C:$C,Teams!$E:$E,,0,1)</f>
        <v>#VALUE!</v>
      </c>
      <c r="E21" s="46">
        <f ca="1">Games!L9</f>
        <v>105</v>
      </c>
      <c r="F21" s="235" t="str">
        <f ca="1">Games!O9</f>
        <v>North Carolina</v>
      </c>
      <c r="G21" s="245" t="e" vm="74">
        <f ca="1">_xlfn.XLOOKUP(F21,Teams!$C:$C,Teams!$E:$E,,0,1)</f>
        <v>#VALUE!</v>
      </c>
      <c r="H21" s="233">
        <f ca="1">Games!L40</f>
        <v>112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33">
        <f ca="1">Games!L48</f>
        <v>94</v>
      </c>
      <c r="AI21" s="247" t="e" vm="105">
        <f ca="1">_xlfn.XLOOKUP(AJ21,Teams!$C:$C,Teams!$E:$E,,0,1)</f>
        <v>#VALUE!</v>
      </c>
      <c r="AJ21" s="235" t="str">
        <f ca="1">Games!O25</f>
        <v>Brigham Young</v>
      </c>
      <c r="AK21" s="58">
        <f ca="1">Games!L25</f>
        <v>108</v>
      </c>
      <c r="AL21" s="46" t="e" vm="105">
        <f>_xlfn.XLOOKUP(AM21,Teams!$C:$C,Teams!$E:$E,,0,1)</f>
        <v>#VALUE!</v>
      </c>
      <c r="AM21" s="37" t="str">
        <f>Games!G25</f>
        <v>Brigham Young</v>
      </c>
      <c r="AN21" s="27">
        <v>6</v>
      </c>
      <c r="AO21" s="17"/>
      <c r="AQ21" s="9"/>
    </row>
    <row r="22" spans="1:43" ht="10.5" customHeight="1" thickBot="1" x14ac:dyDescent="0.35">
      <c r="A22" s="238"/>
      <c r="B22" s="28"/>
      <c r="C22" s="38"/>
      <c r="D22" s="71"/>
      <c r="E22" s="49"/>
      <c r="F22" s="236"/>
      <c r="G22" s="246"/>
      <c r="H22" s="234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34"/>
      <c r="AI22" s="248"/>
      <c r="AJ22" s="236"/>
      <c r="AK22" s="55"/>
      <c r="AM22" s="39"/>
      <c r="AN22" s="28"/>
      <c r="AO22" s="257">
        <f>IF($AU$5=TRUE,AO18+1,"")</f>
        <v>21</v>
      </c>
      <c r="AQ22" s="267"/>
    </row>
    <row r="23" spans="1:43" ht="13.8" customHeight="1" thickBot="1" x14ac:dyDescent="0.35">
      <c r="A23" s="16"/>
      <c r="B23" s="27">
        <v>11</v>
      </c>
      <c r="C23" s="40" t="str">
        <f>Games!I9</f>
        <v>North Carolina</v>
      </c>
      <c r="D23" s="70" t="e" vm="74">
        <f>_xlfn.XLOOKUP(C23,Teams!$C:$C,Teams!$E:$E,,0,1)</f>
        <v>#VALUE!</v>
      </c>
      <c r="E23" s="48">
        <f ca="1">Games!N9</f>
        <v>111</v>
      </c>
      <c r="F23" s="237">
        <f>IF($AU$5=TRUE,F15+1,"")</f>
        <v>35</v>
      </c>
      <c r="G23" s="14"/>
      <c r="H23" s="49"/>
      <c r="I23" s="229" t="str">
        <f ca="1">Games!O40</f>
        <v>North Carolina</v>
      </c>
      <c r="J23" s="245" t="e" vm="74">
        <f ca="1">_xlfn.XLOOKUP(I23,Teams!$C:$C,Teams!$E:$E,,0,1)</f>
        <v>#VALUE!</v>
      </c>
      <c r="K23" s="233">
        <f ca="1">Games!L56</f>
        <v>102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33">
        <f ca="1">Games!L60</f>
        <v>114</v>
      </c>
      <c r="AF23" s="247" t="e" vm="108">
        <f ca="1">_xlfn.XLOOKUP(AG23,Teams!$C:$C,Teams!$E:$E,,0,1)</f>
        <v>#VALUE!</v>
      </c>
      <c r="AG23" s="235" t="str">
        <f ca="1">Games!O48</f>
        <v>Montana</v>
      </c>
      <c r="AH23" s="55"/>
      <c r="AI23" s="51"/>
      <c r="AJ23" s="237">
        <f>IF($AU$5=TRUE,AJ15+1,"")</f>
        <v>43</v>
      </c>
      <c r="AK23" s="59">
        <f ca="1">Games!N25</f>
        <v>96</v>
      </c>
      <c r="AL23" s="46" t="e" vm="106">
        <f>_xlfn.XLOOKUP(AM23,Teams!$C:$C,Teams!$E:$E,,0,1)</f>
        <v>#VALUE!</v>
      </c>
      <c r="AM23" s="37" t="str">
        <f>Games!I25</f>
        <v>Virginia Commonwealth</v>
      </c>
      <c r="AN23" s="27">
        <v>11</v>
      </c>
      <c r="AO23" s="257"/>
      <c r="AQ23" s="267"/>
    </row>
    <row r="24" spans="1:43" ht="10.5" customHeight="1" thickBot="1" x14ac:dyDescent="0.35">
      <c r="A24" s="16"/>
      <c r="B24" s="28"/>
      <c r="C24" s="38"/>
      <c r="D24" s="71"/>
      <c r="F24" s="238"/>
      <c r="G24" s="15"/>
      <c r="H24" s="50"/>
      <c r="I24" s="230"/>
      <c r="J24" s="246"/>
      <c r="K24" s="234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34"/>
      <c r="AF24" s="248"/>
      <c r="AG24" s="236"/>
      <c r="AH24" s="56"/>
      <c r="AJ24" s="238"/>
      <c r="AM24" s="39"/>
      <c r="AN24" s="28"/>
      <c r="AO24" s="17"/>
      <c r="AQ24" s="267"/>
    </row>
    <row r="25" spans="1:43" ht="18.600000000000001" customHeight="1" thickBot="1" x14ac:dyDescent="0.35">
      <c r="A25" s="16"/>
      <c r="B25" s="27">
        <v>3</v>
      </c>
      <c r="C25" s="36" t="str">
        <f>Games!G10</f>
        <v>Iowa State</v>
      </c>
      <c r="D25" s="70" t="e" vm="75">
        <f>_xlfn.XLOOKUP(C25,Teams!$C:$C,Teams!$E:$E,,0,1)</f>
        <v>#VALUE!</v>
      </c>
      <c r="E25" s="46">
        <f ca="1">Games!L10</f>
        <v>93</v>
      </c>
      <c r="F25" s="235" t="str">
        <f ca="1">Games!O10</f>
        <v>Lipscomb</v>
      </c>
      <c r="G25" s="245" t="e" vm="76">
        <f ca="1">_xlfn.XLOOKUP(F25,Teams!$C:$C,Teams!$E:$E,,0,1)</f>
        <v>#VALUE!</v>
      </c>
      <c r="H25" s="231">
        <f ca="1">Games!N40</f>
        <v>104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40">
        <f ca="1">Games!N48</f>
        <v>109</v>
      </c>
      <c r="AI25" s="247" t="e" vm="108">
        <f ca="1">_xlfn.XLOOKUP(AJ25,Teams!$C:$C,Teams!$E:$E,,0,1)</f>
        <v>#VALUE!</v>
      </c>
      <c r="AJ25" s="235" t="str">
        <f ca="1">Games!O26</f>
        <v>Montana</v>
      </c>
      <c r="AK25" s="58">
        <f ca="1">Games!L26</f>
        <v>101</v>
      </c>
      <c r="AL25" s="46" t="e" vm="107">
        <f>_xlfn.XLOOKUP(AM25,Teams!$C:$C,Teams!$E:$E,,0,1)</f>
        <v>#VALUE!</v>
      </c>
      <c r="AM25" s="37" t="str">
        <f>Games!G26</f>
        <v>Wisconsin</v>
      </c>
      <c r="AN25" s="27">
        <v>3</v>
      </c>
      <c r="AO25" s="17"/>
      <c r="AQ25" s="267"/>
    </row>
    <row r="26" spans="1:43" ht="10.5" customHeight="1" thickBot="1" x14ac:dyDescent="0.35">
      <c r="A26" s="238">
        <f>IF($AU$5=TRUE,A21+1,"")</f>
        <v>6</v>
      </c>
      <c r="B26" s="28"/>
      <c r="C26" s="38"/>
      <c r="D26" s="71"/>
      <c r="E26" s="49"/>
      <c r="F26" s="236"/>
      <c r="G26" s="246"/>
      <c r="H26" s="232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41"/>
      <c r="AI26" s="248"/>
      <c r="AJ26" s="236"/>
      <c r="AK26" s="55"/>
      <c r="AM26" s="39"/>
      <c r="AN26" s="28"/>
      <c r="AO26" s="257">
        <f>IF($AU$5=TRUE,AO22+1,"")</f>
        <v>22</v>
      </c>
      <c r="AQ26" s="267"/>
    </row>
    <row r="27" spans="1:43" ht="13.8" customHeight="1" thickBot="1" x14ac:dyDescent="0.35">
      <c r="A27" s="238"/>
      <c r="B27" s="27">
        <v>14</v>
      </c>
      <c r="C27" s="36" t="str">
        <f>Games!I10</f>
        <v>Lipscomb</v>
      </c>
      <c r="D27" s="70" t="e" vm="76">
        <f>_xlfn.XLOOKUP(C27,Teams!$C:$C,Teams!$E:$E,,0,1)</f>
        <v>#VALUE!</v>
      </c>
      <c r="E27" s="48">
        <f ca="1">Games!N10</f>
        <v>94</v>
      </c>
      <c r="F27" s="24"/>
      <c r="G27" s="24"/>
      <c r="I27" s="238">
        <f>IF($AU$5=TRUE,I11+1,"")</f>
        <v>50</v>
      </c>
      <c r="J27" s="15"/>
      <c r="K27" s="50"/>
      <c r="L27" s="229" t="str">
        <f ca="1">Games!O56</f>
        <v>North Carolina</v>
      </c>
      <c r="M27" s="245" t="e" vm="74">
        <f ca="1">_xlfn.XLOOKUP(L27,Teams!$C:$C,Teams!$E:$E,,0,1)</f>
        <v>#VALUE!</v>
      </c>
      <c r="N27" s="231">
        <f ca="1">Games!N64</f>
        <v>109</v>
      </c>
      <c r="O27" s="25"/>
      <c r="P27" s="25"/>
      <c r="Q27" s="50"/>
      <c r="R27" s="229" t="str">
        <f ca="1">Games!O69</f>
        <v>Auburn</v>
      </c>
      <c r="S27" s="235"/>
      <c r="T27" s="235"/>
      <c r="U27" s="263" t="e" vm="65">
        <f ca="1">_xlfn.XLOOKUP(R27,Teams!$C:$C,Teams!$E:$E,,0,1)</f>
        <v>#VALUE!</v>
      </c>
      <c r="V27" s="242">
        <f ca="1">Games!L72</f>
        <v>114</v>
      </c>
      <c r="W27" s="24"/>
      <c r="X27" s="25"/>
      <c r="Y27" s="56"/>
      <c r="AA27" s="25"/>
      <c r="AB27" s="240">
        <f ca="1">Games!N66</f>
        <v>114</v>
      </c>
      <c r="AC27" s="247" t="e" vm="108">
        <f ca="1">_xlfn.XLOOKUP(AD27,Teams!$C:$C,Teams!$E:$E,,0,1)</f>
        <v>#VALUE!</v>
      </c>
      <c r="AD27" s="235" t="str">
        <f ca="1">Games!O60</f>
        <v>Montana</v>
      </c>
      <c r="AE27" s="56"/>
      <c r="AG27" s="238">
        <f>IF($AU$5=TRUE,AG11+1,"")</f>
        <v>54</v>
      </c>
      <c r="AJ27" s="24"/>
      <c r="AK27" s="59">
        <f ca="1">Games!N26</f>
        <v>118</v>
      </c>
      <c r="AL27" s="46" t="e" vm="108">
        <f>_xlfn.XLOOKUP(AM27,Teams!$C:$C,Teams!$E:$E,,0,1)</f>
        <v>#VALUE!</v>
      </c>
      <c r="AM27" s="37" t="str">
        <f>Games!I26</f>
        <v>Montana</v>
      </c>
      <c r="AN27" s="27">
        <v>14</v>
      </c>
      <c r="AO27" s="257"/>
      <c r="AQ27" s="267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38"/>
      <c r="J28" s="15"/>
      <c r="K28" s="50"/>
      <c r="L28" s="230"/>
      <c r="M28" s="246"/>
      <c r="N28" s="232"/>
      <c r="O28" s="25"/>
      <c r="P28" s="25"/>
      <c r="Q28" s="50"/>
      <c r="R28" s="230"/>
      <c r="S28" s="236"/>
      <c r="T28" s="236"/>
      <c r="U28" s="264"/>
      <c r="V28" s="243"/>
      <c r="W28" s="24"/>
      <c r="X28" s="25"/>
      <c r="Y28" s="56"/>
      <c r="AA28" s="25"/>
      <c r="AB28" s="241"/>
      <c r="AC28" s="248"/>
      <c r="AD28" s="236"/>
      <c r="AE28" s="56"/>
      <c r="AG28" s="238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Marquette</v>
      </c>
      <c r="D29" s="70" t="e" vm="77">
        <f>_xlfn.XLOOKUP(C29,Teams!$C:$C,Teams!$E:$E,,0,1)</f>
        <v>#VALUE!</v>
      </c>
      <c r="E29" s="46">
        <f ca="1">Games!L11</f>
        <v>94</v>
      </c>
      <c r="F29" s="235" t="str">
        <f ca="1">Games!O11</f>
        <v>New Mexico</v>
      </c>
      <c r="G29" s="245" t="e" vm="78">
        <f ca="1">_xlfn.XLOOKUP(F29,Teams!$C:$C,Teams!$E:$E,,0,1)</f>
        <v>#VALUE!</v>
      </c>
      <c r="H29" s="233">
        <f ca="1">Games!L41</f>
        <v>97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33">
        <f ca="1">Games!L49</f>
        <v>92</v>
      </c>
      <c r="AI29" s="247" t="e" vm="109">
        <f ca="1">_xlfn.XLOOKUP(AJ29,Teams!$C:$C,Teams!$E:$E,,0,1)</f>
        <v>#VALUE!</v>
      </c>
      <c r="AJ29" s="235" t="str">
        <f ca="1">Games!O27</f>
        <v>Saint Mary's (CA)</v>
      </c>
      <c r="AK29" s="58">
        <f ca="1">Games!L27</f>
        <v>119</v>
      </c>
      <c r="AL29" s="46" t="e" vm="109">
        <f>_xlfn.XLOOKUP(AM29,Teams!$C:$C,Teams!$E:$E,,0,1)</f>
        <v>#VALUE!</v>
      </c>
      <c r="AM29" s="37" t="str">
        <f>Games!G27</f>
        <v>Saint Mary's (CA)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38">
        <f>IF($AU$5=TRUE,A26+1,"")</f>
        <v>7</v>
      </c>
      <c r="B30" s="28"/>
      <c r="C30" s="38"/>
      <c r="D30" s="71"/>
      <c r="E30" s="49"/>
      <c r="F30" s="236"/>
      <c r="G30" s="246"/>
      <c r="H30" s="234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34"/>
      <c r="AI30" s="248"/>
      <c r="AJ30" s="236"/>
      <c r="AK30" s="55"/>
      <c r="AM30" s="39"/>
      <c r="AN30" s="28"/>
      <c r="AO30" s="257">
        <f>IF($AU$5=TRUE,AO26+1,"")</f>
        <v>23</v>
      </c>
    </row>
    <row r="31" spans="1:43" ht="14.4" customHeight="1" thickBot="1" x14ac:dyDescent="0.35">
      <c r="A31" s="238"/>
      <c r="B31" s="27">
        <v>10</v>
      </c>
      <c r="C31" s="36" t="str">
        <f>Games!I14</f>
        <v>Oklahoma</v>
      </c>
      <c r="D31" s="70" t="e" vm="84">
        <f>_xlfn.XLOOKUP(C31,Teams!$C:$C,Teams!$E:$E,,0,1)</f>
        <v>#VALUE!</v>
      </c>
      <c r="E31" s="48">
        <f ca="1">Games!N11</f>
        <v>103</v>
      </c>
      <c r="F31" s="237">
        <f>IF($AU$5=TRUE,F23+1,"")</f>
        <v>36</v>
      </c>
      <c r="G31" s="14"/>
      <c r="H31" s="49"/>
      <c r="I31" s="229" t="str">
        <f ca="1">Games!O41</f>
        <v>Bryant</v>
      </c>
      <c r="J31" s="245" t="e" vm="80">
        <f ca="1">_xlfn.XLOOKUP(I31,Teams!$C:$C,Teams!$E:$E,,0,1)</f>
        <v>#VALUE!</v>
      </c>
      <c r="K31" s="231">
        <f ca="1">Games!N56</f>
        <v>97</v>
      </c>
      <c r="L31" s="25"/>
      <c r="M31" s="25"/>
      <c r="O31" s="25"/>
      <c r="P31" s="25"/>
      <c r="Q31" s="50"/>
      <c r="R31" s="4"/>
      <c r="S31" s="256" t="s">
        <v>0</v>
      </c>
      <c r="T31" s="256"/>
      <c r="U31" s="256"/>
      <c r="V31" s="256"/>
      <c r="W31" s="256"/>
      <c r="X31" s="5"/>
      <c r="Y31" s="56"/>
      <c r="AA31" s="25"/>
      <c r="AD31" s="25"/>
      <c r="AE31" s="240">
        <f ca="1">Games!N60</f>
        <v>99</v>
      </c>
      <c r="AF31" s="247" t="e" vm="112">
        <f ca="1">_xlfn.XLOOKUP(AG31,Teams!$C:$C,Teams!$E:$E,,0,1)</f>
        <v>#VALUE!</v>
      </c>
      <c r="AG31" s="235" t="str">
        <f ca="1">Games!O49</f>
        <v>Robert Morris</v>
      </c>
      <c r="AH31" s="55"/>
      <c r="AI31" s="51"/>
      <c r="AJ31" s="237">
        <f>IF($AU$5=TRUE,AJ23+1,"")</f>
        <v>44</v>
      </c>
      <c r="AK31" s="59">
        <f ca="1">Games!N27</f>
        <v>93</v>
      </c>
      <c r="AL31" s="46" t="e" vm="110">
        <f>_xlfn.XLOOKUP(AM31,Teams!$C:$C,Teams!$E:$E,,0,1)</f>
        <v>#VALUE!</v>
      </c>
      <c r="AM31" s="37" t="str">
        <f>Games!I27</f>
        <v>Vanderbilt</v>
      </c>
      <c r="AN31" s="27">
        <v>10</v>
      </c>
      <c r="AO31" s="257"/>
    </row>
    <row r="32" spans="1:43" ht="10.5" customHeight="1" thickBot="1" x14ac:dyDescent="0.35">
      <c r="A32" s="16"/>
      <c r="B32" s="28"/>
      <c r="C32" s="38"/>
      <c r="D32" s="71"/>
      <c r="F32" s="238"/>
      <c r="G32" s="15"/>
      <c r="H32" s="50"/>
      <c r="I32" s="230"/>
      <c r="J32" s="246"/>
      <c r="K32" s="232"/>
      <c r="L32" s="25"/>
      <c r="M32" s="25"/>
      <c r="O32" s="25"/>
      <c r="P32" s="25"/>
      <c r="Q32" s="50"/>
      <c r="R32" s="30"/>
      <c r="S32" s="250" t="str">
        <f ca="1">Games!O72</f>
        <v>Auburn</v>
      </c>
      <c r="T32" s="251"/>
      <c r="U32" s="251"/>
      <c r="V32" s="251"/>
      <c r="W32" s="252"/>
      <c r="X32" s="31"/>
      <c r="Y32" s="56"/>
      <c r="AA32" s="25"/>
      <c r="AD32" s="25"/>
      <c r="AE32" s="241"/>
      <c r="AF32" s="248"/>
      <c r="AG32" s="236"/>
      <c r="AH32" s="56"/>
      <c r="AJ32" s="238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Michigan State</v>
      </c>
      <c r="D33" s="70" t="e" vm="79">
        <f>_xlfn.XLOOKUP(C33,Teams!$C:$C,Teams!$E:$E,,0,1)</f>
        <v>#VALUE!</v>
      </c>
      <c r="E33" s="46">
        <f ca="1">Games!L12</f>
        <v>96</v>
      </c>
      <c r="F33" s="235" t="str">
        <f ca="1">Games!O12</f>
        <v>Bryant</v>
      </c>
      <c r="G33" s="245" t="e" vm="80">
        <f ca="1">_xlfn.XLOOKUP(F33,Teams!$C:$C,Teams!$E:$E,,0,1)</f>
        <v>#VALUE!</v>
      </c>
      <c r="H33" s="231">
        <f ca="1">Games!N41</f>
        <v>110</v>
      </c>
      <c r="I33" s="24"/>
      <c r="J33" s="24"/>
      <c r="L33" s="25"/>
      <c r="M33" s="25"/>
      <c r="O33" s="25"/>
      <c r="P33" s="25"/>
      <c r="Q33" s="50"/>
      <c r="R33" s="30"/>
      <c r="S33" s="253"/>
      <c r="T33" s="254"/>
      <c r="U33" s="254"/>
      <c r="V33" s="254"/>
      <c r="W33" s="255"/>
      <c r="X33" s="31"/>
      <c r="Y33" s="56"/>
      <c r="AA33" s="25"/>
      <c r="AD33" s="25"/>
      <c r="AG33" s="24"/>
      <c r="AH33" s="240">
        <f ca="1">Games!N49</f>
        <v>120</v>
      </c>
      <c r="AI33" s="247" t="e" vm="112">
        <f ca="1">_xlfn.XLOOKUP(AJ33,Teams!$C:$C,Teams!$E:$E,,0,1)</f>
        <v>#VALUE!</v>
      </c>
      <c r="AJ33" s="235" t="str">
        <f ca="1">Games!O28</f>
        <v>Robert Morris</v>
      </c>
      <c r="AK33" s="58">
        <f ca="1">Games!L28</f>
        <v>101</v>
      </c>
      <c r="AL33" s="46" t="e" vm="111">
        <f>_xlfn.XLOOKUP(AM33,Teams!$C:$C,Teams!$E:$E,,0,1)</f>
        <v>#VALUE!</v>
      </c>
      <c r="AM33" s="37" t="str">
        <f>Games!G28</f>
        <v>Alabama</v>
      </c>
      <c r="AN33" s="27">
        <v>2</v>
      </c>
      <c r="AO33" s="17"/>
      <c r="AQ33" s="9"/>
    </row>
    <row r="34" spans="1:43" ht="10.5" customHeight="1" thickBot="1" x14ac:dyDescent="0.35">
      <c r="A34" s="238">
        <f>IF($AU$5=TRUE,A30+1,"")</f>
        <v>8</v>
      </c>
      <c r="B34" s="28"/>
      <c r="C34" s="38"/>
      <c r="D34" s="71"/>
      <c r="E34" s="49"/>
      <c r="F34" s="236"/>
      <c r="G34" s="246"/>
      <c r="H34" s="232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41"/>
      <c r="AI34" s="248"/>
      <c r="AJ34" s="236"/>
      <c r="AK34" s="55"/>
      <c r="AM34" s="39"/>
      <c r="AN34" s="28"/>
      <c r="AO34" s="257">
        <f>IF($AU$5=TRUE,AO30+1,"")</f>
        <v>24</v>
      </c>
      <c r="AQ34" s="267"/>
    </row>
    <row r="35" spans="1:43" ht="16.2" thickBot="1" x14ac:dyDescent="0.35">
      <c r="A35" s="238"/>
      <c r="B35" s="27">
        <v>15</v>
      </c>
      <c r="C35" s="36" t="str">
        <f>Games!I12</f>
        <v>Bryant</v>
      </c>
      <c r="D35" s="70" t="e" vm="80">
        <f>_xlfn.XLOOKUP(C35,Teams!$C:$C,Teams!$E:$E,,0,1)</f>
        <v>#VALUE!</v>
      </c>
      <c r="E35" s="48">
        <f ca="1">Games!N12</f>
        <v>96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38">
        <f>IF($AU$5=TRUE,AA35+1,"")</f>
        <v>63</v>
      </c>
      <c r="U35" s="238"/>
      <c r="V35" s="238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109</v>
      </c>
      <c r="AL35" s="46" t="e" vm="112">
        <f>_xlfn.XLOOKUP(AM35,Teams!$C:$C,Teams!$E:$E,,0,1)</f>
        <v>#VALUE!</v>
      </c>
      <c r="AM35" s="37" t="str">
        <f>Games!I28</f>
        <v>Robert Morris</v>
      </c>
      <c r="AN35" s="27">
        <v>15</v>
      </c>
      <c r="AO35" s="257"/>
      <c r="AQ35" s="267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67"/>
    </row>
    <row r="37" spans="1:43" ht="18.600000000000001" customHeight="1" thickBot="1" x14ac:dyDescent="0.35">
      <c r="A37" s="16"/>
      <c r="B37" s="27">
        <v>1</v>
      </c>
      <c r="C37" s="36" t="str">
        <f>Games!G13</f>
        <v>Florida</v>
      </c>
      <c r="D37" s="70" t="e" vm="81">
        <f>_xlfn.XLOOKUP(C37,Teams!$C:$C,Teams!$E:$E,,0,1)</f>
        <v>#VALUE!</v>
      </c>
      <c r="E37" s="46">
        <f ca="1">Games!L13</f>
        <v>101</v>
      </c>
      <c r="F37" s="235" t="str">
        <f ca="1">Games!O13</f>
        <v>Florida</v>
      </c>
      <c r="G37" s="245" t="e" vm="81">
        <f ca="1">_xlfn.XLOOKUP(F37,Teams!$C:$C,Teams!$E:$E,,0,1)</f>
        <v>#VALUE!</v>
      </c>
      <c r="H37" s="233">
        <f ca="1">Games!L42</f>
        <v>99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33">
        <f ca="1">Games!L50</f>
        <v>118</v>
      </c>
      <c r="AI37" s="247" t="e" vm="114">
        <f ca="1">_xlfn.XLOOKUP(AJ37,Teams!$C:$C,Teams!$E:$E,,0,1)</f>
        <v>#VALUE!</v>
      </c>
      <c r="AJ37" s="235" t="str">
        <f ca="1">Games!O29</f>
        <v>SIU Edwardsville</v>
      </c>
      <c r="AK37" s="58">
        <f ca="1">Games!L29</f>
        <v>100</v>
      </c>
      <c r="AL37" s="46" t="e" vm="113">
        <f>_xlfn.XLOOKUP(AM37,Teams!$C:$C,Teams!$E:$E,,0,1)</f>
        <v>#VALUE!</v>
      </c>
      <c r="AM37" s="37" t="str">
        <f>Games!G29</f>
        <v>Houston</v>
      </c>
      <c r="AN37" s="27">
        <v>1</v>
      </c>
      <c r="AO37" s="17"/>
      <c r="AQ37" s="267"/>
    </row>
    <row r="38" spans="1:43" ht="10.5" customHeight="1" thickBot="1" x14ac:dyDescent="0.35">
      <c r="A38" s="238">
        <f>IF($AU$5=TRUE,A34+1,"")</f>
        <v>9</v>
      </c>
      <c r="B38" s="28"/>
      <c r="C38" s="38"/>
      <c r="D38" s="71"/>
      <c r="E38" s="49"/>
      <c r="F38" s="236"/>
      <c r="G38" s="246"/>
      <c r="H38" s="234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34"/>
      <c r="AI38" s="248"/>
      <c r="AJ38" s="236"/>
      <c r="AK38" s="55"/>
      <c r="AM38" s="39"/>
      <c r="AN38" s="28"/>
      <c r="AO38" s="257">
        <f>IF($AU$5=TRUE,AO34+1,"")</f>
        <v>25</v>
      </c>
    </row>
    <row r="39" spans="1:43" ht="13.8" customHeight="1" thickBot="1" x14ac:dyDescent="0.35">
      <c r="A39" s="238"/>
      <c r="B39" s="27">
        <v>16</v>
      </c>
      <c r="C39" s="36" t="str">
        <f>Games!I13</f>
        <v>Norfolk State</v>
      </c>
      <c r="D39" s="70" t="e" vm="82">
        <f>_xlfn.XLOOKUP(C39,Teams!$C:$C,Teams!$E:$E,,0,1)</f>
        <v>#VALUE!</v>
      </c>
      <c r="E39" s="48">
        <f ca="1">Games!N13</f>
        <v>96</v>
      </c>
      <c r="F39" s="237">
        <f>IF($AU$5=TRUE,F31+1,"")</f>
        <v>37</v>
      </c>
      <c r="G39" s="14"/>
      <c r="H39" s="49"/>
      <c r="I39" s="229" t="str">
        <f ca="1">Games!O42</f>
        <v>Oklahoma</v>
      </c>
      <c r="J39" s="245" t="e" vm="84">
        <f ca="1">_xlfn.XLOOKUP(I39,Teams!$C:$C,Teams!$E:$E,,0,1)</f>
        <v>#VALUE!</v>
      </c>
      <c r="K39" s="233">
        <f ca="1">Games!L57</f>
        <v>117</v>
      </c>
      <c r="L39" s="25"/>
      <c r="M39" s="25"/>
      <c r="O39" s="25"/>
      <c r="P39" s="25"/>
      <c r="Q39" s="50"/>
      <c r="R39" s="25"/>
      <c r="S39" s="25"/>
      <c r="T39" s="242">
        <f ca="1">Games!N72</f>
        <v>109</v>
      </c>
      <c r="U39" s="261" t="e" vm="117">
        <f ca="1">_xlfn.XLOOKUP(V39,Teams!$C:$C,Teams!$E:$E,,0,1)</f>
        <v>#VALUE!</v>
      </c>
      <c r="V39" s="235" t="str">
        <f ca="1">Games!O70</f>
        <v>Clemson</v>
      </c>
      <c r="W39" s="235"/>
      <c r="X39" s="265"/>
      <c r="Y39" s="56"/>
      <c r="AA39" s="25"/>
      <c r="AD39" s="25"/>
      <c r="AE39" s="240">
        <f ca="1">Games!L61</f>
        <v>101</v>
      </c>
      <c r="AF39" s="247" t="e" vm="114">
        <f ca="1">_xlfn.XLOOKUP(AG39,Teams!$C:$C,Teams!$E:$E,,0,1)</f>
        <v>#VALUE!</v>
      </c>
      <c r="AG39" s="235" t="str">
        <f ca="1">Games!O50</f>
        <v>SIU Edwardsville</v>
      </c>
      <c r="AH39" s="55"/>
      <c r="AI39" s="51"/>
      <c r="AJ39" s="237">
        <f>IF($AU$5=TRUE,AJ31+1,"")</f>
        <v>45</v>
      </c>
      <c r="AK39" s="59">
        <f ca="1">Games!N29</f>
        <v>117</v>
      </c>
      <c r="AL39" s="46" t="e" vm="114">
        <f>_xlfn.XLOOKUP(AM39,Teams!$C:$C,Teams!$E:$E,,0,1)</f>
        <v>#VALUE!</v>
      </c>
      <c r="AM39" s="37" t="str">
        <f>Games!I29</f>
        <v>SIU Edwardsville</v>
      </c>
      <c r="AN39" s="27">
        <v>16</v>
      </c>
      <c r="AO39" s="257"/>
    </row>
    <row r="40" spans="1:43" ht="10.5" customHeight="1" thickBot="1" x14ac:dyDescent="0.35">
      <c r="A40" s="16"/>
      <c r="B40" s="28"/>
      <c r="C40" s="38"/>
      <c r="D40" s="71"/>
      <c r="F40" s="238"/>
      <c r="G40" s="15"/>
      <c r="H40" s="50"/>
      <c r="I40" s="230"/>
      <c r="J40" s="246"/>
      <c r="K40" s="234"/>
      <c r="L40" s="25"/>
      <c r="M40" s="25"/>
      <c r="O40" s="25"/>
      <c r="P40" s="25"/>
      <c r="Q40" s="50"/>
      <c r="R40" s="25"/>
      <c r="S40" s="25"/>
      <c r="T40" s="243"/>
      <c r="U40" s="262"/>
      <c r="V40" s="236"/>
      <c r="W40" s="236"/>
      <c r="X40" s="266"/>
      <c r="Y40" s="56"/>
      <c r="AA40" s="25"/>
      <c r="AD40" s="25"/>
      <c r="AE40" s="241"/>
      <c r="AF40" s="248"/>
      <c r="AG40" s="236"/>
      <c r="AH40" s="56"/>
      <c r="AJ40" s="238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Connecticut</v>
      </c>
      <c r="D41" s="70" t="e" vm="83">
        <f>_xlfn.XLOOKUP(C41,Teams!$C:$C,Teams!$E:$E,,0,1)</f>
        <v>#VALUE!</v>
      </c>
      <c r="E41" s="46">
        <f ca="1">Games!L14</f>
        <v>101</v>
      </c>
      <c r="F41" s="235" t="str">
        <f ca="1">Games!O14</f>
        <v>Oklahoma</v>
      </c>
      <c r="G41" s="245" t="e" vm="84">
        <f ca="1">_xlfn.XLOOKUP(F41,Teams!$C:$C,Teams!$E:$E,,0,1)</f>
        <v>#VALUE!</v>
      </c>
      <c r="H41" s="231">
        <f ca="1">Games!N42</f>
        <v>109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40">
        <f ca="1">Games!N50</f>
        <v>117</v>
      </c>
      <c r="AI41" s="247" t="e" vm="115">
        <f ca="1">_xlfn.XLOOKUP(AJ41,Teams!$C:$C,Teams!$E:$E,,0,1)</f>
        <v>#VALUE!</v>
      </c>
      <c r="AJ41" s="235" t="str">
        <f ca="1">Games!O30</f>
        <v>Gonzaga</v>
      </c>
      <c r="AK41" s="58">
        <f ca="1">Games!L30</f>
        <v>118</v>
      </c>
      <c r="AL41" s="46" t="e" vm="115">
        <f>_xlfn.XLOOKUP(AM41,Teams!$C:$C,Teams!$E:$E,,0,1)</f>
        <v>#VALUE!</v>
      </c>
      <c r="AM41" s="37" t="str">
        <f>Games!G30</f>
        <v>Gonzaga</v>
      </c>
      <c r="AN41" s="27">
        <v>8</v>
      </c>
      <c r="AO41" s="17"/>
    </row>
    <row r="42" spans="1:43" ht="10.5" customHeight="1" thickBot="1" x14ac:dyDescent="0.35">
      <c r="A42" s="238">
        <f>IF($AU$5=TRUE,A38+1,"")</f>
        <v>10</v>
      </c>
      <c r="B42" s="28"/>
      <c r="C42" s="38"/>
      <c r="D42" s="71"/>
      <c r="E42" s="49"/>
      <c r="F42" s="236"/>
      <c r="G42" s="246"/>
      <c r="H42" s="232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41"/>
      <c r="AI42" s="248"/>
      <c r="AJ42" s="236"/>
      <c r="AK42" s="55"/>
      <c r="AM42" s="39"/>
      <c r="AN42" s="28"/>
      <c r="AO42" s="257">
        <f>IF($AU$5=TRUE,AO38+1,"")</f>
        <v>26</v>
      </c>
    </row>
    <row r="43" spans="1:43" ht="13.8" customHeight="1" thickBot="1" x14ac:dyDescent="0.35">
      <c r="A43" s="238"/>
      <c r="B43" s="27">
        <v>9</v>
      </c>
      <c r="C43" s="36" t="str">
        <f>Games!I14</f>
        <v>Oklahoma</v>
      </c>
      <c r="D43" s="70" t="e" vm="84">
        <f>_xlfn.XLOOKUP(C43,Teams!$C:$C,Teams!$E:$E,,0,1)</f>
        <v>#VALUE!</v>
      </c>
      <c r="E43" s="48">
        <f ca="1">Games!N14</f>
        <v>107</v>
      </c>
      <c r="F43" s="24"/>
      <c r="G43" s="24"/>
      <c r="I43" s="238">
        <f>IF($AU$5=TRUE,I27+1,"")</f>
        <v>51</v>
      </c>
      <c r="J43" s="15"/>
      <c r="K43" s="50"/>
      <c r="L43" s="229" t="str">
        <f ca="1">Games!O57</f>
        <v>Oklahoma</v>
      </c>
      <c r="M43" s="245" t="e" vm="84">
        <f ca="1">_xlfn.XLOOKUP(L43,Teams!$C:$C,Teams!$E:$E,,0,1)</f>
        <v>#VALUE!</v>
      </c>
      <c r="N43" s="233">
        <f ca="1">Games!L65</f>
        <v>109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33">
        <f ca="1">Games!L67</f>
        <v>120</v>
      </c>
      <c r="AC43" s="247" t="e" vm="117">
        <f ca="1">_xlfn.XLOOKUP(AD43,Teams!$C:$C,Teams!$E:$E,,0,1)</f>
        <v>#VALUE!</v>
      </c>
      <c r="AD43" s="259" t="str">
        <f ca="1">Games!O61</f>
        <v>Clemson</v>
      </c>
      <c r="AE43" s="56"/>
      <c r="AG43" s="238">
        <f>IF($AU$5=TRUE,AG27+1,"")</f>
        <v>55</v>
      </c>
      <c r="AJ43" s="24"/>
      <c r="AK43" s="59">
        <f ca="1">Games!N30</f>
        <v>101</v>
      </c>
      <c r="AL43" s="46" t="e" vm="116">
        <f>_xlfn.XLOOKUP(AM43,Teams!$C:$C,Teams!$E:$E,,0,1)</f>
        <v>#VALUE!</v>
      </c>
      <c r="AM43" s="37" t="str">
        <f>Games!I30</f>
        <v>Georgia</v>
      </c>
      <c r="AN43" s="27">
        <v>9</v>
      </c>
      <c r="AO43" s="25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38"/>
      <c r="J44" s="15"/>
      <c r="K44" s="50"/>
      <c r="L44" s="230"/>
      <c r="M44" s="246"/>
      <c r="N44" s="234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34"/>
      <c r="AC44" s="248"/>
      <c r="AD44" s="260"/>
      <c r="AE44" s="56"/>
      <c r="AG44" s="238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Memphis</v>
      </c>
      <c r="D45" s="70" t="e" vm="85">
        <f>_xlfn.XLOOKUP(C45,Teams!$C:$C,Teams!$E:$E,,0,1)</f>
        <v>#VALUE!</v>
      </c>
      <c r="E45" s="46">
        <f ca="1">Games!L15</f>
        <v>120</v>
      </c>
      <c r="F45" s="235" t="str">
        <f ca="1">Games!O15</f>
        <v>Memphis</v>
      </c>
      <c r="G45" s="245" t="e" vm="85">
        <f ca="1">_xlfn.XLOOKUP(F45,Teams!$C:$C,Teams!$E:$E,,0,1)</f>
        <v>#VALUE!</v>
      </c>
      <c r="H45" s="233">
        <f ca="1">Games!L43</f>
        <v>107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33">
        <f ca="1">Games!L51</f>
        <v>119</v>
      </c>
      <c r="AI45" s="247" t="e" vm="117">
        <f ca="1">_xlfn.XLOOKUP(AJ45,Teams!$C:$C,Teams!$E:$E,,0,1)</f>
        <v>#VALUE!</v>
      </c>
      <c r="AJ45" s="235" t="str">
        <f ca="1">Games!O31</f>
        <v>Clemson</v>
      </c>
      <c r="AK45" s="58">
        <f ca="1">Games!L31</f>
        <v>115</v>
      </c>
      <c r="AL45" s="46" t="e" vm="117">
        <f>_xlfn.XLOOKUP(AM45,Teams!$C:$C,Teams!$E:$E,,0,1)</f>
        <v>#VALUE!</v>
      </c>
      <c r="AM45" s="37" t="str">
        <f>Games!G31</f>
        <v>Clemson</v>
      </c>
      <c r="AN45" s="27">
        <v>5</v>
      </c>
      <c r="AO45" s="17"/>
    </row>
    <row r="46" spans="1:43" ht="10.5" customHeight="1" thickBot="1" x14ac:dyDescent="0.35">
      <c r="A46" s="238">
        <f>IF($AU$5=TRUE,A42+1,"")</f>
        <v>11</v>
      </c>
      <c r="B46" s="28"/>
      <c r="C46" s="38"/>
      <c r="D46" s="71"/>
      <c r="E46" s="49"/>
      <c r="F46" s="236"/>
      <c r="G46" s="246"/>
      <c r="H46" s="234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34"/>
      <c r="AI46" s="248"/>
      <c r="AJ46" s="236"/>
      <c r="AK46" s="55"/>
      <c r="AM46" s="39"/>
      <c r="AN46" s="28"/>
      <c r="AO46" s="257">
        <f>IF($AU$5=TRUE,AO42+1,"")</f>
        <v>27</v>
      </c>
    </row>
    <row r="47" spans="1:43" ht="13.8" customHeight="1" thickBot="1" x14ac:dyDescent="0.35">
      <c r="A47" s="238"/>
      <c r="B47" s="27">
        <v>12</v>
      </c>
      <c r="C47" s="41" t="str">
        <f>Games!I15</f>
        <v>Colorado State</v>
      </c>
      <c r="D47" s="70" t="e" vm="86">
        <f>_xlfn.XLOOKUP(C47,Teams!$C:$C,Teams!$E:$E,,0,1)</f>
        <v>#VALUE!</v>
      </c>
      <c r="E47" s="48">
        <f ca="1">Games!N15</f>
        <v>101</v>
      </c>
      <c r="F47" s="237">
        <f>IF($AU$5=TRUE,F39+1,"")</f>
        <v>38</v>
      </c>
      <c r="G47" s="14"/>
      <c r="H47" s="49"/>
      <c r="I47" s="229" t="str">
        <f ca="1">Games!O43</f>
        <v>Memphis</v>
      </c>
      <c r="J47" s="245" t="e" vm="85">
        <f ca="1">_xlfn.XLOOKUP(I47,Teams!$C:$C,Teams!$E:$E,,0,1)</f>
        <v>#VALUE!</v>
      </c>
      <c r="K47" s="231">
        <f ca="1">Games!N57</f>
        <v>109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40">
        <f ca="1">Games!N61</f>
        <v>108</v>
      </c>
      <c r="AF47" s="247" t="e" vm="117">
        <f ca="1">_xlfn.XLOOKUP(AG47,Teams!$C:$C,Teams!$E:$E,,0,1)</f>
        <v>#VALUE!</v>
      </c>
      <c r="AG47" s="235" t="str">
        <f ca="1">Games!O51</f>
        <v>Clemson</v>
      </c>
      <c r="AH47" s="55"/>
      <c r="AI47" s="51"/>
      <c r="AJ47" s="237">
        <f>IF($AU$5=TRUE,AJ39+1,"")</f>
        <v>46</v>
      </c>
      <c r="AK47" s="59">
        <f ca="1">Games!N31</f>
        <v>104</v>
      </c>
      <c r="AL47" s="46" t="e" vm="118">
        <f>_xlfn.XLOOKUP(AM47,Teams!$C:$C,Teams!$E:$E,,0,1)</f>
        <v>#VALUE!</v>
      </c>
      <c r="AM47" s="37" t="str">
        <f>Games!I31</f>
        <v>McNeese State</v>
      </c>
      <c r="AN47" s="27">
        <v>12</v>
      </c>
      <c r="AO47" s="257"/>
    </row>
    <row r="48" spans="1:43" ht="10.5" customHeight="1" thickBot="1" x14ac:dyDescent="0.35">
      <c r="A48" s="16"/>
      <c r="B48" s="28"/>
      <c r="C48" s="38"/>
      <c r="D48" s="71"/>
      <c r="F48" s="238"/>
      <c r="G48" s="15"/>
      <c r="H48" s="50"/>
      <c r="I48" s="230"/>
      <c r="J48" s="246"/>
      <c r="K48" s="232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41"/>
      <c r="AF48" s="248"/>
      <c r="AG48" s="236"/>
      <c r="AH48" s="56"/>
      <c r="AJ48" s="238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Maryland</v>
      </c>
      <c r="D49" s="70" t="e" vm="87">
        <f>_xlfn.XLOOKUP(C49,Teams!$C:$C,Teams!$E:$E,,0,1)</f>
        <v>#VALUE!</v>
      </c>
      <c r="E49" s="46">
        <f ca="1">Games!L16</f>
        <v>109</v>
      </c>
      <c r="F49" s="235" t="str">
        <f ca="1">Games!O16</f>
        <v>Grand Canyon</v>
      </c>
      <c r="G49" s="245" t="e" vm="88">
        <f ca="1">_xlfn.XLOOKUP(F49,Teams!$C:$C,Teams!$E:$E,,0,1)</f>
        <v>#VALUE!</v>
      </c>
      <c r="H49" s="231">
        <f ca="1">Games!N43</f>
        <v>94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40">
        <f ca="1">Games!N51</f>
        <v>93</v>
      </c>
      <c r="AI49" s="247" t="e" vm="120">
        <f ca="1">_xlfn.XLOOKUP(AJ49,Teams!$C:$C,Teams!$E:$E,,0,1)</f>
        <v>#VALUE!</v>
      </c>
      <c r="AJ49" s="235" t="str">
        <f ca="1">Games!O32</f>
        <v>High Point</v>
      </c>
      <c r="AK49" s="58">
        <f ca="1">Games!L32</f>
        <v>104</v>
      </c>
      <c r="AL49" s="46" t="e" vm="119">
        <f>_xlfn.XLOOKUP(AM49,Teams!$C:$C,Teams!$E:$E,,0,1)</f>
        <v>#VALUE!</v>
      </c>
      <c r="AM49" s="37" t="str">
        <f>Games!G32</f>
        <v>Purdue</v>
      </c>
      <c r="AN49" s="27">
        <v>4</v>
      </c>
      <c r="AO49" s="17"/>
    </row>
    <row r="50" spans="1:41" ht="10.5" customHeight="1" thickBot="1" x14ac:dyDescent="0.35">
      <c r="A50" s="238">
        <f>IF($AU$5=TRUE,A46+1,"")</f>
        <v>12</v>
      </c>
      <c r="B50" s="28"/>
      <c r="C50" s="38"/>
      <c r="D50" s="71"/>
      <c r="E50" s="49"/>
      <c r="F50" s="236"/>
      <c r="G50" s="246"/>
      <c r="H50" s="232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41"/>
      <c r="AI50" s="248"/>
      <c r="AJ50" s="236"/>
      <c r="AK50" s="55"/>
      <c r="AM50" s="39"/>
      <c r="AN50" s="28"/>
      <c r="AO50" s="257">
        <f>IF($AU$5=TRUE,AO46+1,"")</f>
        <v>28</v>
      </c>
    </row>
    <row r="51" spans="1:41" ht="13.8" customHeight="1" thickBot="1" x14ac:dyDescent="0.45">
      <c r="A51" s="238"/>
      <c r="B51" s="27">
        <v>13</v>
      </c>
      <c r="C51" s="36" t="str">
        <f>Games!I16</f>
        <v>Grand Canyon</v>
      </c>
      <c r="D51" s="70" t="e" vm="88">
        <f>_xlfn.XLOOKUP(C51,Teams!$C:$C,Teams!$E:$E,,0,1)</f>
        <v>#VALUE!</v>
      </c>
      <c r="E51" s="48">
        <f ca="1">Games!N16</f>
        <v>115</v>
      </c>
      <c r="F51" s="24"/>
      <c r="G51" s="24"/>
      <c r="I51" s="24"/>
      <c r="J51" s="24"/>
      <c r="K51" s="244" t="s">
        <v>4</v>
      </c>
      <c r="L51" s="244"/>
      <c r="M51" s="20"/>
      <c r="N51" s="50"/>
      <c r="O51" s="229" t="str">
        <f ca="1">Games!O65</f>
        <v>UNC Wilmington</v>
      </c>
      <c r="P51" s="245" t="e" vm="92">
        <f ca="1">_xlfn.XLOOKUP(O51,Teams!$C:$C,Teams!$E:$E,,0,1)</f>
        <v>#VALUE!</v>
      </c>
      <c r="Q51" s="231">
        <f ca="1">Games!N69</f>
        <v>116</v>
      </c>
      <c r="R51" s="25"/>
      <c r="S51" s="25"/>
      <c r="T51" s="25"/>
      <c r="U51" s="75"/>
      <c r="V51" s="25"/>
      <c r="W51" s="25"/>
      <c r="X51" s="25"/>
      <c r="Y51" s="240">
        <f ca="1">Games!N70</f>
        <v>101</v>
      </c>
      <c r="Z51" s="247" t="e" vm="117">
        <f ca="1">_xlfn.XLOOKUP(AA51,Teams!$C:$C,Teams!$E:$E,,0,1)</f>
        <v>#VALUE!</v>
      </c>
      <c r="AA51" s="235" t="str">
        <f ca="1">Games!O67</f>
        <v>Clemson</v>
      </c>
      <c r="AB51" s="56"/>
      <c r="AD51" s="244" t="s">
        <v>14</v>
      </c>
      <c r="AE51" s="244"/>
      <c r="AF51" s="20"/>
      <c r="AG51" s="24"/>
      <c r="AJ51" s="24"/>
      <c r="AK51" s="59">
        <f ca="1">Games!N32</f>
        <v>120</v>
      </c>
      <c r="AL51" s="46" t="e" vm="120">
        <f>_xlfn.XLOOKUP(AM51,Teams!$C:$C,Teams!$E:$E,,0,1)</f>
        <v>#VALUE!</v>
      </c>
      <c r="AM51" s="37" t="str">
        <f>Games!I32</f>
        <v>High Point</v>
      </c>
      <c r="AN51" s="27">
        <v>13</v>
      </c>
      <c r="AO51" s="25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44"/>
      <c r="L52" s="244"/>
      <c r="M52" s="20"/>
      <c r="N52" s="50"/>
      <c r="O52" s="230"/>
      <c r="P52" s="246"/>
      <c r="Q52" s="232"/>
      <c r="R52" s="25"/>
      <c r="S52" s="25"/>
      <c r="T52" s="25"/>
      <c r="U52" s="75"/>
      <c r="V52" s="25"/>
      <c r="W52" s="25"/>
      <c r="X52" s="25"/>
      <c r="Y52" s="241"/>
      <c r="Z52" s="248"/>
      <c r="AA52" s="236"/>
      <c r="AB52" s="56"/>
      <c r="AD52" s="244"/>
      <c r="AE52" s="244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Missouri</v>
      </c>
      <c r="D53" s="70" t="e" vm="89">
        <f>_xlfn.XLOOKUP(C53,Teams!$C:$C,Teams!$E:$E,,0,1)</f>
        <v>#VALUE!</v>
      </c>
      <c r="E53" s="46">
        <f ca="1">Games!L17</f>
        <v>119</v>
      </c>
      <c r="F53" s="235" t="str">
        <f ca="1">Games!O17</f>
        <v>Missouri</v>
      </c>
      <c r="G53" s="245" t="e" vm="89">
        <f ca="1">_xlfn.XLOOKUP(F53,Teams!$C:$C,Teams!$E:$E,,0,1)</f>
        <v>#VALUE!</v>
      </c>
      <c r="H53" s="233">
        <f ca="1">Games!L44</f>
        <v>93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33">
        <f ca="1">Games!L52</f>
        <v>94</v>
      </c>
      <c r="AI53" s="247" t="e" vm="121">
        <f ca="1">_xlfn.XLOOKUP(AJ53,Teams!$C:$C,Teams!$E:$E,,0,1)</f>
        <v>#VALUE!</v>
      </c>
      <c r="AJ53" s="235" t="str">
        <f ca="1">Games!O33</f>
        <v>Illinois</v>
      </c>
      <c r="AK53" s="58">
        <f ca="1">Games!L33</f>
        <v>111</v>
      </c>
      <c r="AL53" s="46" t="e" vm="121">
        <f>_xlfn.XLOOKUP(AM53,Teams!$C:$C,Teams!$E:$E,,0,1)</f>
        <v>#VALUE!</v>
      </c>
      <c r="AM53" s="37" t="str">
        <f>Games!G33</f>
        <v>Illinois</v>
      </c>
      <c r="AN53" s="27">
        <v>6</v>
      </c>
      <c r="AO53" s="17"/>
    </row>
    <row r="54" spans="1:41" ht="10.5" customHeight="1" thickBot="1" x14ac:dyDescent="0.35">
      <c r="A54" s="238">
        <f>IF($AU$5=TRUE,A50+1,"")</f>
        <v>13</v>
      </c>
      <c r="B54" s="28"/>
      <c r="C54" s="38"/>
      <c r="D54" s="71"/>
      <c r="E54" s="49"/>
      <c r="F54" s="236"/>
      <c r="G54" s="246"/>
      <c r="H54" s="234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34"/>
      <c r="AI54" s="248"/>
      <c r="AJ54" s="236"/>
      <c r="AK54" s="55"/>
      <c r="AM54" s="39"/>
      <c r="AN54" s="28"/>
      <c r="AO54" s="257">
        <f>IF($AU$5=TRUE,AO50+1,"")</f>
        <v>29</v>
      </c>
    </row>
    <row r="55" spans="1:41" ht="13.8" customHeight="1" thickBot="1" x14ac:dyDescent="0.35">
      <c r="A55" s="238"/>
      <c r="B55" s="27">
        <v>11</v>
      </c>
      <c r="C55" s="36" t="str">
        <f>Games!I17</f>
        <v>Drake</v>
      </c>
      <c r="D55" s="70" t="e" vm="90">
        <f>_xlfn.XLOOKUP(C55,Teams!$C:$C,Teams!$E:$E,,0,1)</f>
        <v>#VALUE!</v>
      </c>
      <c r="E55" s="48">
        <f ca="1">Games!N17</f>
        <v>112</v>
      </c>
      <c r="F55" s="237">
        <f>IF($AU$5=TRUE,F47+1,"")</f>
        <v>39</v>
      </c>
      <c r="G55" s="14"/>
      <c r="H55" s="49"/>
      <c r="I55" s="229" t="str">
        <f ca="1">Games!O44</f>
        <v>UNC Wilmington</v>
      </c>
      <c r="J55" s="245" t="e" vm="92">
        <f ca="1">_xlfn.XLOOKUP(I55,Teams!$C:$C,Teams!$E:$E,,0,1)</f>
        <v>#VALUE!</v>
      </c>
      <c r="K55" s="233">
        <f ca="1">Games!L58</f>
        <v>117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33">
        <f ca="1">Games!L62</f>
        <v>120</v>
      </c>
      <c r="AF55" s="247" t="e" vm="123">
        <f ca="1">_xlfn.XLOOKUP(AG55,Teams!$C:$C,Teams!$E:$E,,0,1)</f>
        <v>#VALUE!</v>
      </c>
      <c r="AG55" s="235" t="str">
        <f ca="1">Games!O52</f>
        <v>Kentucky</v>
      </c>
      <c r="AH55" s="55"/>
      <c r="AI55" s="51"/>
      <c r="AJ55" s="237">
        <f>IF($AU$5=TRUE,AJ47+1,"")</f>
        <v>47</v>
      </c>
      <c r="AK55" s="59">
        <f ca="1">Games!N33</f>
        <v>100</v>
      </c>
      <c r="AL55" s="46" t="e" vm="122">
        <f>_xlfn.XLOOKUP(AM55,Teams!$C:$C,Teams!$E:$E,,0,1)</f>
        <v>#VALUE!</v>
      </c>
      <c r="AM55" s="37" t="str">
        <f>Games!I33</f>
        <v>Texas</v>
      </c>
      <c r="AN55" s="32">
        <v>11</v>
      </c>
      <c r="AO55" s="257"/>
    </row>
    <row r="56" spans="1:41" ht="10.5" customHeight="1" thickBot="1" x14ac:dyDescent="0.35">
      <c r="A56" s="16"/>
      <c r="B56" s="28"/>
      <c r="C56" s="38"/>
      <c r="D56" s="71"/>
      <c r="F56" s="238"/>
      <c r="G56" s="15"/>
      <c r="H56" s="50"/>
      <c r="I56" s="230"/>
      <c r="J56" s="246"/>
      <c r="K56" s="234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34"/>
      <c r="AF56" s="248"/>
      <c r="AG56" s="236"/>
      <c r="AH56" s="56"/>
      <c r="AJ56" s="238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Texas Tech</v>
      </c>
      <c r="D57" s="70" t="e" vm="91">
        <f>_xlfn.XLOOKUP(C57,Teams!$C:$C,Teams!$E:$E,,0,1)</f>
        <v>#VALUE!</v>
      </c>
      <c r="E57" s="46">
        <f ca="1">Games!L18</f>
        <v>96</v>
      </c>
      <c r="F57" s="235" t="str">
        <f ca="1">Games!O18</f>
        <v>UNC Wilmington</v>
      </c>
      <c r="G57" s="245" t="e" vm="92">
        <f ca="1">_xlfn.XLOOKUP(F57,Teams!$C:$C,Teams!$E:$E,,0,1)</f>
        <v>#VALUE!</v>
      </c>
      <c r="H57" s="231">
        <f ca="1">Games!N44</f>
        <v>97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40">
        <f ca="1">Games!N52</f>
        <v>115</v>
      </c>
      <c r="AI57" s="247" t="e" vm="123">
        <f ca="1">_xlfn.XLOOKUP(AJ57,Teams!$C:$C,Teams!$E:$E,,0,1)</f>
        <v>#VALUE!</v>
      </c>
      <c r="AJ57" s="235" t="str">
        <f ca="1">Games!O34</f>
        <v>Kentucky</v>
      </c>
      <c r="AK57" s="58">
        <f ca="1">Games!L34</f>
        <v>106</v>
      </c>
      <c r="AL57" s="46" t="e" vm="123">
        <f>_xlfn.XLOOKUP(AM57,Teams!$C:$C,Teams!$E:$E,,0,1)</f>
        <v>#VALUE!</v>
      </c>
      <c r="AM57" s="37" t="str">
        <f>Games!G34</f>
        <v>Kentucky</v>
      </c>
      <c r="AN57" s="27">
        <v>3</v>
      </c>
      <c r="AO57" s="17"/>
    </row>
    <row r="58" spans="1:41" ht="10.5" customHeight="1" thickBot="1" x14ac:dyDescent="0.35">
      <c r="A58" s="238">
        <f>IF($AU$5=TRUE,A54+1,"")</f>
        <v>14</v>
      </c>
      <c r="B58" s="28"/>
      <c r="C58" s="38"/>
      <c r="D58" s="71"/>
      <c r="E58" s="49"/>
      <c r="F58" s="236"/>
      <c r="G58" s="246"/>
      <c r="H58" s="232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41"/>
      <c r="AI58" s="248"/>
      <c r="AJ58" s="236"/>
      <c r="AK58" s="55"/>
      <c r="AM58" s="39"/>
      <c r="AN58" s="28"/>
      <c r="AO58" s="257">
        <f>IF($AU$5=TRUE,AO54+1,"")</f>
        <v>30</v>
      </c>
    </row>
    <row r="59" spans="1:41" ht="13.8" customHeight="1" thickBot="1" x14ac:dyDescent="0.35">
      <c r="A59" s="238"/>
      <c r="B59" s="27">
        <v>14</v>
      </c>
      <c r="C59" s="36" t="str">
        <f>Games!I18</f>
        <v>UNC Wilmington</v>
      </c>
      <c r="D59" s="70" t="e" vm="92">
        <f>_xlfn.XLOOKUP(C59,Teams!$C:$C,Teams!$E:$E,,0,1)</f>
        <v>#VALUE!</v>
      </c>
      <c r="E59" s="48">
        <f ca="1">Games!N18</f>
        <v>105</v>
      </c>
      <c r="F59" s="24"/>
      <c r="G59" s="24"/>
      <c r="I59" s="238">
        <f>IF($AU$5=TRUE,I43+1,"")</f>
        <v>52</v>
      </c>
      <c r="J59" s="15"/>
      <c r="K59" s="50"/>
      <c r="L59" s="229" t="str">
        <f ca="1">Games!O58</f>
        <v>UNC Wilmington</v>
      </c>
      <c r="M59" s="245" t="e" vm="92">
        <f ca="1">_xlfn.XLOOKUP(L59,Teams!$C:$C,Teams!$E:$E,,0,1)</f>
        <v>#VALUE!</v>
      </c>
      <c r="N59" s="231">
        <f ca="1">Games!N65</f>
        <v>120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40">
        <f ca="1">Games!N67</f>
        <v>95</v>
      </c>
      <c r="AC59" s="247" t="e" vm="123">
        <f ca="1">_xlfn.XLOOKUP(AD59,Teams!$C:$C,Teams!$E:$E,,0,1)</f>
        <v>#VALUE!</v>
      </c>
      <c r="AD59" s="235" t="str">
        <f ca="1">Games!O62</f>
        <v>Kentucky</v>
      </c>
      <c r="AE59" s="56"/>
      <c r="AG59" s="238">
        <f>IF($AU$5=TRUE,AG43+1,"")</f>
        <v>56</v>
      </c>
      <c r="AJ59" s="24"/>
      <c r="AK59" s="59">
        <f ca="1">Games!N34</f>
        <v>100</v>
      </c>
      <c r="AL59" s="46" t="e" vm="124">
        <f>_xlfn.XLOOKUP(AM59,Teams!$C:$C,Teams!$E:$E,,0,1)</f>
        <v>#VALUE!</v>
      </c>
      <c r="AM59" s="37" t="str">
        <f>Games!I34</f>
        <v>Troy</v>
      </c>
      <c r="AN59" s="27">
        <v>14</v>
      </c>
      <c r="AO59" s="25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38"/>
      <c r="J60" s="15"/>
      <c r="K60" s="50"/>
      <c r="L60" s="230"/>
      <c r="M60" s="246"/>
      <c r="N60" s="232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41"/>
      <c r="AC60" s="248"/>
      <c r="AD60" s="236"/>
      <c r="AE60" s="56"/>
      <c r="AG60" s="238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Kansas</v>
      </c>
      <c r="D61" s="70" t="e" vm="93">
        <f>_xlfn.XLOOKUP(C61,Teams!$C:$C,Teams!$E:$E,,0,1)</f>
        <v>#VALUE!</v>
      </c>
      <c r="E61" s="46">
        <f ca="1">Games!L19</f>
        <v>111</v>
      </c>
      <c r="F61" s="235" t="str">
        <f ca="1">Games!O19</f>
        <v>Arkansas</v>
      </c>
      <c r="G61" s="245" t="e" vm="94">
        <f ca="1">_xlfn.XLOOKUP(F61,Teams!$C:$C,Teams!$E:$E,,0,1)</f>
        <v>#VALUE!</v>
      </c>
      <c r="H61" s="233">
        <f ca="1">Games!L45</f>
        <v>98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33">
        <f ca="1">Games!L53</f>
        <v>103</v>
      </c>
      <c r="AI61" s="247" t="e" vm="125">
        <f ca="1">_xlfn.XLOOKUP(AJ61,Teams!$C:$C,Teams!$E:$E,,0,1)</f>
        <v>#VALUE!</v>
      </c>
      <c r="AJ61" s="235" t="str">
        <f ca="1">Games!O35</f>
        <v>UCLA</v>
      </c>
      <c r="AK61" s="58">
        <f ca="1">Games!L35</f>
        <v>112</v>
      </c>
      <c r="AL61" s="46" t="e" vm="125">
        <f>_xlfn.XLOOKUP(AM61,Teams!$C:$C,Teams!$E:$E,,0,1)</f>
        <v>#VALUE!</v>
      </c>
      <c r="AM61" s="37" t="str">
        <f>Games!G35</f>
        <v>UCLA</v>
      </c>
      <c r="AN61" s="27">
        <v>7</v>
      </c>
      <c r="AO61" s="17"/>
    </row>
    <row r="62" spans="1:41" ht="10.5" customHeight="1" thickBot="1" x14ac:dyDescent="0.35">
      <c r="A62" s="238">
        <f>IF($AU$5=TRUE,A58+1,"")</f>
        <v>15</v>
      </c>
      <c r="B62" s="28"/>
      <c r="C62" s="38"/>
      <c r="D62" s="71"/>
      <c r="E62" s="49"/>
      <c r="F62" s="236"/>
      <c r="G62" s="246"/>
      <c r="H62" s="234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34"/>
      <c r="AI62" s="248"/>
      <c r="AJ62" s="236"/>
      <c r="AK62" s="55"/>
      <c r="AM62" s="39"/>
      <c r="AN62" s="28"/>
      <c r="AO62" s="257">
        <f>IF($AU$5=TRUE,AO58+1,"")</f>
        <v>31</v>
      </c>
    </row>
    <row r="63" spans="1:41" ht="13.8" customHeight="1" thickBot="1" x14ac:dyDescent="0.35">
      <c r="A63" s="238"/>
      <c r="B63" s="27">
        <v>10</v>
      </c>
      <c r="C63" s="36" t="str">
        <f>Games!I19</f>
        <v>Arkansas</v>
      </c>
      <c r="D63" s="70" t="e" vm="94">
        <f>_xlfn.XLOOKUP(C63,Teams!$C:$C,Teams!$E:$E,,0,1)</f>
        <v>#VALUE!</v>
      </c>
      <c r="E63" s="48">
        <f ca="1">Games!N19</f>
        <v>120</v>
      </c>
      <c r="F63" s="237">
        <f>IF($AU$5=TRUE,F55+1,"")</f>
        <v>40</v>
      </c>
      <c r="G63" s="14"/>
      <c r="H63" s="49"/>
      <c r="I63" s="229" t="str">
        <f ca="1">Games!O45</f>
        <v>St. John's (NY)</v>
      </c>
      <c r="J63" s="245" t="e" vm="95">
        <f ca="1">_xlfn.XLOOKUP(I63,Teams!$C:$C,Teams!$E:$E,,0,1)</f>
        <v>#VALUE!</v>
      </c>
      <c r="K63" s="231">
        <f ca="1">Games!N58</f>
        <v>116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40">
        <f ca="1">Games!N62</f>
        <v>108</v>
      </c>
      <c r="AF63" s="247" t="e" vm="128">
        <f ca="1">_xlfn.XLOOKUP(AG63,Teams!$C:$C,Teams!$E:$E,,0,1)</f>
        <v>#VALUE!</v>
      </c>
      <c r="AG63" s="235" t="str">
        <f ca="1">Games!O53</f>
        <v>Wofford</v>
      </c>
      <c r="AH63" s="55"/>
      <c r="AI63" s="51"/>
      <c r="AJ63" s="237">
        <f>IF($AU$5=TRUE,AJ55+1,"")</f>
        <v>48</v>
      </c>
      <c r="AK63" s="59">
        <f ca="1">Games!N35</f>
        <v>90</v>
      </c>
      <c r="AL63" s="46" t="e" vm="126">
        <f>_xlfn.XLOOKUP(AM63,Teams!$C:$C,Teams!$E:$E,,0,1)</f>
        <v>#VALUE!</v>
      </c>
      <c r="AM63" s="37" t="str">
        <f>Games!I35</f>
        <v>Utah State</v>
      </c>
      <c r="AN63" s="27">
        <v>10</v>
      </c>
      <c r="AO63" s="257"/>
    </row>
    <row r="64" spans="1:41" ht="10.5" customHeight="1" thickBot="1" x14ac:dyDescent="0.35">
      <c r="A64" s="16"/>
      <c r="B64" s="28"/>
      <c r="C64" s="38"/>
      <c r="D64" s="71"/>
      <c r="F64" s="238"/>
      <c r="G64" s="15"/>
      <c r="H64" s="50"/>
      <c r="I64" s="230"/>
      <c r="J64" s="246"/>
      <c r="K64" s="232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41"/>
      <c r="AF64" s="248"/>
      <c r="AG64" s="236"/>
      <c r="AH64" s="56"/>
      <c r="AJ64" s="238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St. John's (NY)</v>
      </c>
      <c r="D65" s="70" t="e" vm="95">
        <f>_xlfn.XLOOKUP(C65,Teams!$C:$C,Teams!$E:$E,,0,1)</f>
        <v>#VALUE!</v>
      </c>
      <c r="E65" s="46">
        <f ca="1">Games!L20</f>
        <v>113</v>
      </c>
      <c r="F65" s="235" t="str">
        <f ca="1">Games!O20</f>
        <v>St. John's (NY)</v>
      </c>
      <c r="G65" s="245" t="e" vm="95">
        <f ca="1">_xlfn.XLOOKUP(F65,Teams!$C:$C,Teams!$E:$E,,0,1)</f>
        <v>#VALUE!</v>
      </c>
      <c r="H65" s="231">
        <f ca="1">Games!N45</f>
        <v>117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40">
        <f ca="1">Games!N53</f>
        <v>106</v>
      </c>
      <c r="AI65" s="247" t="e" vm="128">
        <f ca="1">_xlfn.XLOOKUP(AJ65,Teams!$C:$C,Teams!$E:$E,,0,1)</f>
        <v>#VALUE!</v>
      </c>
      <c r="AJ65" s="235" t="str">
        <f ca="1">Games!O36</f>
        <v>Wofford</v>
      </c>
      <c r="AK65" s="58">
        <f ca="1">Games!L36</f>
        <v>101</v>
      </c>
      <c r="AL65" s="46" t="e" vm="127">
        <f>_xlfn.XLOOKUP(AM65,Teams!$C:$C,Teams!$E:$E,,0,1)</f>
        <v>#VALUE!</v>
      </c>
      <c r="AM65" s="37" t="str">
        <f>Games!G36</f>
        <v>Tennessee</v>
      </c>
      <c r="AN65" s="27">
        <v>2</v>
      </c>
      <c r="AO65" s="17"/>
    </row>
    <row r="66" spans="1:41" ht="10.5" customHeight="1" thickBot="1" x14ac:dyDescent="0.35">
      <c r="A66" s="238">
        <f>IF($AU$5=TRUE,A62+1,"")</f>
        <v>16</v>
      </c>
      <c r="B66" s="28"/>
      <c r="C66" s="38"/>
      <c r="D66" s="71"/>
      <c r="E66" s="49"/>
      <c r="F66" s="236"/>
      <c r="G66" s="246"/>
      <c r="H66" s="232"/>
      <c r="I66" s="25"/>
      <c r="J66" s="25"/>
      <c r="L66" s="25"/>
      <c r="M66" s="25"/>
      <c r="O66" s="227"/>
      <c r="P66" s="227"/>
      <c r="Q66" s="227"/>
      <c r="R66" s="227"/>
      <c r="S66" s="227"/>
      <c r="T66" s="227"/>
      <c r="U66" s="227"/>
      <c r="V66" s="227"/>
      <c r="W66" s="227"/>
      <c r="X66" s="227"/>
      <c r="Y66" s="227"/>
      <c r="Z66" s="227"/>
      <c r="AA66" s="227"/>
      <c r="AD66" s="25"/>
      <c r="AG66" s="24"/>
      <c r="AH66" s="241"/>
      <c r="AI66" s="248"/>
      <c r="AJ66" s="236"/>
      <c r="AK66" s="55"/>
      <c r="AM66" s="39"/>
      <c r="AN66" s="28"/>
      <c r="AO66" s="257">
        <f>IF($AU$5=TRUE,AO62+1,"")</f>
        <v>32</v>
      </c>
    </row>
    <row r="67" spans="1:41" ht="13.8" customHeight="1" thickBot="1" x14ac:dyDescent="0.35">
      <c r="A67" s="238"/>
      <c r="B67" s="27">
        <v>15</v>
      </c>
      <c r="C67" s="36" t="str">
        <f>Games!I20</f>
        <v>Omaha</v>
      </c>
      <c r="D67" s="70" t="e" vm="96">
        <f>_xlfn.XLOOKUP(C67,Teams!$C:$C,Teams!$E:$E,,0,1)</f>
        <v>#VALUE!</v>
      </c>
      <c r="E67" s="48">
        <f ca="1">Games!N20</f>
        <v>108</v>
      </c>
      <c r="F67" s="25"/>
      <c r="G67" s="25"/>
      <c r="I67" s="25"/>
      <c r="J67" s="25"/>
      <c r="L67" s="25"/>
      <c r="M67" s="25"/>
      <c r="O67" s="226"/>
      <c r="P67" s="226"/>
      <c r="Q67" s="226"/>
      <c r="R67" s="226"/>
      <c r="S67" s="226"/>
      <c r="T67" s="226"/>
      <c r="U67" s="226"/>
      <c r="V67" s="226"/>
      <c r="W67" s="226"/>
      <c r="X67" s="226"/>
      <c r="Y67" s="226"/>
      <c r="Z67" s="226"/>
      <c r="AA67" s="226"/>
      <c r="AD67" s="25"/>
      <c r="AG67" s="25"/>
      <c r="AJ67" s="24"/>
      <c r="AK67" s="59">
        <f ca="1">Games!N36</f>
        <v>103</v>
      </c>
      <c r="AL67" s="46" t="e" vm="128">
        <f>_xlfn.XLOOKUP(AM67,Teams!$C:$C,Teams!$E:$E,,0,1)</f>
        <v>#VALUE!</v>
      </c>
      <c r="AM67" s="37" t="str">
        <f>Games!I36</f>
        <v>Wofford</v>
      </c>
      <c r="AN67" s="27">
        <v>15</v>
      </c>
      <c r="AO67" s="25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H25:AH26"/>
    <mergeCell ref="AH33:AH34"/>
    <mergeCell ref="AG43:AG44"/>
    <mergeCell ref="AF39:AF40"/>
    <mergeCell ref="AF31:AF32"/>
    <mergeCell ref="AF23:AF24"/>
    <mergeCell ref="AF15:AF16"/>
    <mergeCell ref="AI41:AI42"/>
    <mergeCell ref="AI45:AI46"/>
    <mergeCell ref="AI49:AI50"/>
    <mergeCell ref="AI53:AI54"/>
    <mergeCell ref="AI57:AI58"/>
    <mergeCell ref="AI61:AI62"/>
    <mergeCell ref="AI65:AI66"/>
    <mergeCell ref="AF63:AF64"/>
    <mergeCell ref="AF55:AF56"/>
    <mergeCell ref="AF47:AF4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G9:G10"/>
    <mergeCell ref="G5:G6"/>
    <mergeCell ref="J7:J8"/>
    <mergeCell ref="J15:J16"/>
    <mergeCell ref="J23:J24"/>
    <mergeCell ref="J31:J32"/>
    <mergeCell ref="J39:J40"/>
    <mergeCell ref="J47:J48"/>
    <mergeCell ref="K19:L20"/>
    <mergeCell ref="M59:M60"/>
    <mergeCell ref="J63:J64"/>
    <mergeCell ref="G65:G66"/>
    <mergeCell ref="G61:G62"/>
    <mergeCell ref="G57:G58"/>
    <mergeCell ref="G53:G54"/>
    <mergeCell ref="G49:G50"/>
    <mergeCell ref="G45:G46"/>
    <mergeCell ref="G41:G42"/>
    <mergeCell ref="H41:H42"/>
    <mergeCell ref="M43:M44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V39:X40"/>
    <mergeCell ref="AC59:AC60"/>
    <mergeCell ref="AC43:AC44"/>
    <mergeCell ref="AC27:AC2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A62:A63"/>
    <mergeCell ref="A50:A51"/>
    <mergeCell ref="A54:A55"/>
    <mergeCell ref="A6:A7"/>
    <mergeCell ref="A10:A11"/>
    <mergeCell ref="A14:A15"/>
    <mergeCell ref="A18:A19"/>
    <mergeCell ref="A21:A22"/>
    <mergeCell ref="A66:A67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34:A35"/>
    <mergeCell ref="S2:W2"/>
    <mergeCell ref="AB11:AB12"/>
    <mergeCell ref="T39:T40"/>
    <mergeCell ref="AB27:AB28"/>
    <mergeCell ref="AA19:AA20"/>
    <mergeCell ref="S32:W33"/>
    <mergeCell ref="Y19:Y20"/>
    <mergeCell ref="S31:W31"/>
    <mergeCell ref="AJ5:AJ6"/>
    <mergeCell ref="AH5:AH6"/>
    <mergeCell ref="AJ9:AJ10"/>
    <mergeCell ref="AH9:AH10"/>
    <mergeCell ref="AJ13:AJ14"/>
    <mergeCell ref="AJ15:AJ1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G39:AG40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F57:F58"/>
    <mergeCell ref="H57:H58"/>
    <mergeCell ref="H45:H46"/>
    <mergeCell ref="I43:I44"/>
    <mergeCell ref="I47:I48"/>
    <mergeCell ref="F53:F54"/>
    <mergeCell ref="H53:H54"/>
    <mergeCell ref="I55:I56"/>
    <mergeCell ref="F49:F50"/>
    <mergeCell ref="H49:H50"/>
    <mergeCell ref="F45:F46"/>
    <mergeCell ref="F37:F38"/>
    <mergeCell ref="H37:H38"/>
    <mergeCell ref="I11:I12"/>
    <mergeCell ref="K55:K56"/>
    <mergeCell ref="K51:L52"/>
    <mergeCell ref="I23:I24"/>
    <mergeCell ref="I39:I40"/>
    <mergeCell ref="I31:I32"/>
    <mergeCell ref="I27:I28"/>
    <mergeCell ref="K47:K48"/>
    <mergeCell ref="L43:L44"/>
    <mergeCell ref="K39:K40"/>
    <mergeCell ref="G37:G38"/>
    <mergeCell ref="G33:G34"/>
    <mergeCell ref="G29:G30"/>
    <mergeCell ref="G25:G26"/>
    <mergeCell ref="G21:G22"/>
    <mergeCell ref="G17:G18"/>
    <mergeCell ref="G13:G14"/>
    <mergeCell ref="J55:J56"/>
    <mergeCell ref="H33:H34"/>
    <mergeCell ref="AG7:AG8"/>
    <mergeCell ref="AE7:AE8"/>
    <mergeCell ref="AE15:AE16"/>
    <mergeCell ref="V27:V28"/>
    <mergeCell ref="AG11:AG12"/>
    <mergeCell ref="AD11:AD12"/>
    <mergeCell ref="AD19:AE20"/>
    <mergeCell ref="K23:K24"/>
    <mergeCell ref="K31:K32"/>
    <mergeCell ref="Q19:Q20"/>
    <mergeCell ref="AG23:AG24"/>
    <mergeCell ref="R27:T28"/>
    <mergeCell ref="AE23:AE24"/>
    <mergeCell ref="M27:M28"/>
    <mergeCell ref="P19:P20"/>
    <mergeCell ref="Z19:Z20"/>
    <mergeCell ref="AF7:AF8"/>
    <mergeCell ref="M11:M12"/>
    <mergeCell ref="AC11:AC12"/>
    <mergeCell ref="T11:V19"/>
    <mergeCell ref="O67:AA67"/>
    <mergeCell ref="O66:AA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F33:F34"/>
    <mergeCell ref="N11:N12"/>
    <mergeCell ref="F21:F22"/>
    <mergeCell ref="H21:H22"/>
    <mergeCell ref="H13:H14"/>
    <mergeCell ref="F13:F14"/>
    <mergeCell ref="H17:H18"/>
    <mergeCell ref="F17:F1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2025-12-26T23:11:47Z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