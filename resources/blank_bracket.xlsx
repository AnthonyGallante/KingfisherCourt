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1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5B4A5365-CCF2-4315-A94B-B69203B6DBC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eams" sheetId="3" r:id="rId1"/>
    <sheet name="Games" sheetId="2" r:id="rId2"/>
    <sheet name="Bracket" sheetId="1" r:id="rId3"/>
  </sheets>
  <externalReferences>
    <externalReference r:id="rId4"/>
  </externalReferences>
  <definedNames>
    <definedName name="All_Teams">OFFSET(Games!#REF!,0,0,COUNTA(Games!#REF!)-1,1)</definedName>
    <definedName name="Method">Games!#REF!</definedName>
    <definedName name="_xlnm.Print_Area" localSheetId="2">Bracket!$B$1:$AN$67</definedName>
    <definedName name="_xlnm.Print_Area" localSheetId="1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2" i="2" l="1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42" i="3"/>
  <c r="E43" i="3"/>
  <c r="E44" i="3"/>
  <c r="E45" i="3"/>
  <c r="E46" i="3"/>
  <c r="E47" i="3"/>
  <c r="E48" i="3"/>
  <c r="E49" i="3"/>
  <c r="E50" i="3"/>
  <c r="E51" i="3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I15" i="2"/>
  <c r="I5" i="2"/>
  <c r="G6" i="2"/>
  <c r="I6" i="2"/>
  <c r="G7" i="2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G16" i="2"/>
  <c r="I16" i="2"/>
  <c r="G17" i="2"/>
  <c r="I17" i="2"/>
  <c r="G18" i="2"/>
  <c r="I18" i="2"/>
  <c r="G19" i="2"/>
  <c r="G5" i="2"/>
  <c r="F37" i="2"/>
  <c r="F63" i="2"/>
  <c r="F68" i="2"/>
  <c r="F71" i="2"/>
  <c r="AJ2" i="1"/>
  <c r="AM2" i="1"/>
  <c r="K13" i="2" l="1"/>
  <c r="K12" i="2"/>
  <c r="M14" i="2"/>
  <c r="K19" i="2"/>
  <c r="K6" i="2"/>
  <c r="K7" i="2"/>
  <c r="M11" i="2"/>
  <c r="K15" i="2"/>
  <c r="M18" i="2"/>
  <c r="M5" i="2"/>
  <c r="K14" i="2"/>
  <c r="K8" i="2"/>
  <c r="K16" i="2"/>
  <c r="K17" i="2"/>
  <c r="K5" i="2"/>
  <c r="C47" i="1"/>
  <c r="D47" i="1" s="1"/>
  <c r="M15" i="2"/>
  <c r="C11" i="1"/>
  <c r="D11" i="1" s="1"/>
  <c r="M6" i="2"/>
  <c r="C15" i="1"/>
  <c r="D15" i="1" s="1"/>
  <c r="M7" i="2"/>
  <c r="C19" i="1"/>
  <c r="D19" i="1" s="1"/>
  <c r="M8" i="2"/>
  <c r="C21" i="1"/>
  <c r="D21" i="1" s="1"/>
  <c r="K9" i="2"/>
  <c r="C23" i="1"/>
  <c r="D23" i="1" s="1"/>
  <c r="M9" i="2"/>
  <c r="C25" i="1"/>
  <c r="D25" i="1" s="1"/>
  <c r="K10" i="2"/>
  <c r="C27" i="1"/>
  <c r="D27" i="1" s="1"/>
  <c r="M10" i="2"/>
  <c r="C29" i="1"/>
  <c r="D29" i="1" s="1"/>
  <c r="K11" i="2"/>
  <c r="C35" i="1"/>
  <c r="D35" i="1" s="1"/>
  <c r="M12" i="2"/>
  <c r="C39" i="1"/>
  <c r="D39" i="1" s="1"/>
  <c r="M13" i="2"/>
  <c r="C51" i="1"/>
  <c r="D51" i="1" s="1"/>
  <c r="M16" i="2"/>
  <c r="C55" i="1"/>
  <c r="D55" i="1" s="1"/>
  <c r="M17" i="2"/>
  <c r="C57" i="1"/>
  <c r="D57" i="1" s="1"/>
  <c r="K18" i="2"/>
  <c r="I19" i="2"/>
  <c r="G20" i="2"/>
  <c r="K20" i="2" s="1"/>
  <c r="I20" i="2"/>
  <c r="M20" i="2" s="1"/>
  <c r="G21" i="2"/>
  <c r="K21" i="2" s="1"/>
  <c r="I21" i="2"/>
  <c r="M21" i="2" s="1"/>
  <c r="G22" i="2"/>
  <c r="I22" i="2"/>
  <c r="M22" i="2" s="1"/>
  <c r="G23" i="2"/>
  <c r="K23" i="2" s="1"/>
  <c r="I23" i="2"/>
  <c r="M23" i="2" s="1"/>
  <c r="G24" i="2"/>
  <c r="K24" i="2" s="1"/>
  <c r="I24" i="2"/>
  <c r="G25" i="2"/>
  <c r="I25" i="2"/>
  <c r="G26" i="2"/>
  <c r="K26" i="2" s="1"/>
  <c r="I26" i="2"/>
  <c r="G27" i="2"/>
  <c r="K27" i="2" s="1"/>
  <c r="I27" i="2"/>
  <c r="M27" i="2" s="1"/>
  <c r="G28" i="2"/>
  <c r="K28" i="2" s="1"/>
  <c r="I28" i="2"/>
  <c r="M28" i="2" s="1"/>
  <c r="G29" i="2"/>
  <c r="K29" i="2" s="1"/>
  <c r="I29" i="2"/>
  <c r="M29" i="2" s="1"/>
  <c r="G30" i="2"/>
  <c r="K30" i="2" s="1"/>
  <c r="I30" i="2"/>
  <c r="M30" i="2" s="1"/>
  <c r="G31" i="2"/>
  <c r="K31" i="2" s="1"/>
  <c r="I31" i="2"/>
  <c r="G32" i="2"/>
  <c r="K32" i="2" s="1"/>
  <c r="I32" i="2"/>
  <c r="M32" i="2" s="1"/>
  <c r="G33" i="2"/>
  <c r="K33" i="2" s="1"/>
  <c r="I33" i="2"/>
  <c r="M33" i="2" s="1"/>
  <c r="G34" i="2"/>
  <c r="K34" i="2" s="1"/>
  <c r="I34" i="2"/>
  <c r="M34" i="2" s="1"/>
  <c r="G35" i="2"/>
  <c r="K35" i="2" s="1"/>
  <c r="I35" i="2"/>
  <c r="M35" i="2" s="1"/>
  <c r="G36" i="2"/>
  <c r="K36" i="2" s="1"/>
  <c r="I36" i="2"/>
  <c r="O35" i="2"/>
  <c r="P35" i="2" s="1"/>
  <c r="AK61" i="1"/>
  <c r="AK33" i="1"/>
  <c r="AK29" i="1"/>
  <c r="E65" i="1"/>
  <c r="E61" i="1"/>
  <c r="O18" i="2"/>
  <c r="P18" i="2" s="1"/>
  <c r="E57" i="1"/>
  <c r="O17" i="2"/>
  <c r="P17" i="2" s="1"/>
  <c r="E53" i="1"/>
  <c r="O16" i="2"/>
  <c r="P16" i="2" s="1"/>
  <c r="E49" i="1"/>
  <c r="O15" i="2"/>
  <c r="P15" i="2" s="1"/>
  <c r="E45" i="1"/>
  <c r="O14" i="2"/>
  <c r="P14" i="2" s="1"/>
  <c r="E41" i="1"/>
  <c r="E37" i="1"/>
  <c r="O13" i="2"/>
  <c r="P13" i="2" s="1"/>
  <c r="E33" i="1"/>
  <c r="O12" i="2"/>
  <c r="P12" i="2" s="1"/>
  <c r="E29" i="1"/>
  <c r="O11" i="2"/>
  <c r="P11" i="2" s="1"/>
  <c r="E21" i="1"/>
  <c r="O9" i="2"/>
  <c r="P9" i="2" s="1"/>
  <c r="E17" i="1"/>
  <c r="O8" i="2"/>
  <c r="P8" i="2" s="1"/>
  <c r="E13" i="1"/>
  <c r="O7" i="2"/>
  <c r="P7" i="2" s="1"/>
  <c r="E11" i="1"/>
  <c r="O6" i="2"/>
  <c r="P6" i="2" s="1"/>
  <c r="O10" i="2"/>
  <c r="P10" i="2" s="1"/>
  <c r="O5" i="2"/>
  <c r="P5" i="2" s="1"/>
  <c r="E5" i="1"/>
  <c r="C59" i="1"/>
  <c r="D59" i="1" s="1"/>
  <c r="C53" i="1"/>
  <c r="D53" i="1" s="1"/>
  <c r="C7" i="1"/>
  <c r="D7" i="1" s="1"/>
  <c r="C17" i="1"/>
  <c r="D17" i="1" s="1"/>
  <c r="C9" i="1"/>
  <c r="D9" i="1" s="1"/>
  <c r="C43" i="1"/>
  <c r="D43" i="1" s="1"/>
  <c r="C31" i="1"/>
  <c r="D31" i="1" s="1"/>
  <c r="C61" i="1"/>
  <c r="D61" i="1" s="1"/>
  <c r="C49" i="1"/>
  <c r="D49" i="1" s="1"/>
  <c r="C45" i="1"/>
  <c r="D45" i="1" s="1"/>
  <c r="C41" i="1"/>
  <c r="D41" i="1" s="1"/>
  <c r="C37" i="1"/>
  <c r="D37" i="1" s="1"/>
  <c r="C33" i="1"/>
  <c r="D33" i="1" s="1"/>
  <c r="C13" i="1"/>
  <c r="D13" i="1" s="1"/>
  <c r="C5" i="1"/>
  <c r="D5" i="1" s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18" i="2" a="1"/>
  <c r="J18" i="2" s="1"/>
  <c r="F19" i="2" a="1"/>
  <c r="F19" i="2" s="1"/>
  <c r="J8" i="2" a="1"/>
  <c r="J8" i="2" s="1"/>
  <c r="F9" i="2" a="1"/>
  <c r="F9" i="2" s="1"/>
  <c r="J9" i="2" a="1"/>
  <c r="J9" i="2" s="1"/>
  <c r="F18" i="2" a="1"/>
  <c r="F18" i="2" s="1"/>
  <c r="F5" i="2" a="1"/>
  <c r="F5" i="2" s="1"/>
  <c r="J5" i="2" a="1"/>
  <c r="J5" i="2" s="1"/>
  <c r="F6" i="2" a="1"/>
  <c r="F6" i="2" s="1"/>
  <c r="F7" i="2" a="1"/>
  <c r="F7" i="2" s="1"/>
  <c r="F8" i="2" a="1"/>
  <c r="F8" i="2" s="1"/>
  <c r="F16" i="2" a="1"/>
  <c r="F16" i="2" s="1"/>
  <c r="J12" i="2" a="1"/>
  <c r="J12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7" i="2" a="1"/>
  <c r="F17" i="2" s="1"/>
  <c r="J11" i="2" a="1"/>
  <c r="J11" i="2" s="1"/>
  <c r="J6" i="2" a="1"/>
  <c r="J6" i="2" s="1"/>
  <c r="J7" i="2" a="1"/>
  <c r="J7" i="2" s="1"/>
  <c r="J10" i="2" a="1"/>
  <c r="J10" i="2" s="1"/>
  <c r="AU5" i="1"/>
  <c r="M36" i="2" l="1"/>
  <c r="AM67" i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Q35" i="2" s="1"/>
  <c r="AM65" i="1"/>
  <c r="AL65" i="1" s="1"/>
  <c r="O36" i="2"/>
  <c r="P36" i="2" s="1"/>
  <c r="F36" i="2" a="1"/>
  <c r="F36" i="2" s="1"/>
  <c r="AL67" i="1"/>
  <c r="J36" i="2" a="1"/>
  <c r="J36" i="2" s="1"/>
  <c r="Q18" i="2"/>
  <c r="Q17" i="2"/>
  <c r="Q16" i="2"/>
  <c r="Q15" i="2"/>
  <c r="Q14" i="2"/>
  <c r="Q13" i="2"/>
  <c r="Q12" i="2"/>
  <c r="Q9" i="2"/>
  <c r="Q8" i="2"/>
  <c r="Q7" i="2"/>
  <c r="Q11" i="2"/>
  <c r="Q6" i="2"/>
  <c r="Q10" i="2"/>
  <c r="Q5" i="2"/>
  <c r="F29" i="1"/>
  <c r="G29" i="1" s="1"/>
  <c r="G41" i="2"/>
  <c r="K41" i="2" s="1"/>
  <c r="G40" i="2"/>
  <c r="K40" i="2" s="1"/>
  <c r="F21" i="1"/>
  <c r="G21" i="1" s="1"/>
  <c r="G39" i="2"/>
  <c r="K39" i="2" s="1"/>
  <c r="F13" i="1"/>
  <c r="G13" i="1" s="1"/>
  <c r="I40" i="2"/>
  <c r="M40" i="2" s="1"/>
  <c r="F25" i="1"/>
  <c r="G25" i="1" s="1"/>
  <c r="G38" i="2"/>
  <c r="K38" i="2" s="1"/>
  <c r="F5" i="1"/>
  <c r="G53" i="2"/>
  <c r="K53" i="2" s="1"/>
  <c r="AJ61" i="1"/>
  <c r="AI61" i="1" s="1"/>
  <c r="G44" i="2"/>
  <c r="K44" i="2" s="1"/>
  <c r="F53" i="1"/>
  <c r="G53" i="1" s="1"/>
  <c r="I39" i="2"/>
  <c r="M39" i="2" s="1"/>
  <c r="F17" i="1"/>
  <c r="G17" i="1" s="1"/>
  <c r="F57" i="1"/>
  <c r="G57" i="1" s="1"/>
  <c r="I44" i="2"/>
  <c r="M44" i="2" s="1"/>
  <c r="I38" i="2"/>
  <c r="M38" i="2" s="1"/>
  <c r="F9" i="1"/>
  <c r="G9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I41" i="2"/>
  <c r="M41" i="2" s="1"/>
  <c r="F33" i="1"/>
  <c r="G33" i="1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C11" i="2" s="1"/>
  <c r="B10" i="2"/>
  <c r="A10" i="2"/>
  <c r="B9" i="2"/>
  <c r="A9" i="2"/>
  <c r="B8" i="2"/>
  <c r="A8" i="2"/>
  <c r="C8" i="2" s="1"/>
  <c r="B7" i="2"/>
  <c r="A7" i="2"/>
  <c r="B6" i="2"/>
  <c r="A6" i="2"/>
  <c r="B5" i="2"/>
  <c r="C7" i="2"/>
  <c r="C6" i="2"/>
  <c r="P22" i="2" l="1"/>
  <c r="I46" i="2"/>
  <c r="J46" i="2" s="1" a="1"/>
  <c r="J46" i="2" s="1"/>
  <c r="AJ9" i="1"/>
  <c r="AI9" i="1" s="1"/>
  <c r="P31" i="2"/>
  <c r="G51" i="2"/>
  <c r="AJ45" i="1"/>
  <c r="AI45" i="1" s="1"/>
  <c r="Q19" i="2"/>
  <c r="F61" i="1"/>
  <c r="G61" i="1" s="1"/>
  <c r="G45" i="2"/>
  <c r="F45" i="2" s="1" a="1"/>
  <c r="F45" i="2" s="1"/>
  <c r="F65" i="1"/>
  <c r="G65" i="1" s="1"/>
  <c r="Q34" i="2"/>
  <c r="Q22" i="2"/>
  <c r="Q24" i="2"/>
  <c r="Q31" i="2"/>
  <c r="I52" i="2"/>
  <c r="J52" i="2" s="1" a="1"/>
  <c r="J52" i="2" s="1"/>
  <c r="AJ57" i="1"/>
  <c r="AI57" i="1" s="1"/>
  <c r="AJ17" i="1"/>
  <c r="AI17" i="1" s="1"/>
  <c r="I47" i="2"/>
  <c r="Q25" i="2"/>
  <c r="G48" i="2"/>
  <c r="AJ21" i="1"/>
  <c r="AI21" i="1" s="1"/>
  <c r="G5" i="1"/>
  <c r="I49" i="2"/>
  <c r="AJ33" i="1"/>
  <c r="AI33" i="1" s="1"/>
  <c r="I48" i="2"/>
  <c r="AJ25" i="1"/>
  <c r="AI25" i="1" s="1"/>
  <c r="Q20" i="2"/>
  <c r="I45" i="2"/>
  <c r="M45" i="2" s="1"/>
  <c r="J43" i="2" a="1"/>
  <c r="J43" i="2" s="1"/>
  <c r="G49" i="2"/>
  <c r="K49" i="2" s="1"/>
  <c r="AJ29" i="1"/>
  <c r="AI29" i="1" s="1"/>
  <c r="F41" i="2" a="1"/>
  <c r="F41" i="2" s="1"/>
  <c r="F39" i="2" a="1"/>
  <c r="F39" i="2" s="1"/>
  <c r="F38" i="2" a="1"/>
  <c r="F38" i="2" s="1"/>
  <c r="F53" i="2" a="1"/>
  <c r="F53" i="2" s="1"/>
  <c r="Q28" i="2"/>
  <c r="Q26" i="2"/>
  <c r="Q27" i="2"/>
  <c r="Q23" i="2"/>
  <c r="AJ13" i="1"/>
  <c r="AI13" i="1" s="1"/>
  <c r="G47" i="2"/>
  <c r="K47" i="2" s="1"/>
  <c r="I51" i="2"/>
  <c r="M51" i="2" s="1"/>
  <c r="AJ49" i="1"/>
  <c r="AI49" i="1" s="1"/>
  <c r="Q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Q29" i="2"/>
  <c r="Q30" i="2"/>
  <c r="Q36" i="2"/>
  <c r="Q33" i="2"/>
  <c r="Q32" i="2"/>
  <c r="AJ37" i="1"/>
  <c r="AI37" i="1" s="1"/>
  <c r="G50" i="2"/>
  <c r="K50" i="2" s="1"/>
  <c r="O41" i="2"/>
  <c r="P41" i="2" s="1"/>
  <c r="A40" i="2"/>
  <c r="F40" i="2" a="1"/>
  <c r="F40" i="2" s="1"/>
  <c r="O38" i="2"/>
  <c r="P38" i="2" s="1"/>
  <c r="O40" i="2"/>
  <c r="P40" i="2" s="1"/>
  <c r="J40" i="2" a="1"/>
  <c r="J40" i="2" s="1"/>
  <c r="O44" i="2"/>
  <c r="P44" i="2" s="1"/>
  <c r="O43" i="2"/>
  <c r="P43" i="2" s="1"/>
  <c r="A44" i="2"/>
  <c r="F44" i="2" a="1"/>
  <c r="F44" i="2" s="1"/>
  <c r="O42" i="2"/>
  <c r="P42" i="2" s="1"/>
  <c r="J39" i="2" a="1"/>
  <c r="J39" i="2" s="1"/>
  <c r="O39" i="2"/>
  <c r="P39" i="2" s="1"/>
  <c r="J38" i="2" a="1"/>
  <c r="J38" i="2" s="1"/>
  <c r="J44" i="2" a="1"/>
  <c r="J44" i="2" s="1"/>
  <c r="B44" i="2"/>
  <c r="F42" i="2" a="1"/>
  <c r="F42" i="2" s="1"/>
  <c r="F43" i="2" a="1"/>
  <c r="F43" i="2" s="1"/>
  <c r="J42" i="2" a="1"/>
  <c r="J42" i="2" s="1"/>
  <c r="B42" i="2"/>
  <c r="J41" i="2" a="1"/>
  <c r="J41" i="2" s="1"/>
  <c r="B41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A39" i="2"/>
  <c r="C17" i="2"/>
  <c r="A41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A38" i="2"/>
  <c r="B38" i="2"/>
  <c r="C24" i="2"/>
  <c r="C29" i="2"/>
  <c r="B40" i="2"/>
  <c r="A42" i="2"/>
  <c r="C13" i="2"/>
  <c r="C19" i="2"/>
  <c r="A53" i="2"/>
  <c r="B39" i="2"/>
  <c r="K51" i="2" l="1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Q39" i="2"/>
  <c r="Q42" i="2"/>
  <c r="Q38" i="2"/>
  <c r="Q40" i="2"/>
  <c r="Q44" i="2"/>
  <c r="Q43" i="2"/>
  <c r="Q41" i="2"/>
  <c r="I56" i="2"/>
  <c r="M56" i="2" s="1"/>
  <c r="I31" i="1"/>
  <c r="J31" i="1" s="1"/>
  <c r="G55" i="2"/>
  <c r="K55" i="2" s="1"/>
  <c r="I7" i="1"/>
  <c r="J7" i="1" s="1"/>
  <c r="I23" i="1"/>
  <c r="J23" i="1" s="1"/>
  <c r="G56" i="2"/>
  <c r="K56" i="2" s="1"/>
  <c r="C40" i="2"/>
  <c r="I55" i="1"/>
  <c r="J55" i="1" s="1"/>
  <c r="G58" i="2"/>
  <c r="K58" i="2" s="1"/>
  <c r="C44" i="2"/>
  <c r="I55" i="2"/>
  <c r="M55" i="2" s="1"/>
  <c r="I15" i="1"/>
  <c r="J15" i="1" s="1"/>
  <c r="G57" i="2"/>
  <c r="K57" i="2" s="1"/>
  <c r="I39" i="1"/>
  <c r="J39" i="1" s="1"/>
  <c r="C43" i="2"/>
  <c r="I57" i="2"/>
  <c r="M57" i="2" s="1"/>
  <c r="I47" i="1"/>
  <c r="J47" i="1" s="1"/>
  <c r="C42" i="2"/>
  <c r="C41" i="2"/>
  <c r="C39" i="2"/>
  <c r="C38" i="2"/>
  <c r="C10" i="2"/>
  <c r="Q48" i="2" l="1"/>
  <c r="C48" i="2"/>
  <c r="G60" i="2"/>
  <c r="AG23" i="1"/>
  <c r="AF23" i="1" s="1"/>
  <c r="C45" i="2"/>
  <c r="I58" i="2"/>
  <c r="M58" i="2" s="1"/>
  <c r="Q45" i="2"/>
  <c r="I63" i="1"/>
  <c r="J63" i="1" s="1"/>
  <c r="C51" i="2"/>
  <c r="Q51" i="2"/>
  <c r="C53" i="2"/>
  <c r="Q53" i="2"/>
  <c r="Q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Q47" i="2"/>
  <c r="C47" i="2"/>
  <c r="C52" i="2"/>
  <c r="Q52" i="2"/>
  <c r="I59" i="2"/>
  <c r="M59" i="2" s="1"/>
  <c r="AG15" i="1"/>
  <c r="AF15" i="1" s="1"/>
  <c r="G62" i="2"/>
  <c r="K62" i="2" s="1"/>
  <c r="AG55" i="1"/>
  <c r="AF55" i="1" s="1"/>
  <c r="Q46" i="2"/>
  <c r="C46" i="2"/>
  <c r="G59" i="2"/>
  <c r="K59" i="2" s="1"/>
  <c r="AG7" i="1"/>
  <c r="AF7" i="1" s="1"/>
  <c r="Q50" i="2"/>
  <c r="G61" i="2"/>
  <c r="K61" i="2" s="1"/>
  <c r="AG39" i="1"/>
  <c r="AF39" i="1" s="1"/>
  <c r="C50" i="2"/>
  <c r="O56" i="2"/>
  <c r="P56" i="2" s="1"/>
  <c r="J56" i="2" a="1"/>
  <c r="J56" i="2" s="1"/>
  <c r="B56" i="2"/>
  <c r="F55" i="2" a="1"/>
  <c r="F55" i="2" s="1"/>
  <c r="A55" i="2"/>
  <c r="A56" i="2"/>
  <c r="F56" i="2" a="1"/>
  <c r="F56" i="2" s="1"/>
  <c r="A58" i="2"/>
  <c r="F58" i="2" a="1"/>
  <c r="F58" i="2" s="1"/>
  <c r="O57" i="2"/>
  <c r="P57" i="2" s="1"/>
  <c r="B55" i="2"/>
  <c r="J55" i="2" a="1"/>
  <c r="J55" i="2" s="1"/>
  <c r="O55" i="2"/>
  <c r="P55" i="2" s="1"/>
  <c r="A57" i="2"/>
  <c r="F57" i="2" a="1"/>
  <c r="F57" i="2" s="1"/>
  <c r="B57" i="2"/>
  <c r="J57" i="2" a="1"/>
  <c r="J57" i="2" s="1"/>
  <c r="K60" i="2" l="1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Q57" i="2"/>
  <c r="Q55" i="2"/>
  <c r="Q56" i="2"/>
  <c r="L27" i="1"/>
  <c r="M27" i="1" s="1"/>
  <c r="I64" i="2"/>
  <c r="M64" i="2" s="1"/>
  <c r="C56" i="2"/>
  <c r="C55" i="2"/>
  <c r="G64" i="2"/>
  <c r="K64" i="2" s="1"/>
  <c r="L11" i="1"/>
  <c r="M11" i="1" s="1"/>
  <c r="C57" i="2"/>
  <c r="G65" i="2"/>
  <c r="K65" i="2" s="1"/>
  <c r="L43" i="1"/>
  <c r="M43" i="1" s="1"/>
  <c r="C60" i="2" l="1"/>
  <c r="Q58" i="2"/>
  <c r="C58" i="2"/>
  <c r="I65" i="2"/>
  <c r="M65" i="2" s="1"/>
  <c r="L59" i="1"/>
  <c r="M59" i="1" s="1"/>
  <c r="Q60" i="2"/>
  <c r="I67" i="2"/>
  <c r="M67" i="2" s="1"/>
  <c r="AD59" i="1"/>
  <c r="AC59" i="1" s="1"/>
  <c r="Q62" i="2"/>
  <c r="C62" i="2"/>
  <c r="AD27" i="1"/>
  <c r="AC27" i="1" s="1"/>
  <c r="I66" i="2"/>
  <c r="M66" i="2" s="1"/>
  <c r="C59" i="2"/>
  <c r="AD11" i="1"/>
  <c r="AC11" i="1" s="1"/>
  <c r="G66" i="2"/>
  <c r="K66" i="2" s="1"/>
  <c r="Q59" i="2"/>
  <c r="Q61" i="2"/>
  <c r="G67" i="2"/>
  <c r="K67" i="2" s="1"/>
  <c r="C61" i="2"/>
  <c r="AD43" i="1"/>
  <c r="AC43" i="1" s="1"/>
  <c r="B64" i="2"/>
  <c r="J64" i="2" a="1"/>
  <c r="J64" i="2" s="1"/>
  <c r="O64" i="2"/>
  <c r="P64" i="2" s="1"/>
  <c r="A64" i="2"/>
  <c r="F64" i="2" a="1"/>
  <c r="F64" i="2" s="1"/>
  <c r="A65" i="2"/>
  <c r="F65" i="2" a="1"/>
  <c r="F65" i="2" s="1"/>
  <c r="O65" i="2" l="1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Q64" i="2"/>
  <c r="C64" i="2"/>
  <c r="G69" i="2"/>
  <c r="K69" i="2" s="1"/>
  <c r="O19" i="1"/>
  <c r="P19" i="1" s="1"/>
  <c r="Q65" i="2" l="1"/>
  <c r="C65" i="2"/>
  <c r="I69" i="2"/>
  <c r="O51" i="1"/>
  <c r="P51" i="1" s="1"/>
  <c r="Q67" i="2"/>
  <c r="G70" i="2"/>
  <c r="K70" i="2" s="1"/>
  <c r="C66" i="2"/>
  <c r="Q66" i="2"/>
  <c r="AA19" i="1"/>
  <c r="Z19" i="1" s="1"/>
  <c r="I70" i="2"/>
  <c r="M70" i="2" s="1"/>
  <c r="AA51" i="1"/>
  <c r="Z51" i="1" s="1"/>
  <c r="C67" i="2"/>
  <c r="A69" i="2"/>
  <c r="F69" i="2" a="1"/>
  <c r="F69" i="2" s="1"/>
  <c r="M69" i="2" l="1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Q69" i="2" l="1"/>
  <c r="C69" i="2"/>
  <c r="G72" i="2"/>
  <c r="F72" i="2" s="1" a="1"/>
  <c r="F72" i="2" s="1"/>
  <c r="R27" i="1"/>
  <c r="U27" i="1" s="1"/>
  <c r="V39" i="1"/>
  <c r="U39" i="1" s="1"/>
  <c r="I72" i="2"/>
  <c r="M72" i="2" s="1"/>
  <c r="Q70" i="2"/>
  <c r="C70" i="2"/>
  <c r="K72" i="2" l="1"/>
  <c r="A72" i="2"/>
  <c r="O72" i="2"/>
  <c r="P72" i="2" s="1"/>
  <c r="B72" i="2"/>
  <c r="J72" i="2" a="1"/>
  <c r="J72" i="2" s="1"/>
  <c r="S32" i="1" l="1"/>
  <c r="T11" i="1" s="1"/>
  <c r="Q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<sst xmlns="http://schemas.openxmlformats.org/spreadsheetml/2006/main" count="300" uniqueCount="158">
  <si>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</si>
  <si>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</si>
  <si>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</si>
  <si>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</si>
  <si>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</si>
  <si>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</si>
  <si>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</si>
  <si>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</si>
  <si>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</si>
  <si>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</si>
  <si>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</si>
  <si>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</si>
  <si>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</si>
  <si>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</si>
  <si>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</si>
  <si>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</si>
  <si>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</si>
  <si>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</si>
  <si>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</si>
  <si>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</si>
  <si>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</si>
  <si>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</si>
  <si>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</si>
  <si>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</si>
  <si>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</si>
  <si>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</si>
  <si>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</si>
  <si>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</si>
  <si>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abilene-christian</t>
  </si>
  <si>
    <t>Hyperlink Name</t>
  </si>
  <si>
    <t>arizona</t>
  </si>
  <si>
    <t>air-force</t>
  </si>
  <si>
    <t>akron</t>
  </si>
  <si>
    <t>alabama</t>
  </si>
  <si>
    <t>alabama-am</t>
  </si>
  <si>
    <t>alabama-state</t>
  </si>
  <si>
    <t>albany-ny</t>
  </si>
  <si>
    <t>alcorn-state</t>
  </si>
  <si>
    <t>american</t>
  </si>
  <si>
    <t>appalachian-state</t>
  </si>
  <si>
    <t>arizona-state</t>
  </si>
  <si>
    <t>arkansas</t>
  </si>
  <si>
    <t>arkansas-state</t>
  </si>
  <si>
    <t>arkansas-pine-bluff</t>
  </si>
  <si>
    <t>army</t>
  </si>
  <si>
    <t>auburn</t>
  </si>
  <si>
    <t>austin-peay</t>
  </si>
  <si>
    <t>ball-state</t>
  </si>
  <si>
    <t>baylor</t>
  </si>
  <si>
    <t>bellarmine</t>
  </si>
  <si>
    <t>belmont</t>
  </si>
  <si>
    <t>bethune-cookman</t>
  </si>
  <si>
    <t>binghamton</t>
  </si>
  <si>
    <t>boise-state</t>
  </si>
  <si>
    <t>boston-college</t>
  </si>
  <si>
    <t>boston-university</t>
  </si>
  <si>
    <t>bowling-green-state</t>
  </si>
  <si>
    <t>bradley</t>
  </si>
  <si>
    <t>brigham-young</t>
  </si>
  <si>
    <t>brown</t>
  </si>
  <si>
    <t>bryant</t>
  </si>
  <si>
    <t>bucknell</t>
  </si>
  <si>
    <t>buffalo</t>
  </si>
  <si>
    <t>butler</t>
  </si>
  <si>
    <t>cal-poly</t>
  </si>
  <si>
    <t>cal-state-bakersfield</t>
  </si>
  <si>
    <t>cal-state-fullerton</t>
  </si>
  <si>
    <t>cal-state-northridge</t>
  </si>
  <si>
    <t>california</t>
  </si>
  <si>
    <t>california-baptist</t>
  </si>
  <si>
    <t>campbell</t>
  </si>
  <si>
    <t>canisius</t>
  </si>
  <si>
    <t>central-arkansas</t>
  </si>
  <si>
    <t>central-connecticut-state</t>
  </si>
  <si>
    <t>central-michigan</t>
  </si>
  <si>
    <t>charleston-southern</t>
  </si>
  <si>
    <t>charlotte</t>
  </si>
  <si>
    <t>chattanooga</t>
  </si>
  <si>
    <t>chicago-state</t>
  </si>
  <si>
    <t>cincinnati</t>
  </si>
  <si>
    <t>clemson</t>
  </si>
  <si>
    <t>cleveland-state</t>
  </si>
  <si>
    <t>coastal-carolina</t>
  </si>
  <si>
    <t>colgate</t>
  </si>
  <si>
    <t>college-of-charleston</t>
  </si>
  <si>
    <t>colorado</t>
  </si>
  <si>
    <t>colorado-state</t>
  </si>
  <si>
    <t>columbia</t>
  </si>
  <si>
    <t>connecticut</t>
  </si>
  <si>
    <t>coppin-state</t>
  </si>
  <si>
    <t>cornell</t>
  </si>
  <si>
    <t>creighton</t>
  </si>
  <si>
    <t>dartmouth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</si>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</sst>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76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46" fillId="7" borderId="48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6" fillId="7" borderId="4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48" fillId="5" borderId="68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67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4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center" vertical="center"/>
    </xf>
    <xf numFmtId="0" fontId="48" fillId="5" borderId="51" xfId="0" applyFont="1" applyFill="1" applyBorder="1" applyAlignment="1">
      <alignment horizontal="right" vertical="center" shrinkToFit="1"/>
    </xf>
    <xf numFmtId="0" fontId="48" fillId="5" borderId="53" xfId="0" applyFont="1" applyFill="1" applyBorder="1" applyAlignment="1">
      <alignment horizontal="left" vertical="center" shrinkToFit="1"/>
    </xf>
    <xf numFmtId="0" fontId="48" fillId="5" borderId="52" xfId="0" applyFont="1" applyFill="1" applyBorder="1" applyAlignment="1">
      <alignment horizontal="center" vertical="center" shrinkToFit="1"/>
    </xf>
    <xf numFmtId="0" fontId="48" fillId="5" borderId="54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7" xfId="0" applyFont="1" applyFill="1" applyBorder="1" applyAlignment="1">
      <alignment horizontal="right" vertical="center" shrinkToFit="1"/>
    </xf>
    <xf numFmtId="0" fontId="48" fillId="3" borderId="58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center" vertical="center"/>
    </xf>
    <xf numFmtId="0" fontId="48" fillId="3" borderId="51" xfId="0" applyFont="1" applyFill="1" applyBorder="1" applyAlignment="1">
      <alignment horizontal="right" vertical="center" shrinkToFit="1"/>
    </xf>
    <xf numFmtId="0" fontId="48" fillId="3" borderId="53" xfId="0" applyFont="1" applyFill="1" applyBorder="1" applyAlignment="1">
      <alignment horizontal="left" vertical="center" shrinkToFit="1"/>
    </xf>
    <xf numFmtId="0" fontId="48" fillId="3" borderId="52" xfId="0" applyFont="1" applyFill="1" applyBorder="1" applyAlignment="1">
      <alignment horizontal="center" vertical="center" shrinkToFit="1"/>
    </xf>
    <xf numFmtId="0" fontId="48" fillId="3" borderId="54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center" vertical="center"/>
    </xf>
    <xf numFmtId="0" fontId="48" fillId="5" borderId="61" xfId="0" applyFont="1" applyFill="1" applyBorder="1" applyAlignment="1">
      <alignment horizontal="right" vertical="center" shrinkToFit="1"/>
    </xf>
    <xf numFmtId="0" fontId="48" fillId="5" borderId="62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3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center" vertical="center"/>
    </xf>
    <xf numFmtId="0" fontId="48" fillId="3" borderId="61" xfId="0" applyFont="1" applyFill="1" applyBorder="1" applyAlignment="1">
      <alignment horizontal="right" vertical="center" shrinkToFit="1"/>
    </xf>
    <xf numFmtId="0" fontId="48" fillId="3" borderId="62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3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5" xfId="0" applyFont="1" applyFill="1" applyBorder="1" applyAlignment="1">
      <alignment horizontal="right" vertical="center" shrinkToFit="1"/>
    </xf>
    <xf numFmtId="0" fontId="48" fillId="5" borderId="56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73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2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2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1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1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1" xfId="0" applyFont="1" applyFill="1" applyBorder="1" applyAlignment="1">
      <alignment horizontal="left" vertical="center" indent="1" shrinkToFit="1"/>
    </xf>
    <xf numFmtId="0" fontId="51" fillId="3" borderId="61" xfId="0" applyFont="1" applyFill="1" applyBorder="1" applyAlignment="1">
      <alignment horizontal="left" vertical="center" indent="1" shrinkToFit="1"/>
    </xf>
    <xf numFmtId="0" fontId="51" fillId="5" borderId="55" xfId="0" applyFont="1" applyFill="1" applyBorder="1" applyAlignment="1">
      <alignment horizontal="left" vertical="center" indent="1" shrinkToFit="1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33" fillId="6" borderId="65" xfId="0" applyFont="1" applyFill="1" applyBorder="1" applyAlignment="1">
      <alignment horizontal="center"/>
    </xf>
    <xf numFmtId="0" fontId="33" fillId="6" borderId="66" xfId="0" applyFont="1" applyFill="1" applyBorder="1" applyAlignment="1">
      <alignment horizontal="center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5" xfId="0" applyFont="1" applyFill="1" applyBorder="1" applyAlignment="1">
      <alignment horizontal="right" vertical="center"/>
    </xf>
    <xf numFmtId="0" fontId="33" fillId="6" borderId="66" xfId="0" applyFont="1" applyFill="1" applyBorder="1" applyAlignment="1">
      <alignment horizontal="right" vertic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9" fillId="6" borderId="0" xfId="0" applyFont="1" applyFill="1" applyAlignment="1">
      <alignment horizontal="left" vertical="top" wrapText="1"/>
    </xf>
    <xf numFmtId="0" fontId="37" fillId="6" borderId="64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 customBuiltin="1"/>
  </cellStyles>
  <dxfs count="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9F0E7"/>
      <color rgb="FFF67008"/>
      <color rgb="FFFAF1E8"/>
      <color rgb="FFFBF5EF"/>
      <color rgb="FFAD6424"/>
      <color rgb="FFFCF7F2"/>
      <color rgb="FFF6E7D8"/>
      <color rgb="FF003E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externalLink" Target="externalLinks/externalLink1.xml"/><Relationship Id="rId9" Type="http://schemas.microsoft.com/office/2020/07/relationships/rdRichValueWebImage" Target="richData/rdRichValueWebImag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boston-university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bowling-green-stat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>
      <calculatedColumnFormula>_xlfn.CONCAT("Team",Teams[[#This Row],[Region]],Teams[[#This Row],[Seed]])</calculatedColumnFormula>
    </tableColumn>
    <tableColumn id="5" xr3:uid="{5B5B6B66-69E6-43F4-9B60-841171B24FC7}" name="Hyperlink Name" dataDxfId="1">
      <calculatedColumnFormula array="1">_xlfn.CHOOSECOLS(_xlfn.TEXTSPLIT(B2,"/",,TRUE,0,),5)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dimension ref="A1:F65"/>
  <sheetViews>
    <sheetView workbookViewId="0">
      <pane ySplit="1" topLeftCell="A32" activePane="bottomLeft" state="frozen"/>
      <selection pane="bottomLeft" sqref="A1:XFD1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29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93</v>
      </c>
      <c r="D2" t="s">
        <v>28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94</v>
      </c>
      <c r="D3" t="s">
        <v>31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95</v>
      </c>
      <c r="D4" t="s">
        <v>32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96</v>
      </c>
      <c r="D5" t="s">
        <v>33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97</v>
      </c>
      <c r="D6" t="s">
        <v>34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98</v>
      </c>
      <c r="D7" t="s">
        <v>35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99</v>
      </c>
      <c r="D8" t="s">
        <v>36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100</v>
      </c>
      <c r="D9" t="s">
        <v>37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101</v>
      </c>
      <c r="D10" t="s">
        <v>38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102</v>
      </c>
      <c r="D11" t="s">
        <v>39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103</v>
      </c>
      <c r="D12" t="s">
        <v>30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104</v>
      </c>
      <c r="D13" t="s">
        <v>40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105</v>
      </c>
      <c r="D14" t="s">
        <v>41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106</v>
      </c>
      <c r="D15" t="s">
        <v>42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107</v>
      </c>
      <c r="D16" t="s">
        <v>43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108</v>
      </c>
      <c r="D17" t="s">
        <v>44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109</v>
      </c>
      <c r="D18" t="s">
        <v>45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110</v>
      </c>
      <c r="D19" t="s">
        <v>46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111</v>
      </c>
      <c r="D20" t="s">
        <v>47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112</v>
      </c>
      <c r="D21" t="s">
        <v>48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113</v>
      </c>
      <c r="D22" t="s">
        <v>49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114</v>
      </c>
      <c r="D23" t="s">
        <v>50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115</v>
      </c>
      <c r="D24" t="s">
        <v>51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116</v>
      </c>
      <c r="D25" t="s">
        <v>52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117</v>
      </c>
      <c r="D26" t="s">
        <v>53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118</v>
      </c>
      <c r="D27" t="s">
        <v>54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119</v>
      </c>
      <c r="D28" t="s">
        <v>55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120</v>
      </c>
      <c r="D29" t="s">
        <v>56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121</v>
      </c>
      <c r="D30" t="s">
        <v>57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122</v>
      </c>
      <c r="D31" t="s">
        <v>58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123</v>
      </c>
      <c r="D32" t="s">
        <v>59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124</v>
      </c>
      <c r="D33" t="s">
        <v>60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125</v>
      </c>
      <c r="D34" t="s">
        <v>61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126</v>
      </c>
      <c r="D35" t="s">
        <v>62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127</v>
      </c>
      <c r="D36" t="s">
        <v>63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128</v>
      </c>
      <c r="D37" t="s">
        <v>64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129</v>
      </c>
      <c r="D38" t="s">
        <v>65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130</v>
      </c>
      <c r="D39" t="s">
        <v>66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131</v>
      </c>
      <c r="D40" t="s">
        <v>67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132</v>
      </c>
      <c r="D41" t="s">
        <v>68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133</v>
      </c>
      <c r="D42" t="s">
        <v>69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134</v>
      </c>
      <c r="D43" t="s">
        <v>70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135</v>
      </c>
      <c r="D44" t="s">
        <v>71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136</v>
      </c>
      <c r="D45" t="s">
        <v>72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137</v>
      </c>
      <c r="D46" t="s">
        <v>73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138</v>
      </c>
      <c r="D47" t="s">
        <v>74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139</v>
      </c>
      <c r="D48" t="s">
        <v>75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140</v>
      </c>
      <c r="D49" t="s">
        <v>76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141</v>
      </c>
      <c r="D50" t="s">
        <v>77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142</v>
      </c>
      <c r="D51" t="s">
        <v>78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143</v>
      </c>
      <c r="D52" t="s">
        <v>79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144</v>
      </c>
      <c r="D53" t="s">
        <v>80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145</v>
      </c>
      <c r="D54" t="s">
        <v>81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146</v>
      </c>
      <c r="D55" t="s">
        <v>82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147</v>
      </c>
      <c r="D56" t="s">
        <v>83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148</v>
      </c>
      <c r="D57" t="s">
        <v>84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149</v>
      </c>
      <c r="D58" t="s">
        <v>85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150</v>
      </c>
      <c r="D59" t="s">
        <v>86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151</v>
      </c>
      <c r="D60" t="s">
        <v>87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152</v>
      </c>
      <c r="D61" t="s">
        <v>88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153</v>
      </c>
      <c r="D62" t="s">
        <v>89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154</v>
      </c>
      <c r="D63" t="s">
        <v>90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155</v>
      </c>
      <c r="D64" t="s">
        <v>91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156</v>
      </c>
      <c r="D65" t="s">
        <v>92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S75"/>
  <sheetViews>
    <sheetView showGridLines="0" topLeftCell="E1" zoomScaleNormal="100" workbookViewId="0">
      <pane ySplit="4" topLeftCell="A53" activePane="bottomLeft" state="frozen"/>
      <selection activeCell="E1" sqref="E1"/>
      <selection pane="bottomLeft" activeCell="K3" sqref="K3:L4"/>
    </sheetView>
  </sheetViews>
  <sheetFormatPr defaultColWidth="0" defaultRowHeight="13.2" zeroHeight="1" x14ac:dyDescent="0.25"/>
  <cols>
    <col min="1" max="1" width="8.109375" style="105" hidden="1" customWidth="1"/>
    <col min="2" max="4" width="8.88671875" style="105" hidden="1" customWidth="1"/>
    <col min="5" max="5" width="9.33203125" style="84" customWidth="1"/>
    <col min="6" max="6" width="5.88671875" style="84" bestFit="1" customWidth="1"/>
    <col min="7" max="7" width="22.21875" style="187" customWidth="1"/>
    <col min="8" max="8" width="2.6640625" style="188" bestFit="1" customWidth="1"/>
    <col min="9" max="9" width="22.21875" style="189" customWidth="1"/>
    <col min="10" max="10" width="5.88671875" style="84" bestFit="1" customWidth="1"/>
    <col min="11" max="11" width="5.5546875" style="189" customWidth="1"/>
    <col min="12" max="12" width="10.6640625" style="189" customWidth="1"/>
    <col min="13" max="13" width="5.5546875" style="189" customWidth="1"/>
    <col min="14" max="14" width="10.6640625" style="189" customWidth="1"/>
    <col min="15" max="15" width="24.5546875" style="189" customWidth="1"/>
    <col min="16" max="16" width="6" style="84" customWidth="1"/>
    <col min="17" max="17" width="8.88671875" style="6" hidden="1" customWidth="1"/>
    <col min="18" max="18" width="3.5546875" style="6" hidden="1" customWidth="1"/>
    <col min="19" max="19" width="9.109375" style="6" customWidth="1"/>
    <col min="20" max="16384" width="9.109375" style="6" hidden="1"/>
  </cols>
  <sheetData>
    <row r="1" spans="1:18" s="103" customFormat="1" ht="6" customHeight="1" x14ac:dyDescent="0.25">
      <c r="A1" s="99"/>
      <c r="B1" s="99"/>
      <c r="C1" s="99"/>
      <c r="D1" s="99"/>
      <c r="E1" s="83"/>
      <c r="F1" s="83"/>
      <c r="G1" s="100" t="s">
        <v>13</v>
      </c>
      <c r="H1" s="101"/>
      <c r="I1" s="102"/>
      <c r="J1" s="83"/>
      <c r="K1" s="102"/>
      <c r="L1" s="102"/>
      <c r="M1" s="102"/>
      <c r="N1" s="102"/>
      <c r="O1" s="102"/>
      <c r="P1" s="83"/>
      <c r="R1" s="103" t="s">
        <v>26</v>
      </c>
    </row>
    <row r="2" spans="1:18" s="103" customFormat="1" ht="6" customHeight="1" thickBot="1" x14ac:dyDescent="0.3">
      <c r="A2" s="99"/>
      <c r="B2" s="99"/>
      <c r="C2" s="99"/>
      <c r="D2" s="99"/>
      <c r="E2" s="83"/>
      <c r="F2" s="83"/>
      <c r="G2" s="104"/>
      <c r="H2" s="101"/>
      <c r="I2" s="102"/>
      <c r="J2" s="83"/>
      <c r="K2" s="102"/>
      <c r="L2" s="102"/>
      <c r="M2" s="102"/>
      <c r="N2" s="102"/>
      <c r="O2" s="102"/>
      <c r="P2" s="83"/>
    </row>
    <row r="3" spans="1:18" ht="13.8" x14ac:dyDescent="0.25">
      <c r="C3" s="105" t="s">
        <v>12</v>
      </c>
      <c r="D3" s="106" t="s">
        <v>11</v>
      </c>
      <c r="E3" s="266" t="s">
        <v>10</v>
      </c>
      <c r="F3" s="264" t="s">
        <v>21</v>
      </c>
      <c r="G3" s="268" t="s">
        <v>157</v>
      </c>
      <c r="H3" s="268"/>
      <c r="I3" s="268"/>
      <c r="J3" s="264" t="s">
        <v>21</v>
      </c>
      <c r="K3" s="264" t="s">
        <v>24</v>
      </c>
      <c r="L3" s="264"/>
      <c r="M3" s="264" t="s">
        <v>25</v>
      </c>
      <c r="N3" s="264"/>
      <c r="O3" s="264" t="s">
        <v>8</v>
      </c>
      <c r="P3" s="71"/>
    </row>
    <row r="4" spans="1:18" ht="14.4" thickBot="1" x14ac:dyDescent="0.3">
      <c r="D4" s="106"/>
      <c r="E4" s="267"/>
      <c r="F4" s="265"/>
      <c r="G4" s="269"/>
      <c r="H4" s="269"/>
      <c r="I4" s="269"/>
      <c r="J4" s="265"/>
      <c r="K4" s="265"/>
      <c r="L4" s="265"/>
      <c r="M4" s="265"/>
      <c r="N4" s="265"/>
      <c r="O4" s="265"/>
      <c r="P4" s="70"/>
    </row>
    <row r="5" spans="1:18" ht="24" customHeight="1" x14ac:dyDescent="0.25">
      <c r="A5" s="105" t="str">
        <f>G5</f>
        <v>Abilene Christian</v>
      </c>
      <c r="B5" s="105" t="str">
        <f t="shared" ref="B5:B36" si="0">I5</f>
        <v>Air Force</v>
      </c>
      <c r="C5" s="105" t="str">
        <f t="shared" ref="C5:C36" ca="1" si="1">IF(O5="","",IF(A5=O5,B5,A5))</f>
        <v>Abilene Christian</v>
      </c>
      <c r="D5" s="105" t="e">
        <f t="shared" ref="D5:D36" si="2">IF(SeedType=1,0,IF(SeedType=2,VLOOKUP(O5,SeedInfo,2,FALSE)*1,MAX(VLOOKUP(O5,SeedInfo,2,FALSE)-VLOOKUP(C5,SeedInfo,2,FALSE),0)))</f>
        <v>#REF!</v>
      </c>
      <c r="E5" s="107">
        <v>1</v>
      </c>
      <c r="F5" s="108" cm="1">
        <f t="array" ref="F5">_xlfn.XLOOKUP(G5,Teams[[#All],[Team]],Teams[[#All],[Seed]],0,0,1)</f>
        <v>1</v>
      </c>
      <c r="G5" s="109" t="str">
        <f>Teams!C2</f>
        <v>Abilene Christian</v>
      </c>
      <c r="H5" s="190" t="s">
        <v>9</v>
      </c>
      <c r="I5" s="110" t="str">
        <f>Teams!C3</f>
        <v>Air Force</v>
      </c>
      <c r="J5" s="111" cm="1">
        <f t="array" ref="J5">_xlfn.XLOOKUP(I5,Teams[[#All],[Team]],Teams[[#All],[Seed]],0,0,1)</f>
        <v>16</v>
      </c>
      <c r="K5" s="112" t="e" vm="65">
        <f>_xlfn.XLOOKUP(G5,Teams!$C:$C,Teams!$E:$E,,0,1)</f>
        <v>#VALUE!</v>
      </c>
      <c r="L5" s="112">
        <f ca="1">RANDBETWEEN(90,120)</f>
        <v>95</v>
      </c>
      <c r="M5" s="112" t="e" vm="66">
        <f>_xlfn.XLOOKUP(I5,Teams!$C:$C,Teams!$E:$E,,0,1)</f>
        <v>#VALUE!</v>
      </c>
      <c r="N5" s="112">
        <f ca="1">RANDBETWEEN(90,120)</f>
        <v>105</v>
      </c>
      <c r="O5" s="204" t="str">
        <f t="shared" ref="O5:O36" ca="1" si="3">IF(L5&gt;N5,G5,I5)</f>
        <v>Air Force</v>
      </c>
      <c r="P5" s="94" t="e" vm="66">
        <f ca="1">_xlfn.XLOOKUP(O5,Teams!$C:$C,Teams!$E:$E,,0,1)</f>
        <v>#VALUE!</v>
      </c>
      <c r="Q5" s="6" t="b">
        <f ca="1">IF(
O5=G5,
IF(F5&gt;J5,TRUE,FALSE),
IF(J5&gt;F5,TRUE,FALSE))</f>
        <v>1</v>
      </c>
      <c r="R5" s="113"/>
    </row>
    <row r="6" spans="1:18" ht="24" customHeight="1" x14ac:dyDescent="0.25">
      <c r="A6" s="105" t="str">
        <f t="shared" ref="A6:A20" si="4">G6</f>
        <v>Akron</v>
      </c>
      <c r="B6" s="105" t="str">
        <f t="shared" si="0"/>
        <v>Alabama</v>
      </c>
      <c r="C6" s="105" t="str">
        <f t="shared" ca="1" si="1"/>
        <v>Akron</v>
      </c>
      <c r="D6" s="105" t="e">
        <f t="shared" si="2"/>
        <v>#REF!</v>
      </c>
      <c r="E6" s="114">
        <v>2</v>
      </c>
      <c r="F6" s="115" cm="1">
        <f t="array" ref="F6">_xlfn.XLOOKUP(G6,Teams[[#All],[Team]],Teams[[#All],[Seed]],0,0,1)</f>
        <v>8</v>
      </c>
      <c r="G6" s="116" t="str">
        <f>Teams!C4</f>
        <v>Akron</v>
      </c>
      <c r="H6" s="191" t="s">
        <v>9</v>
      </c>
      <c r="I6" s="117" t="str">
        <f>Teams!C5</f>
        <v>Alabama</v>
      </c>
      <c r="J6" s="118" cm="1">
        <f t="array" ref="J6">_xlfn.XLOOKUP(I6,Teams[[#All],[Team]],Teams[[#All],[Seed]],0,0,1)</f>
        <v>9</v>
      </c>
      <c r="K6" s="85" t="e" vm="67">
        <f>_xlfn.XLOOKUP(G6,Teams!$C:$C,Teams!$E:$E,,0,1)</f>
        <v>#VALUE!</v>
      </c>
      <c r="L6" s="85">
        <f t="shared" ref="L6:N36" ca="1" si="5">RANDBETWEEN(90,120)</f>
        <v>97</v>
      </c>
      <c r="M6" s="85" t="e" vm="68">
        <f>_xlfn.XLOOKUP(I6,Teams!$C:$C,Teams!$E:$E,,0,1)</f>
        <v>#VALUE!</v>
      </c>
      <c r="N6" s="85">
        <f t="shared" ca="1" si="5"/>
        <v>106</v>
      </c>
      <c r="O6" s="205" t="str">
        <f t="shared" ca="1" si="3"/>
        <v>Alabama</v>
      </c>
      <c r="P6" s="89" t="e" vm="68">
        <f ca="1">_xlfn.XLOOKUP(O6,Teams!$C:$C,Teams!$E:$E,,0,1)</f>
        <v>#VALUE!</v>
      </c>
      <c r="Q6" s="6" t="b">
        <f t="shared" ref="Q6:Q69" ca="1" si="6">IF(
O6=G6,
IF(F6&gt;J6,TRUE,FALSE),
IF(J6&gt;F6,TRUE,FALSE))</f>
        <v>1</v>
      </c>
      <c r="R6" s="113"/>
    </row>
    <row r="7" spans="1:18" ht="24" customHeight="1" x14ac:dyDescent="0.25">
      <c r="A7" s="105" t="str">
        <f t="shared" si="4"/>
        <v>Alabama A&amp;M</v>
      </c>
      <c r="B7" s="105" t="str">
        <f t="shared" si="0"/>
        <v>Alabama State</v>
      </c>
      <c r="C7" s="105" t="str">
        <f t="shared" ca="1" si="1"/>
        <v>Alabama A&amp;M</v>
      </c>
      <c r="D7" s="105" t="e">
        <f t="shared" si="2"/>
        <v>#REF!</v>
      </c>
      <c r="E7" s="114">
        <v>3</v>
      </c>
      <c r="F7" s="115" cm="1">
        <f t="array" ref="F7">_xlfn.XLOOKUP(G7,Teams[[#All],[Team]],Teams[[#All],[Seed]],0,0,1)</f>
        <v>5</v>
      </c>
      <c r="G7" s="116" t="str">
        <f>Teams!C6</f>
        <v>Alabama A&amp;M</v>
      </c>
      <c r="H7" s="191" t="s">
        <v>9</v>
      </c>
      <c r="I7" s="117" t="str">
        <f>Teams[[#This Row],[Team]]</f>
        <v>Alabama State</v>
      </c>
      <c r="J7" s="118" cm="1">
        <f t="array" ref="J7">_xlfn.XLOOKUP(I7,Teams[[#All],[Team]],Teams[[#All],[Seed]],0,0,1)</f>
        <v>12</v>
      </c>
      <c r="K7" s="85" t="e" vm="69">
        <f>_xlfn.XLOOKUP(G7,Teams!$C:$C,Teams!$E:$E,,0,1)</f>
        <v>#VALUE!</v>
      </c>
      <c r="L7" s="85">
        <f t="shared" ca="1" si="5"/>
        <v>95</v>
      </c>
      <c r="M7" s="85" t="e" vm="70">
        <f>_xlfn.XLOOKUP(I7,Teams!$C:$C,Teams!$E:$E,,0,1)</f>
        <v>#VALUE!</v>
      </c>
      <c r="N7" s="85">
        <f t="shared" ca="1" si="5"/>
        <v>95</v>
      </c>
      <c r="O7" s="205" t="str">
        <f t="shared" ca="1" si="3"/>
        <v>Alabama State</v>
      </c>
      <c r="P7" s="89" t="e" vm="70">
        <f ca="1">_xlfn.XLOOKUP(O7,Teams!$C:$C,Teams!$E:$E,,0,1)</f>
        <v>#VALUE!</v>
      </c>
      <c r="Q7" s="6" t="b">
        <f t="shared" ca="1" si="6"/>
        <v>1</v>
      </c>
      <c r="R7" s="113"/>
    </row>
    <row r="8" spans="1:18" ht="24" customHeight="1" x14ac:dyDescent="0.25">
      <c r="A8" s="105" t="str">
        <f t="shared" si="4"/>
        <v>Albany (NY)</v>
      </c>
      <c r="B8" s="105" t="str">
        <f t="shared" si="0"/>
        <v>Alcorn State</v>
      </c>
      <c r="C8" s="105" t="str">
        <f t="shared" ca="1" si="1"/>
        <v>Alcorn State</v>
      </c>
      <c r="D8" s="105" t="e">
        <f t="shared" si="2"/>
        <v>#REF!</v>
      </c>
      <c r="E8" s="114">
        <v>4</v>
      </c>
      <c r="F8" s="115" cm="1">
        <f t="array" ref="F8">_xlfn.XLOOKUP(G8,Teams[[#All],[Team]],Teams[[#All],[Seed]],0,0,1)</f>
        <v>4</v>
      </c>
      <c r="G8" s="116" t="str">
        <f>Teams[[#This Row],[Team]]</f>
        <v>Albany (NY)</v>
      </c>
      <c r="H8" s="191" t="s">
        <v>9</v>
      </c>
      <c r="I8" s="117" t="str">
        <f>Teams!C9</f>
        <v>Alcorn State</v>
      </c>
      <c r="J8" s="118" cm="1">
        <f t="array" ref="J8">_xlfn.XLOOKUP(I8,Teams[[#All],[Team]],Teams[[#All],[Seed]],0,0,1)</f>
        <v>13</v>
      </c>
      <c r="K8" s="85" t="e" vm="71">
        <f>_xlfn.XLOOKUP(G8,Teams!$C:$C,Teams!$E:$E,,0,1)</f>
        <v>#VALUE!</v>
      </c>
      <c r="L8" s="85">
        <f t="shared" ca="1" si="5"/>
        <v>96</v>
      </c>
      <c r="M8" s="85" t="e" vm="72">
        <f>_xlfn.XLOOKUP(I8,Teams!$C:$C,Teams!$E:$E,,0,1)</f>
        <v>#VALUE!</v>
      </c>
      <c r="N8" s="85">
        <f t="shared" ca="1" si="5"/>
        <v>90</v>
      </c>
      <c r="O8" s="205" t="str">
        <f t="shared" ca="1" si="3"/>
        <v>Albany (NY)</v>
      </c>
      <c r="P8" s="89" t="e" vm="71">
        <f ca="1">_xlfn.XLOOKUP(O8,Teams!$C:$C,Teams!$E:$E,,0,1)</f>
        <v>#VALUE!</v>
      </c>
      <c r="Q8" s="6" t="b">
        <f t="shared" ca="1" si="6"/>
        <v>0</v>
      </c>
      <c r="R8" s="113"/>
    </row>
    <row r="9" spans="1:18" ht="24" customHeight="1" x14ac:dyDescent="0.25">
      <c r="A9" s="105" t="str">
        <f t="shared" si="4"/>
        <v>American</v>
      </c>
      <c r="B9" s="105" t="str">
        <f t="shared" si="0"/>
        <v>Appalachian State</v>
      </c>
      <c r="C9" s="105" t="str">
        <f t="shared" ca="1" si="1"/>
        <v>Appalachian State</v>
      </c>
      <c r="D9" s="105" t="e">
        <f t="shared" si="2"/>
        <v>#REF!</v>
      </c>
      <c r="E9" s="114">
        <v>5</v>
      </c>
      <c r="F9" s="115" cm="1">
        <f t="array" ref="F9">_xlfn.XLOOKUP(G9,Teams[[#All],[Team]],Teams[[#All],[Seed]],0,0,1)</f>
        <v>6</v>
      </c>
      <c r="G9" s="116" t="str">
        <f>Teams!C10</f>
        <v>American</v>
      </c>
      <c r="H9" s="191" t="s">
        <v>9</v>
      </c>
      <c r="I9" s="117" t="str">
        <f>Teams!C11</f>
        <v>Appalachian State</v>
      </c>
      <c r="J9" s="118" cm="1">
        <f t="array" ref="J9">_xlfn.XLOOKUP(I9,Teams[[#All],[Team]],Teams[[#All],[Seed]],0,0,1)</f>
        <v>11</v>
      </c>
      <c r="K9" s="85" t="e" vm="73">
        <f>_xlfn.XLOOKUP(G9,Teams!$C:$C,Teams!$E:$E,,0,1)</f>
        <v>#VALUE!</v>
      </c>
      <c r="L9" s="85">
        <f t="shared" ca="1" si="5"/>
        <v>94</v>
      </c>
      <c r="M9" s="85" t="e" vm="74">
        <f>_xlfn.XLOOKUP(I9,Teams!$C:$C,Teams!$E:$E,,0,1)</f>
        <v>#VALUE!</v>
      </c>
      <c r="N9" s="85">
        <f t="shared" ca="1" si="5"/>
        <v>90</v>
      </c>
      <c r="O9" s="205" t="str">
        <f t="shared" ca="1" si="3"/>
        <v>American</v>
      </c>
      <c r="P9" s="89" t="e" vm="73">
        <f ca="1">_xlfn.XLOOKUP(O9,Teams!$C:$C,Teams!$E:$E,,0,1)</f>
        <v>#VALUE!</v>
      </c>
      <c r="Q9" s="6" t="b">
        <f t="shared" ca="1" si="6"/>
        <v>0</v>
      </c>
      <c r="R9" s="113"/>
    </row>
    <row r="10" spans="1:18" ht="24" customHeight="1" x14ac:dyDescent="0.25">
      <c r="A10" s="105" t="str">
        <f t="shared" si="4"/>
        <v>Arizona</v>
      </c>
      <c r="B10" s="105" t="str">
        <f t="shared" si="0"/>
        <v>Arizona State</v>
      </c>
      <c r="C10" s="105" t="str">
        <f t="shared" ca="1" si="1"/>
        <v>Arizona State</v>
      </c>
      <c r="D10" s="105" t="e">
        <f t="shared" si="2"/>
        <v>#REF!</v>
      </c>
      <c r="E10" s="114">
        <v>6</v>
      </c>
      <c r="F10" s="115" cm="1">
        <f t="array" ref="F10">_xlfn.XLOOKUP(G10,Teams[[#All],[Team]],Teams[[#All],[Seed]],0,0,1)</f>
        <v>3</v>
      </c>
      <c r="G10" s="116" t="str">
        <f>Teams!C12</f>
        <v>Arizona</v>
      </c>
      <c r="H10" s="191" t="s">
        <v>9</v>
      </c>
      <c r="I10" s="117" t="str">
        <f>Teams!C13</f>
        <v>Arizona State</v>
      </c>
      <c r="J10" s="118" cm="1">
        <f t="array" ref="J10">_xlfn.XLOOKUP(I10,Teams[[#All],[Team]],Teams[[#All],[Seed]],0,0,1)</f>
        <v>14</v>
      </c>
      <c r="K10" s="85" t="e" vm="75">
        <f>_xlfn.XLOOKUP(G10,Teams!$C:$C,Teams!$E:$E,,0,1)</f>
        <v>#VALUE!</v>
      </c>
      <c r="L10" s="85">
        <f t="shared" ca="1" si="5"/>
        <v>111</v>
      </c>
      <c r="M10" s="85" t="e" vm="76">
        <f>_xlfn.XLOOKUP(I10,Teams!$C:$C,Teams!$E:$E,,0,1)</f>
        <v>#VALUE!</v>
      </c>
      <c r="N10" s="85">
        <f t="shared" ca="1" si="5"/>
        <v>99</v>
      </c>
      <c r="O10" s="205" t="str">
        <f t="shared" ca="1" si="3"/>
        <v>Arizona</v>
      </c>
      <c r="P10" s="89" t="e" vm="75">
        <f ca="1">_xlfn.XLOOKUP(O10,Teams!$C:$C,Teams!$E:$E,,0,1)</f>
        <v>#VALUE!</v>
      </c>
      <c r="Q10" s="6" t="b">
        <f t="shared" ca="1" si="6"/>
        <v>0</v>
      </c>
      <c r="R10" s="113"/>
    </row>
    <row r="11" spans="1:18" ht="24" customHeight="1" x14ac:dyDescent="0.25">
      <c r="A11" s="105" t="str">
        <f t="shared" si="4"/>
        <v>Arkansas</v>
      </c>
      <c r="B11" s="105" t="str">
        <f t="shared" si="0"/>
        <v>Arkansas State</v>
      </c>
      <c r="C11" s="105" t="str">
        <f t="shared" ca="1" si="1"/>
        <v>Arkansas State</v>
      </c>
      <c r="D11" s="105" t="e">
        <f t="shared" si="2"/>
        <v>#REF!</v>
      </c>
      <c r="E11" s="114">
        <v>7</v>
      </c>
      <c r="F11" s="115" cm="1">
        <f t="array" ref="F11">_xlfn.XLOOKUP(G11,Teams[[#All],[Team]],Teams[[#All],[Seed]],0,0,1)</f>
        <v>7</v>
      </c>
      <c r="G11" s="116" t="str">
        <f>Teams!C14</f>
        <v>Arkansas</v>
      </c>
      <c r="H11" s="191" t="s">
        <v>9</v>
      </c>
      <c r="I11" s="117" t="str">
        <f>Teams!C15</f>
        <v>Arkansas State</v>
      </c>
      <c r="J11" s="118" cm="1">
        <f t="array" ref="J11">_xlfn.XLOOKUP(I11,Teams[[#All],[Team]],Teams[[#All],[Seed]],0,0,1)</f>
        <v>10</v>
      </c>
      <c r="K11" s="85" t="e" vm="77">
        <f>_xlfn.XLOOKUP(G11,Teams!$C:$C,Teams!$E:$E,,0,1)</f>
        <v>#VALUE!</v>
      </c>
      <c r="L11" s="85">
        <f t="shared" ca="1" si="5"/>
        <v>98</v>
      </c>
      <c r="M11" s="85" t="e" vm="78">
        <f>_xlfn.XLOOKUP(I11,Teams!$C:$C,Teams!$E:$E,,0,1)</f>
        <v>#VALUE!</v>
      </c>
      <c r="N11" s="85">
        <f t="shared" ca="1" si="5"/>
        <v>96</v>
      </c>
      <c r="O11" s="205" t="str">
        <f t="shared" ca="1" si="3"/>
        <v>Arkansas</v>
      </c>
      <c r="P11" s="89" t="e" vm="77">
        <f ca="1">_xlfn.XLOOKUP(O11,Teams!$C:$C,Teams!$E:$E,,0,1)</f>
        <v>#VALUE!</v>
      </c>
      <c r="Q11" s="6" t="b">
        <f t="shared" ca="1" si="6"/>
        <v>0</v>
      </c>
      <c r="R11" s="113"/>
    </row>
    <row r="12" spans="1:18" ht="24" customHeight="1" thickBot="1" x14ac:dyDescent="0.3">
      <c r="A12" s="105" t="str">
        <f t="shared" si="4"/>
        <v>Arkansas-Pine Bluff</v>
      </c>
      <c r="B12" s="105" t="str">
        <f t="shared" si="0"/>
        <v>Army</v>
      </c>
      <c r="C12" s="105" t="str">
        <f t="shared" ca="1" si="1"/>
        <v>Arkansas-Pine Bluff</v>
      </c>
      <c r="D12" s="105" t="e">
        <f t="shared" si="2"/>
        <v>#REF!</v>
      </c>
      <c r="E12" s="119">
        <v>8</v>
      </c>
      <c r="F12" s="120" cm="1">
        <f t="array" ref="F12">_xlfn.XLOOKUP(G12,Teams[[#All],[Team]],Teams[[#All],[Seed]],0,0,1)</f>
        <v>2</v>
      </c>
      <c r="G12" s="121" t="str">
        <f>Teams!C16</f>
        <v>Arkansas-Pine Bluff</v>
      </c>
      <c r="H12" s="192" t="s">
        <v>9</v>
      </c>
      <c r="I12" s="122" t="str">
        <f>Teams!C17</f>
        <v>Army</v>
      </c>
      <c r="J12" s="123" cm="1">
        <f t="array" ref="J12">_xlfn.XLOOKUP(I12,Teams[[#All],[Team]],Teams[[#All],[Seed]],0,0,1)</f>
        <v>15</v>
      </c>
      <c r="K12" s="124" t="e" vm="79">
        <f>_xlfn.XLOOKUP(G12,Teams!$C:$C,Teams!$E:$E,,0,1)</f>
        <v>#VALUE!</v>
      </c>
      <c r="L12" s="124">
        <f t="shared" ca="1" si="5"/>
        <v>107</v>
      </c>
      <c r="M12" s="124" t="e" vm="80">
        <f>_xlfn.XLOOKUP(I12,Teams!$C:$C,Teams!$E:$E,,0,1)</f>
        <v>#VALUE!</v>
      </c>
      <c r="N12" s="124">
        <f t="shared" ca="1" si="5"/>
        <v>116</v>
      </c>
      <c r="O12" s="206" t="str">
        <f t="shared" ca="1" si="3"/>
        <v>Army</v>
      </c>
      <c r="P12" s="91" t="e" vm="80">
        <f ca="1">_xlfn.XLOOKUP(O12,Teams!$C:$C,Teams!$E:$E,,0,1)</f>
        <v>#VALUE!</v>
      </c>
      <c r="Q12" s="6" t="b">
        <f t="shared" ca="1" si="6"/>
        <v>1</v>
      </c>
      <c r="R12" s="113"/>
    </row>
    <row r="13" spans="1:18" ht="24" customHeight="1" x14ac:dyDescent="0.25">
      <c r="A13" s="105" t="str">
        <f t="shared" si="4"/>
        <v>Auburn</v>
      </c>
      <c r="B13" s="105" t="str">
        <f t="shared" si="0"/>
        <v>Austin Peay</v>
      </c>
      <c r="C13" s="105" t="str">
        <f t="shared" ca="1" si="1"/>
        <v>Auburn</v>
      </c>
      <c r="D13" s="105" t="e">
        <f t="shared" si="2"/>
        <v>#REF!</v>
      </c>
      <c r="E13" s="125">
        <v>9</v>
      </c>
      <c r="F13" s="126" cm="1">
        <f t="array" ref="F13">_xlfn.XLOOKUP(G13,Teams[[#All],[Team]],Teams[[#All],[Seed]],0,0,1)</f>
        <v>1</v>
      </c>
      <c r="G13" s="127" t="str">
        <f>Teams!C18</f>
        <v>Auburn</v>
      </c>
      <c r="H13" s="193" t="s">
        <v>9</v>
      </c>
      <c r="I13" s="128" t="str">
        <f>Teams!C19</f>
        <v>Austin Peay</v>
      </c>
      <c r="J13" s="129" cm="1">
        <f t="array" ref="J13">_xlfn.XLOOKUP(I13,Teams[[#All],[Team]],Teams[[#All],[Seed]],0,0,1)</f>
        <v>16</v>
      </c>
      <c r="K13" s="130" t="e" vm="81">
        <f>_xlfn.XLOOKUP(G13,Teams!$C:$C,Teams!$E:$E,,0,1)</f>
        <v>#VALUE!</v>
      </c>
      <c r="L13" s="130">
        <f t="shared" ca="1" si="5"/>
        <v>113</v>
      </c>
      <c r="M13" s="130" t="e" vm="82">
        <f>_xlfn.XLOOKUP(I13,Teams!$C:$C,Teams!$E:$E,,0,1)</f>
        <v>#VALUE!</v>
      </c>
      <c r="N13" s="130">
        <f t="shared" ca="1" si="5"/>
        <v>118</v>
      </c>
      <c r="O13" s="207" t="str">
        <f t="shared" ca="1" si="3"/>
        <v>Austin Peay</v>
      </c>
      <c r="P13" s="93" t="e" vm="82">
        <f ca="1">_xlfn.XLOOKUP(O13,Teams!$C:$C,Teams!$E:$E,,0,1)</f>
        <v>#VALUE!</v>
      </c>
      <c r="Q13" s="6" t="b">
        <f t="shared" ca="1" si="6"/>
        <v>1</v>
      </c>
      <c r="R13" s="113"/>
    </row>
    <row r="14" spans="1:18" ht="24" customHeight="1" x14ac:dyDescent="0.25">
      <c r="A14" s="105" t="str">
        <f t="shared" si="4"/>
        <v>Ball State</v>
      </c>
      <c r="B14" s="105" t="str">
        <f t="shared" si="0"/>
        <v>Baylor</v>
      </c>
      <c r="C14" s="105" t="str">
        <f t="shared" ca="1" si="1"/>
        <v>Ball State</v>
      </c>
      <c r="D14" s="105" t="e">
        <f t="shared" si="2"/>
        <v>#REF!</v>
      </c>
      <c r="E14" s="131">
        <v>10</v>
      </c>
      <c r="F14" s="132" cm="1">
        <f t="array" ref="F14">_xlfn.XLOOKUP(G14,Teams[[#All],[Team]],Teams[[#All],[Seed]],0,0,1)</f>
        <v>8</v>
      </c>
      <c r="G14" s="133" t="str">
        <f>Teams!C20</f>
        <v>Ball State</v>
      </c>
      <c r="H14" s="194" t="s">
        <v>9</v>
      </c>
      <c r="I14" s="134" t="str">
        <f>Teams!C21</f>
        <v>Baylor</v>
      </c>
      <c r="J14" s="135" cm="1">
        <f t="array" ref="J14">_xlfn.XLOOKUP(I14,Teams[[#All],[Team]],Teams[[#All],[Seed]],0,0,1)</f>
        <v>9</v>
      </c>
      <c r="K14" s="86" t="e" vm="83">
        <f>_xlfn.XLOOKUP(G14,Teams!$C:$C,Teams!$E:$E,,0,1)</f>
        <v>#VALUE!</v>
      </c>
      <c r="L14" s="86">
        <f t="shared" ca="1" si="5"/>
        <v>109</v>
      </c>
      <c r="M14" s="86" t="e" vm="84">
        <f>_xlfn.XLOOKUP(I14,Teams!$C:$C,Teams!$E:$E,,0,1)</f>
        <v>#VALUE!</v>
      </c>
      <c r="N14" s="86">
        <f t="shared" ca="1" si="5"/>
        <v>112</v>
      </c>
      <c r="O14" s="208" t="str">
        <f t="shared" ca="1" si="3"/>
        <v>Baylor</v>
      </c>
      <c r="P14" s="90" t="e" vm="84">
        <f ca="1">_xlfn.XLOOKUP(O14,Teams!$C:$C,Teams!$E:$E,,0,1)</f>
        <v>#VALUE!</v>
      </c>
      <c r="Q14" s="6" t="b">
        <f t="shared" ca="1" si="6"/>
        <v>1</v>
      </c>
      <c r="R14" s="113"/>
    </row>
    <row r="15" spans="1:18" ht="24" customHeight="1" x14ac:dyDescent="0.25">
      <c r="A15" s="105" t="str">
        <f t="shared" si="4"/>
        <v>Bellarmine</v>
      </c>
      <c r="B15" s="105" t="str">
        <f t="shared" si="0"/>
        <v>Belmont</v>
      </c>
      <c r="C15" s="105" t="str">
        <f t="shared" ca="1" si="1"/>
        <v>Belmont</v>
      </c>
      <c r="D15" s="105" t="e">
        <f t="shared" si="2"/>
        <v>#REF!</v>
      </c>
      <c r="E15" s="131">
        <v>11</v>
      </c>
      <c r="F15" s="132" cm="1">
        <f t="array" ref="F15">_xlfn.XLOOKUP(G15,Teams[[#All],[Team]],Teams[[#All],[Seed]],0,0,1)</f>
        <v>5</v>
      </c>
      <c r="G15" s="133" t="str">
        <f>Teams!C22</f>
        <v>Bellarmine</v>
      </c>
      <c r="H15" s="194" t="s">
        <v>9</v>
      </c>
      <c r="I15" s="134" t="str">
        <f>Teams!C23</f>
        <v>Belmont</v>
      </c>
      <c r="J15" s="135" cm="1">
        <f t="array" ref="J15">_xlfn.XLOOKUP(I15,Teams[[#All],[Team]],Teams[[#All],[Seed]],0,0,1)</f>
        <v>12</v>
      </c>
      <c r="K15" s="86" t="e" vm="85">
        <f>_xlfn.XLOOKUP(G15,Teams!$C:$C,Teams!$E:$E,,0,1)</f>
        <v>#VALUE!</v>
      </c>
      <c r="L15" s="86">
        <f t="shared" ca="1" si="5"/>
        <v>116</v>
      </c>
      <c r="M15" s="86" t="e" vm="86">
        <f>_xlfn.XLOOKUP(I15,Teams!$C:$C,Teams!$E:$E,,0,1)</f>
        <v>#VALUE!</v>
      </c>
      <c r="N15" s="86">
        <f t="shared" ca="1" si="5"/>
        <v>105</v>
      </c>
      <c r="O15" s="208" t="str">
        <f t="shared" ca="1" si="3"/>
        <v>Bellarmine</v>
      </c>
      <c r="P15" s="90" t="e" vm="85">
        <f ca="1">_xlfn.XLOOKUP(O15,Teams!$C:$C,Teams!$E:$E,,0,1)</f>
        <v>#VALUE!</v>
      </c>
      <c r="Q15" s="6" t="b">
        <f t="shared" ca="1" si="6"/>
        <v>0</v>
      </c>
      <c r="R15" s="113"/>
    </row>
    <row r="16" spans="1:18" ht="24" customHeight="1" x14ac:dyDescent="0.25">
      <c r="A16" s="105" t="str">
        <f t="shared" si="4"/>
        <v>Bethune-Cookman</v>
      </c>
      <c r="B16" s="105" t="str">
        <f t="shared" si="0"/>
        <v>Binghamton</v>
      </c>
      <c r="C16" s="105" t="str">
        <f t="shared" ca="1" si="1"/>
        <v>Binghamton</v>
      </c>
      <c r="D16" s="105" t="e">
        <f t="shared" si="2"/>
        <v>#REF!</v>
      </c>
      <c r="E16" s="131">
        <v>12</v>
      </c>
      <c r="F16" s="132" cm="1">
        <f t="array" ref="F16">_xlfn.XLOOKUP(G16,Teams[[#All],[Team]],Teams[[#All],[Seed]],0,0,1)</f>
        <v>4</v>
      </c>
      <c r="G16" s="133" t="str">
        <f>Teams!C24</f>
        <v>Bethune-Cookman</v>
      </c>
      <c r="H16" s="194" t="s">
        <v>9</v>
      </c>
      <c r="I16" s="134" t="str">
        <f>Teams!C25</f>
        <v>Binghamton</v>
      </c>
      <c r="J16" s="135" cm="1">
        <f t="array" ref="J16">_xlfn.XLOOKUP(I16,Teams[[#All],[Team]],Teams[[#All],[Seed]],0,0,1)</f>
        <v>13</v>
      </c>
      <c r="K16" s="86" t="e" vm="87">
        <f>_xlfn.XLOOKUP(G16,Teams!$C:$C,Teams!$E:$E,,0,1)</f>
        <v>#VALUE!</v>
      </c>
      <c r="L16" s="86">
        <f t="shared" ca="1" si="5"/>
        <v>114</v>
      </c>
      <c r="M16" s="86" t="e" vm="88">
        <f>_xlfn.XLOOKUP(I16,Teams!$C:$C,Teams!$E:$E,,0,1)</f>
        <v>#VALUE!</v>
      </c>
      <c r="N16" s="86">
        <f t="shared" ca="1" si="5"/>
        <v>91</v>
      </c>
      <c r="O16" s="208" t="str">
        <f t="shared" ca="1" si="3"/>
        <v>Bethune-Cookman</v>
      </c>
      <c r="P16" s="90" t="e" vm="87">
        <f ca="1">_xlfn.XLOOKUP(O16,Teams!$C:$C,Teams!$E:$E,,0,1)</f>
        <v>#VALUE!</v>
      </c>
      <c r="Q16" s="6" t="b">
        <f t="shared" ca="1" si="6"/>
        <v>0</v>
      </c>
      <c r="R16" s="113"/>
    </row>
    <row r="17" spans="1:18" ht="24" customHeight="1" x14ac:dyDescent="0.25">
      <c r="A17" s="105" t="str">
        <f t="shared" si="4"/>
        <v>Boise State</v>
      </c>
      <c r="B17" s="105" t="str">
        <f t="shared" si="0"/>
        <v>Boston College</v>
      </c>
      <c r="C17" s="105" t="str">
        <f t="shared" ca="1" si="1"/>
        <v>Boise State</v>
      </c>
      <c r="D17" s="105" t="e">
        <f t="shared" si="2"/>
        <v>#REF!</v>
      </c>
      <c r="E17" s="131">
        <v>13</v>
      </c>
      <c r="F17" s="132" cm="1">
        <f t="array" ref="F17">_xlfn.XLOOKUP(G17,Teams[[#All],[Team]],Teams[[#All],[Seed]],0,0,1)</f>
        <v>6</v>
      </c>
      <c r="G17" s="133" t="str">
        <f>Teams!C26</f>
        <v>Boise State</v>
      </c>
      <c r="H17" s="194" t="s">
        <v>9</v>
      </c>
      <c r="I17" s="134" t="str">
        <f>Teams!C27</f>
        <v>Boston College</v>
      </c>
      <c r="J17" s="135" cm="1">
        <f t="array" ref="J17">_xlfn.XLOOKUP(I17,Teams[[#All],[Team]],Teams[[#All],[Seed]],0,0,1)</f>
        <v>11</v>
      </c>
      <c r="K17" s="86" t="e" vm="89">
        <f>_xlfn.XLOOKUP(G17,Teams!$C:$C,Teams!$E:$E,,0,1)</f>
        <v>#VALUE!</v>
      </c>
      <c r="L17" s="86">
        <f t="shared" ca="1" si="5"/>
        <v>95</v>
      </c>
      <c r="M17" s="86" t="e" vm="90">
        <f>_xlfn.XLOOKUP(I17,Teams!$C:$C,Teams!$E:$E,,0,1)</f>
        <v>#VALUE!</v>
      </c>
      <c r="N17" s="86">
        <f t="shared" ca="1" si="5"/>
        <v>101</v>
      </c>
      <c r="O17" s="208" t="str">
        <f t="shared" ca="1" si="3"/>
        <v>Boston College</v>
      </c>
      <c r="P17" s="90" t="e" vm="90">
        <f ca="1">_xlfn.XLOOKUP(O17,Teams!$C:$C,Teams!$E:$E,,0,1)</f>
        <v>#VALUE!</v>
      </c>
      <c r="Q17" s="6" t="b">
        <f t="shared" ca="1" si="6"/>
        <v>1</v>
      </c>
      <c r="R17" s="113"/>
    </row>
    <row r="18" spans="1:18" ht="24" customHeight="1" x14ac:dyDescent="0.25">
      <c r="A18" s="105" t="str">
        <f t="shared" si="4"/>
        <v>Boston University</v>
      </c>
      <c r="B18" s="105" t="str">
        <f t="shared" si="0"/>
        <v>Bowling Green</v>
      </c>
      <c r="C18" s="105" t="str">
        <f t="shared" ca="1" si="1"/>
        <v>Bowling Green</v>
      </c>
      <c r="D18" s="105" t="e">
        <f t="shared" si="2"/>
        <v>#REF!</v>
      </c>
      <c r="E18" s="131">
        <v>14</v>
      </c>
      <c r="F18" s="132" cm="1">
        <f t="array" ref="F18">_xlfn.XLOOKUP(G18,Teams[[#All],[Team]],Teams[[#All],[Seed]],0,0,1)</f>
        <v>3</v>
      </c>
      <c r="G18" s="133" t="str">
        <f>Teams!C28</f>
        <v>Boston University</v>
      </c>
      <c r="H18" s="194" t="s">
        <v>9</v>
      </c>
      <c r="I18" s="134" t="str">
        <f>Teams!C29</f>
        <v>Bowling Green</v>
      </c>
      <c r="J18" s="135" cm="1">
        <f t="array" ref="J18">_xlfn.XLOOKUP(I18,Teams[[#All],[Team]],Teams[[#All],[Seed]],0,0,1)</f>
        <v>14</v>
      </c>
      <c r="K18" s="86" t="e" vm="91">
        <f>_xlfn.XLOOKUP(G18,Teams!$C:$C,Teams!$E:$E,,0,1)</f>
        <v>#VALUE!</v>
      </c>
      <c r="L18" s="86">
        <f t="shared" ca="1" si="5"/>
        <v>107</v>
      </c>
      <c r="M18" s="86" t="e" vm="92">
        <f>_xlfn.XLOOKUP(I18,Teams!$C:$C,Teams!$E:$E,,0,1)</f>
        <v>#VALUE!</v>
      </c>
      <c r="N18" s="86">
        <f t="shared" ca="1" si="5"/>
        <v>101</v>
      </c>
      <c r="O18" s="208" t="str">
        <f t="shared" ca="1" si="3"/>
        <v>Boston University</v>
      </c>
      <c r="P18" s="90" t="e" vm="91">
        <f ca="1">_xlfn.XLOOKUP(O18,Teams!$C:$C,Teams!$E:$E,,0,1)</f>
        <v>#VALUE!</v>
      </c>
      <c r="Q18" s="6" t="b">
        <f t="shared" ca="1" si="6"/>
        <v>0</v>
      </c>
      <c r="R18" s="113"/>
    </row>
    <row r="19" spans="1:18" ht="24" customHeight="1" x14ac:dyDescent="0.25">
      <c r="A19" s="105" t="str">
        <f t="shared" si="4"/>
        <v>Bradley</v>
      </c>
      <c r="B19" s="105" t="str">
        <f t="shared" si="0"/>
        <v>Brigham Young</v>
      </c>
      <c r="C19" s="105" t="str">
        <f t="shared" ca="1" si="1"/>
        <v>Bradley</v>
      </c>
      <c r="D19" s="105" t="e">
        <f t="shared" si="2"/>
        <v>#REF!</v>
      </c>
      <c r="E19" s="131">
        <v>15</v>
      </c>
      <c r="F19" s="132" cm="1">
        <f t="array" ref="F19">_xlfn.XLOOKUP(G19,Teams[[#All],[Team]],Teams[[#All],[Seed]],0,0,1)</f>
        <v>7</v>
      </c>
      <c r="G19" s="133" t="str">
        <f>Teams!C30</f>
        <v>Bradley</v>
      </c>
      <c r="H19" s="194" t="s">
        <v>9</v>
      </c>
      <c r="I19" s="134" t="str">
        <f>Teams!C31</f>
        <v>Brigham Young</v>
      </c>
      <c r="J19" s="135" cm="1">
        <f t="array" ref="J19">_xlfn.XLOOKUP(I19,Teams[[#All],[Team]],Teams[[#All],[Seed]],0,0,1)</f>
        <v>10</v>
      </c>
      <c r="K19" s="86" t="e" vm="93">
        <f>_xlfn.XLOOKUP(G19,Teams!$C:$C,Teams!$E:$E,,0,1)</f>
        <v>#VALUE!</v>
      </c>
      <c r="L19" s="86">
        <f t="shared" ca="1" si="5"/>
        <v>107</v>
      </c>
      <c r="M19" s="86" t="e" vm="94">
        <f>_xlfn.XLOOKUP(I19,Teams!$C:$C,Teams!$E:$E,,0,1)</f>
        <v>#VALUE!</v>
      </c>
      <c r="N19" s="86">
        <f t="shared" ca="1" si="5"/>
        <v>114</v>
      </c>
      <c r="O19" s="208" t="str">
        <f t="shared" ca="1" si="3"/>
        <v>Brigham Young</v>
      </c>
      <c r="P19" s="90" t="e" vm="94">
        <f ca="1">_xlfn.XLOOKUP(O19,Teams!$C:$C,Teams!$E:$E,,0,1)</f>
        <v>#VALUE!</v>
      </c>
      <c r="Q19" s="6" t="b">
        <f t="shared" ca="1" si="6"/>
        <v>1</v>
      </c>
      <c r="R19" s="113"/>
    </row>
    <row r="20" spans="1:18" ht="24" customHeight="1" thickBot="1" x14ac:dyDescent="0.3">
      <c r="A20" s="105" t="str">
        <f t="shared" si="4"/>
        <v>Brown</v>
      </c>
      <c r="B20" s="105" t="str">
        <f t="shared" si="0"/>
        <v>Bryant</v>
      </c>
      <c r="C20" s="105" t="str">
        <f t="shared" ca="1" si="1"/>
        <v>Bryant</v>
      </c>
      <c r="D20" s="105" t="e">
        <f t="shared" si="2"/>
        <v>#REF!</v>
      </c>
      <c r="E20" s="136">
        <v>16</v>
      </c>
      <c r="F20" s="137" cm="1">
        <f t="array" ref="F20">_xlfn.XLOOKUP(G20,Teams[[#All],[Team]],Teams[[#All],[Seed]],0,0,1)</f>
        <v>2</v>
      </c>
      <c r="G20" s="138" t="str">
        <f>Teams!C32</f>
        <v>Brown</v>
      </c>
      <c r="H20" s="195" t="s">
        <v>9</v>
      </c>
      <c r="I20" s="139" t="str">
        <f>Teams!C33</f>
        <v>Bryant</v>
      </c>
      <c r="J20" s="140" cm="1">
        <f t="array" ref="J20">_xlfn.XLOOKUP(I20,Teams[[#All],[Team]],Teams[[#All],[Seed]],0,0,1)</f>
        <v>15</v>
      </c>
      <c r="K20" s="141" t="e" vm="95">
        <f>_xlfn.XLOOKUP(G20,Teams!$C:$C,Teams!$E:$E,,0,1)</f>
        <v>#VALUE!</v>
      </c>
      <c r="L20" s="141">
        <f t="shared" ca="1" si="5"/>
        <v>116</v>
      </c>
      <c r="M20" s="141" t="e" vm="96">
        <f>_xlfn.XLOOKUP(I20,Teams!$C:$C,Teams!$E:$E,,0,1)</f>
        <v>#VALUE!</v>
      </c>
      <c r="N20" s="141">
        <f t="shared" ca="1" si="5"/>
        <v>106</v>
      </c>
      <c r="O20" s="209" t="str">
        <f t="shared" ca="1" si="3"/>
        <v>Brown</v>
      </c>
      <c r="P20" s="92" t="e" vm="95">
        <f ca="1">_xlfn.XLOOKUP(O20,Teams!$C:$C,Teams!$E:$E,,0,1)</f>
        <v>#VALUE!</v>
      </c>
      <c r="Q20" s="6" t="b">
        <f t="shared" ca="1" si="6"/>
        <v>0</v>
      </c>
      <c r="R20" s="113"/>
    </row>
    <row r="21" spans="1:18" ht="24" customHeight="1" x14ac:dyDescent="0.25">
      <c r="A21" s="105" t="str">
        <f t="shared" ref="A21:A36" si="7">G21</f>
        <v>Bucknell</v>
      </c>
      <c r="B21" s="105" t="str">
        <f t="shared" si="0"/>
        <v>Buffalo</v>
      </c>
      <c r="C21" s="105" t="str">
        <f t="shared" ca="1" si="1"/>
        <v>Buffalo</v>
      </c>
      <c r="D21" s="105" t="e">
        <f t="shared" si="2"/>
        <v>#REF!</v>
      </c>
      <c r="E21" s="107">
        <v>17</v>
      </c>
      <c r="F21" s="108" cm="1">
        <f t="array" ref="F21">_xlfn.XLOOKUP(G21,Teams[[#All],[Team]],Teams[[#All],[Seed]],0,0,1)</f>
        <v>1</v>
      </c>
      <c r="G21" s="109" t="str">
        <f>Teams!C34</f>
        <v>Bucknell</v>
      </c>
      <c r="H21" s="190" t="s">
        <v>9</v>
      </c>
      <c r="I21" s="110" t="str">
        <f>Teams!C35</f>
        <v>Buffalo</v>
      </c>
      <c r="J21" s="111" cm="1">
        <f t="array" ref="J21">_xlfn.XLOOKUP(I21,Teams[[#All],[Team]],Teams[[#All],[Seed]],0,0,1)</f>
        <v>16</v>
      </c>
      <c r="K21" s="112" t="e" vm="97">
        <f>_xlfn.XLOOKUP(G21,Teams!$C:$C,Teams!$E:$E,,0,1)</f>
        <v>#VALUE!</v>
      </c>
      <c r="L21" s="112">
        <f t="shared" ca="1" si="5"/>
        <v>105</v>
      </c>
      <c r="M21" s="112" t="e" vm="98">
        <f>_xlfn.XLOOKUP(I21,Teams!$C:$C,Teams!$E:$E,,0,1)</f>
        <v>#VALUE!</v>
      </c>
      <c r="N21" s="112">
        <f t="shared" ca="1" si="5"/>
        <v>98</v>
      </c>
      <c r="O21" s="204" t="str">
        <f t="shared" ca="1" si="3"/>
        <v>Bucknell</v>
      </c>
      <c r="P21" s="94" t="e" vm="97">
        <f ca="1">_xlfn.XLOOKUP(O21,Teams!$C:$C,Teams!$E:$E,,0,1)</f>
        <v>#VALUE!</v>
      </c>
      <c r="Q21" s="6" t="b">
        <f t="shared" ca="1" si="6"/>
        <v>0</v>
      </c>
      <c r="R21" s="113"/>
    </row>
    <row r="22" spans="1:18" ht="24" customHeight="1" x14ac:dyDescent="0.25">
      <c r="A22" s="105" t="str">
        <f t="shared" si="7"/>
        <v>Butler</v>
      </c>
      <c r="B22" s="105" t="str">
        <f t="shared" si="0"/>
        <v>Cal Poly</v>
      </c>
      <c r="C22" s="105" t="str">
        <f t="shared" ca="1" si="1"/>
        <v>Cal Poly</v>
      </c>
      <c r="D22" s="105" t="e">
        <f t="shared" si="2"/>
        <v>#REF!</v>
      </c>
      <c r="E22" s="114">
        <v>18</v>
      </c>
      <c r="F22" s="115" cm="1">
        <f t="array" ref="F22">_xlfn.XLOOKUP(G22,Teams[[#All],[Team]],Teams[[#All],[Seed]],0,0,1)</f>
        <v>8</v>
      </c>
      <c r="G22" s="116" t="str">
        <f>Teams!C36</f>
        <v>Butler</v>
      </c>
      <c r="H22" s="191" t="s">
        <v>9</v>
      </c>
      <c r="I22" s="117" t="str">
        <f>Teams!C37</f>
        <v>Cal Poly</v>
      </c>
      <c r="J22" s="118" cm="1">
        <f t="array" ref="J22">_xlfn.XLOOKUP(I22,Teams[[#All],[Team]],Teams[[#All],[Seed]],0,0,1)</f>
        <v>9</v>
      </c>
      <c r="K22" s="85" t="e" vm="99">
        <f>_xlfn.XLOOKUP(G22,Teams!$C:$C,Teams!$E:$E,,0,1)</f>
        <v>#VALUE!</v>
      </c>
      <c r="L22" s="85">
        <f t="shared" ca="1" si="5"/>
        <v>97</v>
      </c>
      <c r="M22" s="85" t="e" vm="100">
        <f>_xlfn.XLOOKUP(I22,Teams!$C:$C,Teams!$E:$E,,0,1)</f>
        <v>#VALUE!</v>
      </c>
      <c r="N22" s="85">
        <f t="shared" ca="1" si="5"/>
        <v>96</v>
      </c>
      <c r="O22" s="205" t="str">
        <f t="shared" ca="1" si="3"/>
        <v>Butler</v>
      </c>
      <c r="P22" s="89" t="e" vm="99">
        <f ca="1">_xlfn.XLOOKUP(O22,Teams!$C:$C,Teams!$E:$E,,0,1)</f>
        <v>#VALUE!</v>
      </c>
      <c r="Q22" s="6" t="b">
        <f t="shared" ca="1" si="6"/>
        <v>0</v>
      </c>
      <c r="R22" s="113"/>
    </row>
    <row r="23" spans="1:18" ht="24" customHeight="1" x14ac:dyDescent="0.25">
      <c r="A23" s="105" t="str">
        <f t="shared" si="7"/>
        <v>Cal State Bakersfield</v>
      </c>
      <c r="B23" s="105" t="str">
        <f t="shared" si="0"/>
        <v>Cal State Fullerton</v>
      </c>
      <c r="C23" s="105" t="str">
        <f t="shared" ca="1" si="1"/>
        <v>Cal State Bakersfield</v>
      </c>
      <c r="D23" s="105" t="e">
        <f t="shared" si="2"/>
        <v>#REF!</v>
      </c>
      <c r="E23" s="114">
        <v>19</v>
      </c>
      <c r="F23" s="115" cm="1">
        <f t="array" ref="F23">_xlfn.XLOOKUP(G23,Teams[[#All],[Team]],Teams[[#All],[Seed]],0,0,1)</f>
        <v>5</v>
      </c>
      <c r="G23" s="116" t="str">
        <f>Teams!C38</f>
        <v>Cal State Bakersfield</v>
      </c>
      <c r="H23" s="191" t="s">
        <v>9</v>
      </c>
      <c r="I23" s="117" t="str">
        <f>Teams!C39</f>
        <v>Cal State Fullerton</v>
      </c>
      <c r="J23" s="118" cm="1">
        <f t="array" ref="J23">_xlfn.XLOOKUP(I23,Teams[[#All],[Team]],Teams[[#All],[Seed]],0,0,1)</f>
        <v>12</v>
      </c>
      <c r="K23" s="85" t="e" vm="101">
        <f>_xlfn.XLOOKUP(G23,Teams!$C:$C,Teams!$E:$E,,0,1)</f>
        <v>#VALUE!</v>
      </c>
      <c r="L23" s="85">
        <f t="shared" ca="1" si="5"/>
        <v>106</v>
      </c>
      <c r="M23" s="85" t="e" vm="102">
        <f>_xlfn.XLOOKUP(I23,Teams!$C:$C,Teams!$E:$E,,0,1)</f>
        <v>#VALUE!</v>
      </c>
      <c r="N23" s="85">
        <f t="shared" ca="1" si="5"/>
        <v>113</v>
      </c>
      <c r="O23" s="205" t="str">
        <f t="shared" ca="1" si="3"/>
        <v>Cal State Fullerton</v>
      </c>
      <c r="P23" s="89" t="e" vm="102">
        <f ca="1">_xlfn.XLOOKUP(O23,Teams!$C:$C,Teams!$E:$E,,0,1)</f>
        <v>#VALUE!</v>
      </c>
      <c r="Q23" s="6" t="b">
        <f t="shared" ca="1" si="6"/>
        <v>1</v>
      </c>
      <c r="R23" s="113"/>
    </row>
    <row r="24" spans="1:18" ht="24" customHeight="1" x14ac:dyDescent="0.25">
      <c r="A24" s="105" t="str">
        <f t="shared" si="7"/>
        <v>Cal State Northridge</v>
      </c>
      <c r="B24" s="105" t="str">
        <f t="shared" si="0"/>
        <v>California</v>
      </c>
      <c r="C24" s="105" t="str">
        <f t="shared" ca="1" si="1"/>
        <v>Cal State Northridge</v>
      </c>
      <c r="D24" s="105" t="e">
        <f t="shared" si="2"/>
        <v>#REF!</v>
      </c>
      <c r="E24" s="114">
        <v>20</v>
      </c>
      <c r="F24" s="115" cm="1">
        <f t="array" ref="F24">_xlfn.XLOOKUP(G24,Teams[[#All],[Team]],Teams[[#All],[Seed]],0,0,1)</f>
        <v>4</v>
      </c>
      <c r="G24" s="116" t="str">
        <f>Teams!C40</f>
        <v>Cal State Northridge</v>
      </c>
      <c r="H24" s="191" t="s">
        <v>9</v>
      </c>
      <c r="I24" s="117" t="str">
        <f>Teams!C41</f>
        <v>California</v>
      </c>
      <c r="J24" s="118" cm="1">
        <f t="array" ref="J24">_xlfn.XLOOKUP(I24,Teams[[#All],[Team]],Teams[[#All],[Seed]],0,0,1)</f>
        <v>13</v>
      </c>
      <c r="K24" s="85" t="e" vm="103">
        <f>_xlfn.XLOOKUP(G24,Teams!$C:$C,Teams!$E:$E,,0,1)</f>
        <v>#VALUE!</v>
      </c>
      <c r="L24" s="85">
        <f t="shared" ca="1" si="5"/>
        <v>114</v>
      </c>
      <c r="M24" s="85" t="e" vm="104">
        <f>_xlfn.XLOOKUP(I24,Teams!$C:$C,Teams!$E:$E,,0,1)</f>
        <v>#VALUE!</v>
      </c>
      <c r="N24" s="85">
        <f t="shared" ca="1" si="5"/>
        <v>115</v>
      </c>
      <c r="O24" s="205" t="str">
        <f t="shared" ca="1" si="3"/>
        <v>California</v>
      </c>
      <c r="P24" s="89" t="e" vm="104">
        <f ca="1">_xlfn.XLOOKUP(O24,Teams!$C:$C,Teams!$E:$E,,0,1)</f>
        <v>#VALUE!</v>
      </c>
      <c r="Q24" s="6" t="b">
        <f t="shared" ca="1" si="6"/>
        <v>1</v>
      </c>
      <c r="R24" s="113"/>
    </row>
    <row r="25" spans="1:18" ht="24" customHeight="1" x14ac:dyDescent="0.25">
      <c r="A25" s="105" t="str">
        <f t="shared" si="7"/>
        <v>California Baptist</v>
      </c>
      <c r="B25" s="105" t="str">
        <f t="shared" si="0"/>
        <v>Campbell</v>
      </c>
      <c r="C25" s="105" t="str">
        <f t="shared" ca="1" si="1"/>
        <v>Campbell</v>
      </c>
      <c r="D25" s="105" t="e">
        <f t="shared" si="2"/>
        <v>#REF!</v>
      </c>
      <c r="E25" s="114">
        <v>21</v>
      </c>
      <c r="F25" s="115" cm="1">
        <f t="array" ref="F25">_xlfn.XLOOKUP(G25,Teams[[#All],[Team]],Teams[[#All],[Seed]],0,0,1)</f>
        <v>6</v>
      </c>
      <c r="G25" s="116" t="str">
        <f>Teams!C42</f>
        <v>California Baptist</v>
      </c>
      <c r="H25" s="191" t="s">
        <v>9</v>
      </c>
      <c r="I25" s="117" t="str">
        <f>Teams!C43</f>
        <v>Campbell</v>
      </c>
      <c r="J25" s="118" cm="1">
        <f t="array" ref="J25">_xlfn.XLOOKUP(I25,Teams[[#All],[Team]],Teams[[#All],[Seed]],0,0,1)</f>
        <v>11</v>
      </c>
      <c r="K25" s="85" t="e" vm="105">
        <f>_xlfn.XLOOKUP(G25,Teams!$C:$C,Teams!$E:$E,,0,1)</f>
        <v>#VALUE!</v>
      </c>
      <c r="L25" s="85">
        <f t="shared" ca="1" si="5"/>
        <v>113</v>
      </c>
      <c r="M25" s="85" t="e" vm="106">
        <f>_xlfn.XLOOKUP(I25,Teams!$C:$C,Teams!$E:$E,,0,1)</f>
        <v>#VALUE!</v>
      </c>
      <c r="N25" s="85">
        <f t="shared" ca="1" si="5"/>
        <v>101</v>
      </c>
      <c r="O25" s="205" t="str">
        <f t="shared" ca="1" si="3"/>
        <v>California Baptist</v>
      </c>
      <c r="P25" s="89" t="e" vm="105">
        <f ca="1">_xlfn.XLOOKUP(O25,Teams!$C:$C,Teams!$E:$E,,0,1)</f>
        <v>#VALUE!</v>
      </c>
      <c r="Q25" s="6" t="b">
        <f t="shared" ca="1" si="6"/>
        <v>0</v>
      </c>
      <c r="R25" s="113"/>
    </row>
    <row r="26" spans="1:18" ht="24" customHeight="1" x14ac:dyDescent="0.25">
      <c r="A26" s="105" t="str">
        <f t="shared" si="7"/>
        <v>Canisius</v>
      </c>
      <c r="B26" s="105" t="str">
        <f t="shared" si="0"/>
        <v>Central Arkansas</v>
      </c>
      <c r="C26" s="105" t="str">
        <f t="shared" ca="1" si="1"/>
        <v>Canisius</v>
      </c>
      <c r="D26" s="105" t="e">
        <f t="shared" si="2"/>
        <v>#REF!</v>
      </c>
      <c r="E26" s="114">
        <v>22</v>
      </c>
      <c r="F26" s="115" cm="1">
        <f t="array" ref="F26">_xlfn.XLOOKUP(G26,Teams[[#All],[Team]],Teams[[#All],[Seed]],0,0,1)</f>
        <v>3</v>
      </c>
      <c r="G26" s="116" t="str">
        <f>Teams!C44</f>
        <v>Canisius</v>
      </c>
      <c r="H26" s="191" t="s">
        <v>9</v>
      </c>
      <c r="I26" s="117" t="str">
        <f>Teams!C45</f>
        <v>Central Arkansas</v>
      </c>
      <c r="J26" s="118" cm="1">
        <f t="array" ref="J26">_xlfn.XLOOKUP(I26,Teams[[#All],[Team]],Teams[[#All],[Seed]],0,0,1)</f>
        <v>14</v>
      </c>
      <c r="K26" s="85" t="e" vm="107">
        <f>_xlfn.XLOOKUP(G26,Teams!$C:$C,Teams!$E:$E,,0,1)</f>
        <v>#VALUE!</v>
      </c>
      <c r="L26" s="85">
        <f t="shared" ca="1" si="5"/>
        <v>90</v>
      </c>
      <c r="M26" s="85" t="e" vm="108">
        <f>_xlfn.XLOOKUP(I26,Teams!$C:$C,Teams!$E:$E,,0,1)</f>
        <v>#VALUE!</v>
      </c>
      <c r="N26" s="85">
        <f t="shared" ca="1" si="5"/>
        <v>107</v>
      </c>
      <c r="O26" s="205" t="str">
        <f t="shared" ca="1" si="3"/>
        <v>Central Arkansas</v>
      </c>
      <c r="P26" s="89" t="e" vm="108">
        <f ca="1">_xlfn.XLOOKUP(O26,Teams!$C:$C,Teams!$E:$E,,0,1)</f>
        <v>#VALUE!</v>
      </c>
      <c r="Q26" s="6" t="b">
        <f t="shared" ca="1" si="6"/>
        <v>1</v>
      </c>
      <c r="R26" s="113"/>
    </row>
    <row r="27" spans="1:18" ht="24" customHeight="1" x14ac:dyDescent="0.25">
      <c r="A27" s="105" t="str">
        <f t="shared" si="7"/>
        <v>Central Connecticut State</v>
      </c>
      <c r="B27" s="105" t="str">
        <f t="shared" si="0"/>
        <v>Central Michigan</v>
      </c>
      <c r="C27" s="105" t="str">
        <f t="shared" ca="1" si="1"/>
        <v>Central Michigan</v>
      </c>
      <c r="D27" s="105" t="e">
        <f t="shared" si="2"/>
        <v>#REF!</v>
      </c>
      <c r="E27" s="114">
        <v>23</v>
      </c>
      <c r="F27" s="115" cm="1">
        <f t="array" ref="F27">_xlfn.XLOOKUP(G27,Teams[[#All],[Team]],Teams[[#All],[Seed]],0,0,1)</f>
        <v>7</v>
      </c>
      <c r="G27" s="116" t="str">
        <f>Teams!C46</f>
        <v>Central Connecticut State</v>
      </c>
      <c r="H27" s="191" t="s">
        <v>9</v>
      </c>
      <c r="I27" s="117" t="str">
        <f>Teams!C47</f>
        <v>Central Michigan</v>
      </c>
      <c r="J27" s="118" cm="1">
        <f t="array" ref="J27">_xlfn.XLOOKUP(I27,Teams[[#All],[Team]],Teams[[#All],[Seed]],0,0,1)</f>
        <v>10</v>
      </c>
      <c r="K27" s="85" t="e" vm="109">
        <f>_xlfn.XLOOKUP(G27,Teams!$C:$C,Teams!$E:$E,,0,1)</f>
        <v>#VALUE!</v>
      </c>
      <c r="L27" s="85">
        <f t="shared" ca="1" si="5"/>
        <v>103</v>
      </c>
      <c r="M27" s="85" t="e" vm="110">
        <f>_xlfn.XLOOKUP(I27,Teams!$C:$C,Teams!$E:$E,,0,1)</f>
        <v>#VALUE!</v>
      </c>
      <c r="N27" s="85">
        <f t="shared" ca="1" si="5"/>
        <v>96</v>
      </c>
      <c r="O27" s="205" t="str">
        <f t="shared" ca="1" si="3"/>
        <v>Central Connecticut State</v>
      </c>
      <c r="P27" s="89" t="e" vm="109">
        <f ca="1">_xlfn.XLOOKUP(O27,Teams!$C:$C,Teams!$E:$E,,0,1)</f>
        <v>#VALUE!</v>
      </c>
      <c r="Q27" s="6" t="b">
        <f t="shared" ca="1" si="6"/>
        <v>0</v>
      </c>
      <c r="R27" s="113"/>
    </row>
    <row r="28" spans="1:18" ht="24" customHeight="1" thickBot="1" x14ac:dyDescent="0.3">
      <c r="A28" s="105" t="str">
        <f t="shared" si="7"/>
        <v>Charleston Southern</v>
      </c>
      <c r="B28" s="105" t="str">
        <f t="shared" si="0"/>
        <v>Charlotte</v>
      </c>
      <c r="C28" s="105" t="str">
        <f t="shared" ca="1" si="1"/>
        <v>Charlotte</v>
      </c>
      <c r="D28" s="105" t="e">
        <f t="shared" si="2"/>
        <v>#REF!</v>
      </c>
      <c r="E28" s="119">
        <v>24</v>
      </c>
      <c r="F28" s="120" cm="1">
        <f t="array" ref="F28">_xlfn.XLOOKUP(G28,Teams[[#All],[Team]],Teams[[#All],[Seed]],0,0,1)</f>
        <v>2</v>
      </c>
      <c r="G28" s="121" t="str">
        <f>Teams!C48</f>
        <v>Charleston Southern</v>
      </c>
      <c r="H28" s="192" t="s">
        <v>9</v>
      </c>
      <c r="I28" s="122" t="str">
        <f>Teams!C49</f>
        <v>Charlotte</v>
      </c>
      <c r="J28" s="123" cm="1">
        <f t="array" ref="J28">_xlfn.XLOOKUP(I28,Teams[[#All],[Team]],Teams[[#All],[Seed]],0,0,1)</f>
        <v>15</v>
      </c>
      <c r="K28" s="124" t="e" vm="111">
        <f>_xlfn.XLOOKUP(G28,Teams!$C:$C,Teams!$E:$E,,0,1)</f>
        <v>#VALUE!</v>
      </c>
      <c r="L28" s="124">
        <f t="shared" ca="1" si="5"/>
        <v>110</v>
      </c>
      <c r="M28" s="124" t="e" vm="112">
        <f>_xlfn.XLOOKUP(I28,Teams!$C:$C,Teams!$E:$E,,0,1)</f>
        <v>#VALUE!</v>
      </c>
      <c r="N28" s="124">
        <f t="shared" ca="1" si="5"/>
        <v>96</v>
      </c>
      <c r="O28" s="206" t="str">
        <f t="shared" ca="1" si="3"/>
        <v>Charleston Southern</v>
      </c>
      <c r="P28" s="91" t="e" vm="111">
        <f ca="1">_xlfn.XLOOKUP(O28,Teams!$C:$C,Teams!$E:$E,,0,1)</f>
        <v>#VALUE!</v>
      </c>
      <c r="Q28" s="6" t="b">
        <f t="shared" ca="1" si="6"/>
        <v>0</v>
      </c>
      <c r="R28" s="113"/>
    </row>
    <row r="29" spans="1:18" ht="24" customHeight="1" x14ac:dyDescent="0.25">
      <c r="A29" s="105" t="str">
        <f t="shared" si="7"/>
        <v>Chattanooga</v>
      </c>
      <c r="B29" s="105" t="str">
        <f t="shared" si="0"/>
        <v>Chicago State</v>
      </c>
      <c r="C29" s="105" t="str">
        <f t="shared" ca="1" si="1"/>
        <v>Chicago State</v>
      </c>
      <c r="D29" s="105" t="e">
        <f t="shared" si="2"/>
        <v>#REF!</v>
      </c>
      <c r="E29" s="125">
        <v>25</v>
      </c>
      <c r="F29" s="126" cm="1">
        <f t="array" ref="F29">_xlfn.XLOOKUP(G29,Teams[[#All],[Team]],Teams[[#All],[Seed]],0,0,1)</f>
        <v>1</v>
      </c>
      <c r="G29" s="142" t="str">
        <f>Teams!C50</f>
        <v>Chattanooga</v>
      </c>
      <c r="H29" s="196" t="s">
        <v>9</v>
      </c>
      <c r="I29" s="143" t="str">
        <f>Teams!C51</f>
        <v>Chicago State</v>
      </c>
      <c r="J29" s="129" cm="1">
        <f t="array" ref="J29">_xlfn.XLOOKUP(I29,Teams[[#All],[Team]],Teams[[#All],[Seed]],0,0,1)</f>
        <v>16</v>
      </c>
      <c r="K29" s="130" t="e" vm="113">
        <f>_xlfn.XLOOKUP(G29,Teams!$C:$C,Teams!$E:$E,,0,1)</f>
        <v>#VALUE!</v>
      </c>
      <c r="L29" s="130">
        <f t="shared" ca="1" si="5"/>
        <v>92</v>
      </c>
      <c r="M29" s="130" t="e" vm="114">
        <f>_xlfn.XLOOKUP(I29,Teams!$C:$C,Teams!$E:$E,,0,1)</f>
        <v>#VALUE!</v>
      </c>
      <c r="N29" s="130">
        <f t="shared" ca="1" si="5"/>
        <v>91</v>
      </c>
      <c r="O29" s="207" t="str">
        <f t="shared" ca="1" si="3"/>
        <v>Chattanooga</v>
      </c>
      <c r="P29" s="93" t="e" vm="113">
        <f ca="1">_xlfn.XLOOKUP(O29,Teams!$C:$C,Teams!$E:$E,,0,1)</f>
        <v>#VALUE!</v>
      </c>
      <c r="Q29" s="6" t="b">
        <f t="shared" ca="1" si="6"/>
        <v>0</v>
      </c>
      <c r="R29" s="113"/>
    </row>
    <row r="30" spans="1:18" ht="24" customHeight="1" x14ac:dyDescent="0.25">
      <c r="A30" s="105" t="str">
        <f t="shared" si="7"/>
        <v>Cincinnati</v>
      </c>
      <c r="B30" s="105" t="str">
        <f t="shared" si="0"/>
        <v>Clemson</v>
      </c>
      <c r="C30" s="105" t="str">
        <f t="shared" ca="1" si="1"/>
        <v>Clemson</v>
      </c>
      <c r="D30" s="105" t="e">
        <f t="shared" si="2"/>
        <v>#REF!</v>
      </c>
      <c r="E30" s="131">
        <v>26</v>
      </c>
      <c r="F30" s="132" cm="1">
        <f t="array" ref="F30">_xlfn.XLOOKUP(G30,Teams[[#All],[Team]],Teams[[#All],[Seed]],0,0,1)</f>
        <v>8</v>
      </c>
      <c r="G30" s="133" t="str">
        <f>Teams!C52</f>
        <v>Cincinnati</v>
      </c>
      <c r="H30" s="194" t="s">
        <v>9</v>
      </c>
      <c r="I30" s="134" t="str">
        <f>Teams!C53</f>
        <v>Clemson</v>
      </c>
      <c r="J30" s="135" cm="1">
        <f t="array" ref="J30">_xlfn.XLOOKUP(I30,Teams[[#All],[Team]],Teams[[#All],[Seed]],0,0,1)</f>
        <v>9</v>
      </c>
      <c r="K30" s="86" t="e" vm="115">
        <f>_xlfn.XLOOKUP(G30,Teams!$C:$C,Teams!$E:$E,,0,1)</f>
        <v>#VALUE!</v>
      </c>
      <c r="L30" s="86">
        <f t="shared" ca="1" si="5"/>
        <v>104</v>
      </c>
      <c r="M30" s="86" t="e" vm="116">
        <f>_xlfn.XLOOKUP(I30,Teams!$C:$C,Teams!$E:$E,,0,1)</f>
        <v>#VALUE!</v>
      </c>
      <c r="N30" s="86">
        <f t="shared" ca="1" si="5"/>
        <v>100</v>
      </c>
      <c r="O30" s="208" t="str">
        <f t="shared" ca="1" si="3"/>
        <v>Cincinnati</v>
      </c>
      <c r="P30" s="90" t="e" vm="115">
        <f ca="1">_xlfn.XLOOKUP(O30,Teams!$C:$C,Teams!$E:$E,,0,1)</f>
        <v>#VALUE!</v>
      </c>
      <c r="Q30" s="6" t="b">
        <f t="shared" ca="1" si="6"/>
        <v>0</v>
      </c>
      <c r="R30" s="113"/>
    </row>
    <row r="31" spans="1:18" ht="24" customHeight="1" x14ac:dyDescent="0.25">
      <c r="A31" s="105" t="str">
        <f t="shared" si="7"/>
        <v>Cleveland State</v>
      </c>
      <c r="B31" s="105" t="str">
        <f t="shared" si="0"/>
        <v>Coastal Carolina</v>
      </c>
      <c r="C31" s="105" t="str">
        <f t="shared" ca="1" si="1"/>
        <v>Cleveland State</v>
      </c>
      <c r="D31" s="105" t="e">
        <f t="shared" si="2"/>
        <v>#REF!</v>
      </c>
      <c r="E31" s="131">
        <v>27</v>
      </c>
      <c r="F31" s="132" cm="1">
        <f t="array" ref="F31">_xlfn.XLOOKUP(G31,Teams[[#All],[Team]],Teams[[#All],[Seed]],0,0,1)</f>
        <v>5</v>
      </c>
      <c r="G31" s="133" t="str">
        <f>Teams!C54</f>
        <v>Cleveland State</v>
      </c>
      <c r="H31" s="194" t="s">
        <v>9</v>
      </c>
      <c r="I31" s="134" t="str">
        <f>Teams!C55</f>
        <v>Coastal Carolina</v>
      </c>
      <c r="J31" s="135" cm="1">
        <f t="array" ref="J31">_xlfn.XLOOKUP(I31,Teams[[#All],[Team]],Teams[[#All],[Seed]],0,0,1)</f>
        <v>12</v>
      </c>
      <c r="K31" s="86" t="e" vm="117">
        <f>_xlfn.XLOOKUP(G31,Teams!$C:$C,Teams!$E:$E,,0,1)</f>
        <v>#VALUE!</v>
      </c>
      <c r="L31" s="86">
        <f t="shared" ca="1" si="5"/>
        <v>92</v>
      </c>
      <c r="M31" s="86" t="e" vm="118">
        <f>_xlfn.XLOOKUP(I31,Teams!$C:$C,Teams!$E:$E,,0,1)</f>
        <v>#VALUE!</v>
      </c>
      <c r="N31" s="86">
        <f t="shared" ca="1" si="5"/>
        <v>99</v>
      </c>
      <c r="O31" s="208" t="str">
        <f t="shared" ca="1" si="3"/>
        <v>Coastal Carolina</v>
      </c>
      <c r="P31" s="90" t="e" vm="118">
        <f ca="1">_xlfn.XLOOKUP(O31,Teams!$C:$C,Teams!$E:$E,,0,1)</f>
        <v>#VALUE!</v>
      </c>
      <c r="Q31" s="6" t="b">
        <f t="shared" ca="1" si="6"/>
        <v>1</v>
      </c>
      <c r="R31" s="113"/>
    </row>
    <row r="32" spans="1:18" ht="24" customHeight="1" x14ac:dyDescent="0.25">
      <c r="A32" s="105" t="str">
        <f t="shared" si="7"/>
        <v>Colgate</v>
      </c>
      <c r="B32" s="105" t="str">
        <f t="shared" si="0"/>
        <v>College of Charleston</v>
      </c>
      <c r="C32" s="105" t="str">
        <f t="shared" ca="1" si="1"/>
        <v>College of Charleston</v>
      </c>
      <c r="D32" s="105" t="e">
        <f t="shared" si="2"/>
        <v>#REF!</v>
      </c>
      <c r="E32" s="131">
        <v>28</v>
      </c>
      <c r="F32" s="132" cm="1">
        <f t="array" ref="F32">_xlfn.XLOOKUP(G32,Teams[[#All],[Team]],Teams[[#All],[Seed]],0,0,1)</f>
        <v>4</v>
      </c>
      <c r="G32" s="133" t="str">
        <f>Teams!C56</f>
        <v>Colgate</v>
      </c>
      <c r="H32" s="194" t="s">
        <v>9</v>
      </c>
      <c r="I32" s="134" t="str">
        <f>Teams!C57</f>
        <v>College of Charleston</v>
      </c>
      <c r="J32" s="135" cm="1">
        <f t="array" ref="J32">_xlfn.XLOOKUP(I32,Teams[[#All],[Team]],Teams[[#All],[Seed]],0,0,1)</f>
        <v>13</v>
      </c>
      <c r="K32" s="86" t="e" vm="119">
        <f>_xlfn.XLOOKUP(G32,Teams!$C:$C,Teams!$E:$E,,0,1)</f>
        <v>#VALUE!</v>
      </c>
      <c r="L32" s="86">
        <f t="shared" ca="1" si="5"/>
        <v>114</v>
      </c>
      <c r="M32" s="86" t="e" vm="120">
        <f>_xlfn.XLOOKUP(I32,Teams!$C:$C,Teams!$E:$E,,0,1)</f>
        <v>#VALUE!</v>
      </c>
      <c r="N32" s="86">
        <f t="shared" ca="1" si="5"/>
        <v>102</v>
      </c>
      <c r="O32" s="208" t="str">
        <f t="shared" ca="1" si="3"/>
        <v>Colgate</v>
      </c>
      <c r="P32" s="90" t="e" vm="119">
        <f ca="1">_xlfn.XLOOKUP(O32,Teams!$C:$C,Teams!$E:$E,,0,1)</f>
        <v>#VALUE!</v>
      </c>
      <c r="Q32" s="6" t="b">
        <f t="shared" ca="1" si="6"/>
        <v>0</v>
      </c>
      <c r="R32" s="113"/>
    </row>
    <row r="33" spans="1:18" ht="24" customHeight="1" x14ac:dyDescent="0.25">
      <c r="A33" s="105" t="str">
        <f t="shared" si="7"/>
        <v>Colorado</v>
      </c>
      <c r="B33" s="105" t="str">
        <f t="shared" si="0"/>
        <v>Colorado State</v>
      </c>
      <c r="C33" s="105" t="str">
        <f t="shared" ca="1" si="1"/>
        <v>Colorado</v>
      </c>
      <c r="D33" s="105" t="e">
        <f t="shared" si="2"/>
        <v>#REF!</v>
      </c>
      <c r="E33" s="131">
        <v>29</v>
      </c>
      <c r="F33" s="132" cm="1">
        <f t="array" ref="F33">_xlfn.XLOOKUP(G33,Teams[[#All],[Team]],Teams[[#All],[Seed]],0,0,1)</f>
        <v>6</v>
      </c>
      <c r="G33" s="133" t="str">
        <f>Teams!C58</f>
        <v>Colorado</v>
      </c>
      <c r="H33" s="194" t="s">
        <v>9</v>
      </c>
      <c r="I33" s="134" t="str">
        <f>Teams!C59</f>
        <v>Colorado State</v>
      </c>
      <c r="J33" s="135" cm="1">
        <f t="array" ref="J33">_xlfn.XLOOKUP(I33,Teams[[#All],[Team]],Teams[[#All],[Seed]],0,0,1)</f>
        <v>11</v>
      </c>
      <c r="K33" s="86" t="e" vm="121">
        <f>_xlfn.XLOOKUP(G33,Teams!$C:$C,Teams!$E:$E,,0,1)</f>
        <v>#VALUE!</v>
      </c>
      <c r="L33" s="86">
        <f t="shared" ca="1" si="5"/>
        <v>93</v>
      </c>
      <c r="M33" s="86" t="e" vm="122">
        <f>_xlfn.XLOOKUP(I33,Teams!$C:$C,Teams!$E:$E,,0,1)</f>
        <v>#VALUE!</v>
      </c>
      <c r="N33" s="86">
        <f t="shared" ca="1" si="5"/>
        <v>102</v>
      </c>
      <c r="O33" s="208" t="str">
        <f t="shared" ca="1" si="3"/>
        <v>Colorado State</v>
      </c>
      <c r="P33" s="90" t="e" vm="122">
        <f ca="1">_xlfn.XLOOKUP(O33,Teams!$C:$C,Teams!$E:$E,,0,1)</f>
        <v>#VALUE!</v>
      </c>
      <c r="Q33" s="6" t="b">
        <f t="shared" ca="1" si="6"/>
        <v>1</v>
      </c>
      <c r="R33" s="113"/>
    </row>
    <row r="34" spans="1:18" ht="24" customHeight="1" x14ac:dyDescent="0.25">
      <c r="A34" s="105" t="str">
        <f t="shared" si="7"/>
        <v>Columbia</v>
      </c>
      <c r="B34" s="105" t="str">
        <f t="shared" si="0"/>
        <v>Connecticut</v>
      </c>
      <c r="C34" s="105" t="str">
        <f t="shared" ca="1" si="1"/>
        <v>Columbia</v>
      </c>
      <c r="D34" s="105" t="e">
        <f t="shared" si="2"/>
        <v>#REF!</v>
      </c>
      <c r="E34" s="131">
        <v>30</v>
      </c>
      <c r="F34" s="132" cm="1">
        <f t="array" ref="F34">_xlfn.XLOOKUP(G34,Teams[[#All],[Team]],Teams[[#All],[Seed]],0,0,1)</f>
        <v>3</v>
      </c>
      <c r="G34" s="133" t="str">
        <f>Teams!C60</f>
        <v>Columbia</v>
      </c>
      <c r="H34" s="194" t="s">
        <v>9</v>
      </c>
      <c r="I34" s="134" t="str">
        <f>Teams!C61</f>
        <v>Connecticut</v>
      </c>
      <c r="J34" s="135" cm="1">
        <f t="array" ref="J34">_xlfn.XLOOKUP(I34,Teams[[#All],[Team]],Teams[[#All],[Seed]],0,0,1)</f>
        <v>14</v>
      </c>
      <c r="K34" s="86" t="e" vm="123">
        <f>_xlfn.XLOOKUP(G34,Teams!$C:$C,Teams!$E:$E,,0,1)</f>
        <v>#VALUE!</v>
      </c>
      <c r="L34" s="86">
        <f t="shared" ca="1" si="5"/>
        <v>95</v>
      </c>
      <c r="M34" s="86" t="e" vm="124">
        <f>_xlfn.XLOOKUP(I34,Teams!$C:$C,Teams!$E:$E,,0,1)</f>
        <v>#VALUE!</v>
      </c>
      <c r="N34" s="86">
        <f t="shared" ca="1" si="5"/>
        <v>102</v>
      </c>
      <c r="O34" s="208" t="str">
        <f t="shared" ca="1" si="3"/>
        <v>Connecticut</v>
      </c>
      <c r="P34" s="90" t="e" vm="124">
        <f ca="1">_xlfn.XLOOKUP(O34,Teams!$C:$C,Teams!$E:$E,,0,1)</f>
        <v>#VALUE!</v>
      </c>
      <c r="Q34" s="6" t="b">
        <f t="shared" ca="1" si="6"/>
        <v>1</v>
      </c>
      <c r="R34" s="113"/>
    </row>
    <row r="35" spans="1:18" ht="24" customHeight="1" x14ac:dyDescent="0.25">
      <c r="A35" s="105" t="str">
        <f t="shared" si="7"/>
        <v>Coppin State</v>
      </c>
      <c r="B35" s="105" t="str">
        <f t="shared" si="0"/>
        <v>Cornell</v>
      </c>
      <c r="C35" s="105" t="str">
        <f t="shared" ca="1" si="1"/>
        <v>Coppin State</v>
      </c>
      <c r="D35" s="105" t="e">
        <f t="shared" si="2"/>
        <v>#REF!</v>
      </c>
      <c r="E35" s="131">
        <v>31</v>
      </c>
      <c r="F35" s="132" cm="1">
        <f t="array" ref="F35">_xlfn.XLOOKUP(G35,Teams[[#All],[Team]],Teams[[#All],[Seed]],0,0,1)</f>
        <v>7</v>
      </c>
      <c r="G35" s="133" t="str">
        <f>Teams!C62</f>
        <v>Coppin State</v>
      </c>
      <c r="H35" s="194" t="s">
        <v>9</v>
      </c>
      <c r="I35" s="134" t="str">
        <f>Teams!C63</f>
        <v>Cornell</v>
      </c>
      <c r="J35" s="135" cm="1">
        <f t="array" ref="J35">_xlfn.XLOOKUP(I35,Teams[[#All],[Team]],Teams[[#All],[Seed]],0,0,1)</f>
        <v>10</v>
      </c>
      <c r="K35" s="86" t="e" vm="125">
        <f>_xlfn.XLOOKUP(G35,Teams!$C:$C,Teams!$E:$E,,0,1)</f>
        <v>#VALUE!</v>
      </c>
      <c r="L35" s="86">
        <f t="shared" ca="1" si="5"/>
        <v>102</v>
      </c>
      <c r="M35" s="86" t="e" vm="126">
        <f>_xlfn.XLOOKUP(I35,Teams!$C:$C,Teams!$E:$E,,0,1)</f>
        <v>#VALUE!</v>
      </c>
      <c r="N35" s="86">
        <f t="shared" ca="1" si="5"/>
        <v>107</v>
      </c>
      <c r="O35" s="208" t="str">
        <f t="shared" ca="1" si="3"/>
        <v>Cornell</v>
      </c>
      <c r="P35" s="90" t="e" vm="126">
        <f ca="1">_xlfn.XLOOKUP(O35,Teams!$C:$C,Teams!$E:$E,,0,1)</f>
        <v>#VALUE!</v>
      </c>
      <c r="Q35" s="6" t="b">
        <f t="shared" ca="1" si="6"/>
        <v>1</v>
      </c>
      <c r="R35" s="113"/>
    </row>
    <row r="36" spans="1:18" ht="24" customHeight="1" thickBot="1" x14ac:dyDescent="0.3">
      <c r="A36" s="105" t="str">
        <f t="shared" si="7"/>
        <v>Creighton</v>
      </c>
      <c r="B36" s="105" t="str">
        <f t="shared" si="0"/>
        <v>Dartmouth</v>
      </c>
      <c r="C36" s="105" t="str">
        <f t="shared" ca="1" si="1"/>
        <v>Dartmouth</v>
      </c>
      <c r="D36" s="105" t="e">
        <f t="shared" si="2"/>
        <v>#REF!</v>
      </c>
      <c r="E36" s="136">
        <v>32</v>
      </c>
      <c r="F36" s="137" cm="1">
        <f t="array" ref="F36">_xlfn.XLOOKUP(G36,Teams[[#All],[Team]],Teams[[#All],[Seed]],0,0,1)</f>
        <v>2</v>
      </c>
      <c r="G36" s="138" t="str">
        <f>Teams!C64</f>
        <v>Creighton</v>
      </c>
      <c r="H36" s="195" t="s">
        <v>9</v>
      </c>
      <c r="I36" s="139" t="str">
        <f>Teams!C65</f>
        <v>Dartmouth</v>
      </c>
      <c r="J36" s="140" cm="1">
        <f t="array" ref="J36">_xlfn.XLOOKUP(I36,Teams[[#All],[Team]],Teams[[#All],[Seed]],0,0,1)</f>
        <v>15</v>
      </c>
      <c r="K36" s="141" t="e" vm="127">
        <f>_xlfn.XLOOKUP(G36,Teams!$C:$C,Teams!$E:$E,,0,1)</f>
        <v>#VALUE!</v>
      </c>
      <c r="L36" s="141">
        <f t="shared" ca="1" si="5"/>
        <v>111</v>
      </c>
      <c r="M36" s="141" t="e" vm="128">
        <f>_xlfn.XLOOKUP(I36,Teams!$C:$C,Teams!$E:$E,,0,1)</f>
        <v>#VALUE!</v>
      </c>
      <c r="N36" s="141">
        <f t="shared" ca="1" si="5"/>
        <v>108</v>
      </c>
      <c r="O36" s="209" t="str">
        <f t="shared" ca="1" si="3"/>
        <v>Creighton</v>
      </c>
      <c r="P36" s="92" t="e" vm="127">
        <f ca="1">_xlfn.XLOOKUP(O36,Teams!$C:$C,Teams!$E:$E,,0,1)</f>
        <v>#VALUE!</v>
      </c>
      <c r="Q36" s="6" t="b">
        <f t="shared" ca="1" si="6"/>
        <v>0</v>
      </c>
      <c r="R36" s="113"/>
    </row>
    <row r="37" spans="1:18" ht="24" customHeight="1" thickBot="1" x14ac:dyDescent="0.3">
      <c r="E37" s="67" t="s">
        <v>10</v>
      </c>
      <c r="F37" s="263" t="str">
        <f>Bracket!F2</f>
        <v>Second Round</v>
      </c>
      <c r="G37" s="263"/>
      <c r="H37" s="263"/>
      <c r="I37" s="263"/>
      <c r="J37" s="263"/>
      <c r="K37" s="68"/>
      <c r="L37" s="68"/>
      <c r="M37" s="68"/>
      <c r="N37" s="68"/>
      <c r="O37" s="68" t="s">
        <v>8</v>
      </c>
      <c r="P37" s="69"/>
      <c r="R37" s="113"/>
    </row>
    <row r="38" spans="1:18" ht="24" customHeight="1" x14ac:dyDescent="0.25">
      <c r="A38" s="105" t="str">
        <f ca="1">G38</f>
        <v>Air Force</v>
      </c>
      <c r="B38" s="105" t="str">
        <f ca="1">I38</f>
        <v>Alabama</v>
      </c>
      <c r="C38" s="105" t="str">
        <f t="shared" ref="C38:C53" ca="1" si="8">IF(O38="","",IF(A38=O38,B38,A38))</f>
        <v>Air Force</v>
      </c>
      <c r="D38" s="105" t="e">
        <f t="shared" ref="D38:D53" si="9">IF(SeedType=1,0,IF(SeedType=2,VLOOKUP(O38,SeedInfo,2,FALSE)*2,MAX(VLOOKUP(O38,SeedInfo,2,FALSE)-VLOOKUP(C38,SeedInfo,2,FALSE),0)))</f>
        <v>#REF!</v>
      </c>
      <c r="E38" s="144">
        <f>Bracket!F7</f>
        <v>33</v>
      </c>
      <c r="F38" s="145" cm="1">
        <f t="array" aca="1" ref="F38" ca="1">_xlfn.XLOOKUP(G38,Teams[[#All],[Team]],Teams[[#All],[Seed]],0,0,1)</f>
        <v>16</v>
      </c>
      <c r="G38" s="146" t="str">
        <f ca="1">O5</f>
        <v>Air Force</v>
      </c>
      <c r="H38" s="197" t="s">
        <v>9</v>
      </c>
      <c r="I38" s="147" t="str">
        <f ca="1">O6</f>
        <v>Alabama</v>
      </c>
      <c r="J38" s="148" cm="1">
        <f t="array" aca="1" ref="J38" ca="1">_xlfn.XLOOKUP(I38,Teams[[#All],[Team]],Teams[[#All],[Seed]],0,0,1)</f>
        <v>9</v>
      </c>
      <c r="K38" s="87" t="e" vm="66">
        <f ca="1">_xlfn.XLOOKUP(G38,Teams!$C:$C,Teams!$E:$E,,0,1)</f>
        <v>#VALUE!</v>
      </c>
      <c r="L38" s="87">
        <f t="shared" ref="L38:N72" ca="1" si="10">RANDBETWEEN(90,120)</f>
        <v>101</v>
      </c>
      <c r="M38" s="87" t="e" vm="68">
        <f ca="1">_xlfn.XLOOKUP(I38,Teams!$C:$C,Teams!$E:$E,,0,1)</f>
        <v>#VALUE!</v>
      </c>
      <c r="N38" s="87">
        <f t="shared" ca="1" si="10"/>
        <v>107</v>
      </c>
      <c r="O38" s="210" t="str">
        <f t="shared" ref="O38:O53" ca="1" si="11">IF(L38&gt;N38,G38,I38)</f>
        <v>Alabama</v>
      </c>
      <c r="P38" s="88" t="e" vm="68">
        <f ca="1">_xlfn.XLOOKUP(O38,Teams!$C:$C,Teams!$E:$E,,0,1)</f>
        <v>#VALUE!</v>
      </c>
      <c r="Q38" s="6" t="b">
        <f t="shared" ca="1" si="6"/>
        <v>0</v>
      </c>
      <c r="R38" s="113"/>
    </row>
    <row r="39" spans="1:18" ht="24" customHeight="1" x14ac:dyDescent="0.25">
      <c r="A39" s="105" t="str">
        <f t="shared" ref="A39:A53" ca="1" si="12">G39</f>
        <v>Alabama State</v>
      </c>
      <c r="B39" s="105" t="str">
        <f t="shared" ref="B39:B53" ca="1" si="13">I39</f>
        <v>Albany (NY)</v>
      </c>
      <c r="C39" s="105" t="str">
        <f t="shared" ca="1" si="8"/>
        <v>Alabama State</v>
      </c>
      <c r="D39" s="105" t="e">
        <f t="shared" si="9"/>
        <v>#REF!</v>
      </c>
      <c r="E39" s="114">
        <v>34</v>
      </c>
      <c r="F39" s="115" cm="1">
        <f t="array" aca="1" ref="F39" ca="1">_xlfn.XLOOKUP(G39,Teams[[#All],[Team]],Teams[[#All],[Seed]],0,0,1)</f>
        <v>12</v>
      </c>
      <c r="G39" s="116" t="str">
        <f ca="1">O7</f>
        <v>Alabama State</v>
      </c>
      <c r="H39" s="191" t="s">
        <v>9</v>
      </c>
      <c r="I39" s="117" t="str">
        <f ca="1">O8</f>
        <v>Albany (NY)</v>
      </c>
      <c r="J39" s="118" cm="1">
        <f t="array" aca="1" ref="J39" ca="1">_xlfn.XLOOKUP(I39,Teams[[#All],[Team]],Teams[[#All],[Seed]],0,0,1)</f>
        <v>4</v>
      </c>
      <c r="K39" s="85" t="e" vm="70">
        <f ca="1">_xlfn.XLOOKUP(G39,Teams!$C:$C,Teams!$E:$E,,0,1)</f>
        <v>#VALUE!</v>
      </c>
      <c r="L39" s="85">
        <f t="shared" ca="1" si="10"/>
        <v>91</v>
      </c>
      <c r="M39" s="85" t="e" vm="71">
        <f ca="1">_xlfn.XLOOKUP(I39,Teams!$C:$C,Teams!$E:$E,,0,1)</f>
        <v>#VALUE!</v>
      </c>
      <c r="N39" s="85">
        <f t="shared" ca="1" si="10"/>
        <v>115</v>
      </c>
      <c r="O39" s="205" t="str">
        <f t="shared" ca="1" si="11"/>
        <v>Albany (NY)</v>
      </c>
      <c r="P39" s="89" t="e" vm="71">
        <f ca="1">_xlfn.XLOOKUP(O39,Teams!$C:$C,Teams!$E:$E,,0,1)</f>
        <v>#VALUE!</v>
      </c>
      <c r="Q39" s="6" t="b">
        <f t="shared" ca="1" si="6"/>
        <v>0</v>
      </c>
      <c r="R39" s="113"/>
    </row>
    <row r="40" spans="1:18" ht="24" customHeight="1" x14ac:dyDescent="0.25">
      <c r="A40" s="105" t="str">
        <f t="shared" ca="1" si="12"/>
        <v>American</v>
      </c>
      <c r="B40" s="105" t="str">
        <f t="shared" ca="1" si="13"/>
        <v>Arizona</v>
      </c>
      <c r="C40" s="105" t="str">
        <f t="shared" ca="1" si="8"/>
        <v>American</v>
      </c>
      <c r="D40" s="105" t="e">
        <f t="shared" si="9"/>
        <v>#REF!</v>
      </c>
      <c r="E40" s="114">
        <v>35</v>
      </c>
      <c r="F40" s="115" cm="1">
        <f t="array" aca="1" ref="F40" ca="1">_xlfn.XLOOKUP(G40,Teams[[#All],[Team]],Teams[[#All],[Seed]],0,0,1)</f>
        <v>6</v>
      </c>
      <c r="G40" s="116" t="str">
        <f ca="1">O9</f>
        <v>American</v>
      </c>
      <c r="H40" s="191" t="s">
        <v>9</v>
      </c>
      <c r="I40" s="117" t="str">
        <f ca="1">O10</f>
        <v>Arizona</v>
      </c>
      <c r="J40" s="118" cm="1">
        <f t="array" aca="1" ref="J40" ca="1">_xlfn.XLOOKUP(I40,Teams[[#All],[Team]],Teams[[#All],[Seed]],0,0,1)</f>
        <v>3</v>
      </c>
      <c r="K40" s="85" t="e" vm="73">
        <f ca="1">_xlfn.XLOOKUP(G40,Teams!$C:$C,Teams!$E:$E,,0,1)</f>
        <v>#VALUE!</v>
      </c>
      <c r="L40" s="85">
        <f t="shared" ca="1" si="10"/>
        <v>111</v>
      </c>
      <c r="M40" s="85" t="e" vm="75">
        <f ca="1">_xlfn.XLOOKUP(I40,Teams!$C:$C,Teams!$E:$E,,0,1)</f>
        <v>#VALUE!</v>
      </c>
      <c r="N40" s="85">
        <f t="shared" ca="1" si="10"/>
        <v>111</v>
      </c>
      <c r="O40" s="205" t="str">
        <f t="shared" ca="1" si="11"/>
        <v>Arizona</v>
      </c>
      <c r="P40" s="89" t="e" vm="75">
        <f ca="1">_xlfn.XLOOKUP(O40,Teams!$C:$C,Teams!$E:$E,,0,1)</f>
        <v>#VALUE!</v>
      </c>
      <c r="Q40" s="6" t="b">
        <f t="shared" ca="1" si="6"/>
        <v>0</v>
      </c>
      <c r="R40" s="113"/>
    </row>
    <row r="41" spans="1:18" ht="24" customHeight="1" thickBot="1" x14ac:dyDescent="0.3">
      <c r="A41" s="105" t="str">
        <f t="shared" ca="1" si="12"/>
        <v>Arkansas</v>
      </c>
      <c r="B41" s="105" t="str">
        <f t="shared" ca="1" si="13"/>
        <v>Army</v>
      </c>
      <c r="C41" s="105" t="str">
        <f t="shared" ca="1" si="8"/>
        <v>Arkansas</v>
      </c>
      <c r="D41" s="105" t="e">
        <f t="shared" si="9"/>
        <v>#REF!</v>
      </c>
      <c r="E41" s="149">
        <v>36</v>
      </c>
      <c r="F41" s="150" cm="1">
        <f t="array" aca="1" ref="F41" ca="1">_xlfn.XLOOKUP(G41,Teams[[#All],[Team]],Teams[[#All],[Seed]],0,0,1)</f>
        <v>7</v>
      </c>
      <c r="G41" s="151" t="str">
        <f ca="1">O11</f>
        <v>Arkansas</v>
      </c>
      <c r="H41" s="198" t="s">
        <v>9</v>
      </c>
      <c r="I41" s="152" t="str">
        <f ca="1">O12</f>
        <v>Army</v>
      </c>
      <c r="J41" s="153" cm="1">
        <f t="array" aca="1" ref="J41" ca="1">_xlfn.XLOOKUP(I41,Teams[[#All],[Team]],Teams[[#All],[Seed]],0,0,1)</f>
        <v>15</v>
      </c>
      <c r="K41" s="154" t="e" vm="77">
        <f ca="1">_xlfn.XLOOKUP(G41,Teams!$C:$C,Teams!$E:$E,,0,1)</f>
        <v>#VALUE!</v>
      </c>
      <c r="L41" s="154">
        <f t="shared" ca="1" si="10"/>
        <v>103</v>
      </c>
      <c r="M41" s="154" t="e" vm="80">
        <f ca="1">_xlfn.XLOOKUP(I41,Teams!$C:$C,Teams!$E:$E,,0,1)</f>
        <v>#VALUE!</v>
      </c>
      <c r="N41" s="154">
        <f t="shared" ca="1" si="10"/>
        <v>119</v>
      </c>
      <c r="O41" s="211" t="str">
        <f t="shared" ca="1" si="11"/>
        <v>Army</v>
      </c>
      <c r="P41" s="95" t="e" vm="80">
        <f ca="1">_xlfn.XLOOKUP(O41,Teams!$C:$C,Teams!$E:$E,,0,1)</f>
        <v>#VALUE!</v>
      </c>
      <c r="Q41" s="6" t="b">
        <f t="shared" ca="1" si="6"/>
        <v>1</v>
      </c>
      <c r="R41" s="113"/>
    </row>
    <row r="42" spans="1:18" ht="24" customHeight="1" x14ac:dyDescent="0.25">
      <c r="A42" s="105" t="str">
        <f t="shared" ca="1" si="12"/>
        <v>Austin Peay</v>
      </c>
      <c r="B42" s="105" t="str">
        <f t="shared" ca="1" si="13"/>
        <v>Baylor</v>
      </c>
      <c r="C42" s="105" t="str">
        <f t="shared" ca="1" si="8"/>
        <v>Baylor</v>
      </c>
      <c r="D42" s="105" t="e">
        <f t="shared" si="9"/>
        <v>#REF!</v>
      </c>
      <c r="E42" s="155">
        <v>37</v>
      </c>
      <c r="F42" s="156" cm="1">
        <f t="array" aca="1" ref="F42" ca="1">_xlfn.XLOOKUP(G42,Teams[[#All],[Team]],Teams[[#All],[Seed]],0,0,1)</f>
        <v>16</v>
      </c>
      <c r="G42" s="157" t="str">
        <f ca="1">O13</f>
        <v>Austin Peay</v>
      </c>
      <c r="H42" s="199" t="s">
        <v>9</v>
      </c>
      <c r="I42" s="158" t="str">
        <f ca="1">O14</f>
        <v>Baylor</v>
      </c>
      <c r="J42" s="159" cm="1">
        <f t="array" aca="1" ref="J42" ca="1">_xlfn.XLOOKUP(I42,Teams[[#All],[Team]],Teams[[#All],[Seed]],0,0,1)</f>
        <v>9</v>
      </c>
      <c r="K42" s="160" t="e" vm="82">
        <f ca="1">_xlfn.XLOOKUP(G42,Teams!$C:$C,Teams!$E:$E,,0,1)</f>
        <v>#VALUE!</v>
      </c>
      <c r="L42" s="160">
        <f t="shared" ca="1" si="10"/>
        <v>97</v>
      </c>
      <c r="M42" s="160" t="e" vm="84">
        <f ca="1">_xlfn.XLOOKUP(I42,Teams!$C:$C,Teams!$E:$E,,0,1)</f>
        <v>#VALUE!</v>
      </c>
      <c r="N42" s="160">
        <f t="shared" ca="1" si="10"/>
        <v>92</v>
      </c>
      <c r="O42" s="212" t="str">
        <f t="shared" ca="1" si="11"/>
        <v>Austin Peay</v>
      </c>
      <c r="P42" s="96" t="e" vm="82">
        <f ca="1">_xlfn.XLOOKUP(O42,Teams!$C:$C,Teams!$E:$E,,0,1)</f>
        <v>#VALUE!</v>
      </c>
      <c r="Q42" s="6" t="b">
        <f t="shared" ca="1" si="6"/>
        <v>1</v>
      </c>
      <c r="R42" s="113"/>
    </row>
    <row r="43" spans="1:18" ht="24" customHeight="1" x14ac:dyDescent="0.25">
      <c r="A43" s="105" t="str">
        <f t="shared" ca="1" si="12"/>
        <v>Bellarmine</v>
      </c>
      <c r="B43" s="105" t="str">
        <f t="shared" ca="1" si="13"/>
        <v>Bethune-Cookman</v>
      </c>
      <c r="C43" s="105" t="str">
        <f t="shared" ca="1" si="8"/>
        <v>Bellarmine</v>
      </c>
      <c r="D43" s="105" t="e">
        <f t="shared" si="9"/>
        <v>#REF!</v>
      </c>
      <c r="E43" s="131">
        <v>38</v>
      </c>
      <c r="F43" s="132" cm="1">
        <f t="array" aca="1" ref="F43" ca="1">_xlfn.XLOOKUP(G43,Teams[[#All],[Team]],Teams[[#All],[Seed]],0,0,1)</f>
        <v>5</v>
      </c>
      <c r="G43" s="133" t="str">
        <f ca="1">O15</f>
        <v>Bellarmine</v>
      </c>
      <c r="H43" s="194" t="s">
        <v>9</v>
      </c>
      <c r="I43" s="134" t="str">
        <f ca="1">O16</f>
        <v>Bethune-Cookman</v>
      </c>
      <c r="J43" s="135" cm="1">
        <f t="array" aca="1" ref="J43" ca="1">_xlfn.XLOOKUP(I43,Teams[[#All],[Team]],Teams[[#All],[Seed]],0,0,1)</f>
        <v>4</v>
      </c>
      <c r="K43" s="86" t="e" vm="85">
        <f ca="1">_xlfn.XLOOKUP(G43,Teams!$C:$C,Teams!$E:$E,,0,1)</f>
        <v>#VALUE!</v>
      </c>
      <c r="L43" s="86">
        <f t="shared" ca="1" si="10"/>
        <v>99</v>
      </c>
      <c r="M43" s="86" t="e" vm="87">
        <f ca="1">_xlfn.XLOOKUP(I43,Teams!$C:$C,Teams!$E:$E,,0,1)</f>
        <v>#VALUE!</v>
      </c>
      <c r="N43" s="86">
        <f t="shared" ca="1" si="10"/>
        <v>99</v>
      </c>
      <c r="O43" s="208" t="str">
        <f t="shared" ca="1" si="11"/>
        <v>Bethune-Cookman</v>
      </c>
      <c r="P43" s="90" t="e" vm="87">
        <f ca="1">_xlfn.XLOOKUP(O43,Teams!$C:$C,Teams!$E:$E,,0,1)</f>
        <v>#VALUE!</v>
      </c>
      <c r="Q43" s="6" t="b">
        <f t="shared" ca="1" si="6"/>
        <v>0</v>
      </c>
      <c r="R43" s="113"/>
    </row>
    <row r="44" spans="1:18" ht="24" customHeight="1" x14ac:dyDescent="0.25">
      <c r="A44" s="105" t="str">
        <f t="shared" ca="1" si="12"/>
        <v>Boston College</v>
      </c>
      <c r="B44" s="105" t="str">
        <f t="shared" ca="1" si="13"/>
        <v>Boston University</v>
      </c>
      <c r="C44" s="105" t="str">
        <f t="shared" ca="1" si="8"/>
        <v>Boston College</v>
      </c>
      <c r="D44" s="105" t="e">
        <f t="shared" si="9"/>
        <v>#REF!</v>
      </c>
      <c r="E44" s="131">
        <v>39</v>
      </c>
      <c r="F44" s="132" cm="1">
        <f t="array" aca="1" ref="F44" ca="1">_xlfn.XLOOKUP(G44,Teams[[#All],[Team]],Teams[[#All],[Seed]],0,0,1)</f>
        <v>11</v>
      </c>
      <c r="G44" s="133" t="str">
        <f ca="1">O17</f>
        <v>Boston College</v>
      </c>
      <c r="H44" s="194" t="s">
        <v>9</v>
      </c>
      <c r="I44" s="134" t="str">
        <f ca="1">O18</f>
        <v>Boston University</v>
      </c>
      <c r="J44" s="135" cm="1">
        <f t="array" aca="1" ref="J44" ca="1">_xlfn.XLOOKUP(I44,Teams[[#All],[Team]],Teams[[#All],[Seed]],0,0,1)</f>
        <v>3</v>
      </c>
      <c r="K44" s="86" t="e" vm="90">
        <f ca="1">_xlfn.XLOOKUP(G44,Teams!$C:$C,Teams!$E:$E,,0,1)</f>
        <v>#VALUE!</v>
      </c>
      <c r="L44" s="86">
        <f t="shared" ca="1" si="10"/>
        <v>92</v>
      </c>
      <c r="M44" s="86" t="e" vm="91">
        <f ca="1">_xlfn.XLOOKUP(I44,Teams!$C:$C,Teams!$E:$E,,0,1)</f>
        <v>#VALUE!</v>
      </c>
      <c r="N44" s="86">
        <f t="shared" ca="1" si="10"/>
        <v>100</v>
      </c>
      <c r="O44" s="208" t="str">
        <f t="shared" ca="1" si="11"/>
        <v>Boston University</v>
      </c>
      <c r="P44" s="90" t="e" vm="91">
        <f ca="1">_xlfn.XLOOKUP(O44,Teams!$C:$C,Teams!$E:$E,,0,1)</f>
        <v>#VALUE!</v>
      </c>
      <c r="Q44" s="6" t="b">
        <f t="shared" ca="1" si="6"/>
        <v>0</v>
      </c>
      <c r="R44" s="113"/>
    </row>
    <row r="45" spans="1:18" ht="24" customHeight="1" thickBot="1" x14ac:dyDescent="0.3">
      <c r="A45" s="105" t="str">
        <f t="shared" ca="1" si="12"/>
        <v>Brigham Young</v>
      </c>
      <c r="B45" s="105" t="str">
        <f t="shared" ca="1" si="13"/>
        <v>Brown</v>
      </c>
      <c r="C45" s="105" t="str">
        <f t="shared" ca="1" si="8"/>
        <v>Brown</v>
      </c>
      <c r="D45" s="105" t="e">
        <f t="shared" si="9"/>
        <v>#REF!</v>
      </c>
      <c r="E45" s="161">
        <v>40</v>
      </c>
      <c r="F45" s="162" cm="1">
        <f t="array" aca="1" ref="F45" ca="1">_xlfn.XLOOKUP(G45,Teams[[#All],[Team]],Teams[[#All],[Seed]],0,0,1)</f>
        <v>10</v>
      </c>
      <c r="G45" s="163" t="str">
        <f ca="1">O19</f>
        <v>Brigham Young</v>
      </c>
      <c r="H45" s="200" t="s">
        <v>9</v>
      </c>
      <c r="I45" s="164" t="str">
        <f ca="1">O20</f>
        <v>Brown</v>
      </c>
      <c r="J45" s="165" cm="1">
        <f t="array" aca="1" ref="J45" ca="1">_xlfn.XLOOKUP(I45,Teams[[#All],[Team]],Teams[[#All],[Seed]],0,0,1)</f>
        <v>2</v>
      </c>
      <c r="K45" s="166" t="e" vm="94">
        <f ca="1">_xlfn.XLOOKUP(G45,Teams!$C:$C,Teams!$E:$E,,0,1)</f>
        <v>#VALUE!</v>
      </c>
      <c r="L45" s="166">
        <f t="shared" ca="1" si="10"/>
        <v>118</v>
      </c>
      <c r="M45" s="166" t="e" vm="95">
        <f ca="1">_xlfn.XLOOKUP(I45,Teams!$C:$C,Teams!$E:$E,,0,1)</f>
        <v>#VALUE!</v>
      </c>
      <c r="N45" s="166">
        <f t="shared" ca="1" si="10"/>
        <v>96</v>
      </c>
      <c r="O45" s="213" t="str">
        <f t="shared" ca="1" si="11"/>
        <v>Brigham Young</v>
      </c>
      <c r="P45" s="97" t="e" vm="94">
        <f ca="1">_xlfn.XLOOKUP(O45,Teams!$C:$C,Teams!$E:$E,,0,1)</f>
        <v>#VALUE!</v>
      </c>
      <c r="Q45" s="6" t="b">
        <f t="shared" ca="1" si="6"/>
        <v>1</v>
      </c>
      <c r="R45" s="113"/>
    </row>
    <row r="46" spans="1:18" ht="24" customHeight="1" x14ac:dyDescent="0.25">
      <c r="A46" s="167" t="str">
        <f t="shared" ca="1" si="12"/>
        <v>Bucknell</v>
      </c>
      <c r="B46" s="167" t="str">
        <f t="shared" ca="1" si="13"/>
        <v>Butler</v>
      </c>
      <c r="C46" s="167" t="str">
        <f t="shared" ca="1" si="8"/>
        <v>Butler</v>
      </c>
      <c r="D46" s="167" t="e">
        <f t="shared" si="9"/>
        <v>#REF!</v>
      </c>
      <c r="E46" s="144">
        <v>41</v>
      </c>
      <c r="F46" s="145" cm="1">
        <f t="array" aca="1" ref="F46" ca="1">_xlfn.XLOOKUP(G46,Teams[[#All],[Team]],Teams[[#All],[Seed]],0,0,1)</f>
        <v>1</v>
      </c>
      <c r="G46" s="146" t="str">
        <f ca="1">O21</f>
        <v>Bucknell</v>
      </c>
      <c r="H46" s="197" t="s">
        <v>9</v>
      </c>
      <c r="I46" s="147" t="str">
        <f ca="1">O22</f>
        <v>Butler</v>
      </c>
      <c r="J46" s="148" cm="1">
        <f t="array" aca="1" ref="J46" ca="1">_xlfn.XLOOKUP(I46,Teams[[#All],[Team]],Teams[[#All],[Seed]],0,0,1)</f>
        <v>8</v>
      </c>
      <c r="K46" s="87" t="e" vm="97">
        <f ca="1">_xlfn.XLOOKUP(G46,Teams!$C:$C,Teams!$E:$E,,0,1)</f>
        <v>#VALUE!</v>
      </c>
      <c r="L46" s="87">
        <f t="shared" ca="1" si="10"/>
        <v>107</v>
      </c>
      <c r="M46" s="87" t="e" vm="99">
        <f ca="1">_xlfn.XLOOKUP(I46,Teams!$C:$C,Teams!$E:$E,,0,1)</f>
        <v>#VALUE!</v>
      </c>
      <c r="N46" s="87">
        <f t="shared" ca="1" si="10"/>
        <v>105</v>
      </c>
      <c r="O46" s="210" t="str">
        <f t="shared" ca="1" si="11"/>
        <v>Bucknell</v>
      </c>
      <c r="P46" s="88" t="e" vm="97">
        <f ca="1">_xlfn.XLOOKUP(O46,Teams!$C:$C,Teams!$E:$E,,0,1)</f>
        <v>#VALUE!</v>
      </c>
      <c r="Q46" s="6" t="b">
        <f t="shared" ca="1" si="6"/>
        <v>0</v>
      </c>
      <c r="R46" s="113"/>
    </row>
    <row r="47" spans="1:18" ht="24" customHeight="1" x14ac:dyDescent="0.25">
      <c r="A47" s="167" t="str">
        <f t="shared" ca="1" si="12"/>
        <v>Cal State Fullerton</v>
      </c>
      <c r="B47" s="167" t="str">
        <f t="shared" ca="1" si="13"/>
        <v>California</v>
      </c>
      <c r="C47" s="167" t="str">
        <f t="shared" ca="1" si="8"/>
        <v>Cal State Fullerton</v>
      </c>
      <c r="D47" s="167" t="e">
        <f t="shared" si="9"/>
        <v>#REF!</v>
      </c>
      <c r="E47" s="114">
        <v>42</v>
      </c>
      <c r="F47" s="115" cm="1">
        <f t="array" aca="1" ref="F47" ca="1">_xlfn.XLOOKUP(G47,Teams[[#All],[Team]],Teams[[#All],[Seed]],0,0,1)</f>
        <v>12</v>
      </c>
      <c r="G47" s="116" t="str">
        <f ca="1">O23</f>
        <v>Cal State Fullerton</v>
      </c>
      <c r="H47" s="191" t="s">
        <v>9</v>
      </c>
      <c r="I47" s="117" t="str">
        <f ca="1">O24</f>
        <v>California</v>
      </c>
      <c r="J47" s="118" cm="1">
        <f t="array" aca="1" ref="J47" ca="1">_xlfn.XLOOKUP(I47,Teams[[#All],[Team]],Teams[[#All],[Seed]],0,0,1)</f>
        <v>13</v>
      </c>
      <c r="K47" s="85" t="e" vm="102">
        <f ca="1">_xlfn.XLOOKUP(G47,Teams!$C:$C,Teams!$E:$E,,0,1)</f>
        <v>#VALUE!</v>
      </c>
      <c r="L47" s="85">
        <f t="shared" ca="1" si="10"/>
        <v>97</v>
      </c>
      <c r="M47" s="85" t="e" vm="104">
        <f ca="1">_xlfn.XLOOKUP(I47,Teams!$C:$C,Teams!$E:$E,,0,1)</f>
        <v>#VALUE!</v>
      </c>
      <c r="N47" s="85">
        <f t="shared" ca="1" si="10"/>
        <v>119</v>
      </c>
      <c r="O47" s="205" t="str">
        <f t="shared" ca="1" si="11"/>
        <v>California</v>
      </c>
      <c r="P47" s="89" t="e" vm="104">
        <f ca="1">_xlfn.XLOOKUP(O47,Teams!$C:$C,Teams!$E:$E,,0,1)</f>
        <v>#VALUE!</v>
      </c>
      <c r="Q47" s="6" t="b">
        <f t="shared" ca="1" si="6"/>
        <v>1</v>
      </c>
      <c r="R47" s="113"/>
    </row>
    <row r="48" spans="1:18" ht="24" customHeight="1" x14ac:dyDescent="0.25">
      <c r="A48" s="167" t="str">
        <f t="shared" ca="1" si="12"/>
        <v>California Baptist</v>
      </c>
      <c r="B48" s="167" t="str">
        <f t="shared" ca="1" si="13"/>
        <v>Central Arkansas</v>
      </c>
      <c r="C48" s="167" t="str">
        <f t="shared" ca="1" si="8"/>
        <v>California Baptist</v>
      </c>
      <c r="D48" s="167" t="e">
        <f t="shared" si="9"/>
        <v>#REF!</v>
      </c>
      <c r="E48" s="114">
        <v>43</v>
      </c>
      <c r="F48" s="115" cm="1">
        <f t="array" aca="1" ref="F48" ca="1">_xlfn.XLOOKUP(G48,Teams[[#All],[Team]],Teams[[#All],[Seed]],0,0,1)</f>
        <v>6</v>
      </c>
      <c r="G48" s="116" t="str">
        <f ca="1">O25</f>
        <v>California Baptist</v>
      </c>
      <c r="H48" s="191" t="s">
        <v>9</v>
      </c>
      <c r="I48" s="117" t="str">
        <f ca="1">O26</f>
        <v>Central Arkansas</v>
      </c>
      <c r="J48" s="118" cm="1">
        <f t="array" aca="1" ref="J48" ca="1">_xlfn.XLOOKUP(I48,Teams[[#All],[Team]],Teams[[#All],[Seed]],0,0,1)</f>
        <v>14</v>
      </c>
      <c r="K48" s="85" t="e" vm="105">
        <f ca="1">_xlfn.XLOOKUP(G48,Teams!$C:$C,Teams!$E:$E,,0,1)</f>
        <v>#VALUE!</v>
      </c>
      <c r="L48" s="85">
        <f t="shared" ca="1" si="10"/>
        <v>102</v>
      </c>
      <c r="M48" s="85" t="e" vm="108">
        <f ca="1">_xlfn.XLOOKUP(I48,Teams!$C:$C,Teams!$E:$E,,0,1)</f>
        <v>#VALUE!</v>
      </c>
      <c r="N48" s="85">
        <f t="shared" ca="1" si="10"/>
        <v>106</v>
      </c>
      <c r="O48" s="205" t="str">
        <f t="shared" ca="1" si="11"/>
        <v>Central Arkansas</v>
      </c>
      <c r="P48" s="89" t="e" vm="108">
        <f ca="1">_xlfn.XLOOKUP(O48,Teams!$C:$C,Teams!$E:$E,,0,1)</f>
        <v>#VALUE!</v>
      </c>
      <c r="Q48" s="6" t="b">
        <f t="shared" ca="1" si="6"/>
        <v>1</v>
      </c>
      <c r="R48" s="113"/>
    </row>
    <row r="49" spans="1:18" ht="24" customHeight="1" thickBot="1" x14ac:dyDescent="0.3">
      <c r="A49" s="167" t="str">
        <f t="shared" ca="1" si="12"/>
        <v>Central Connecticut State</v>
      </c>
      <c r="B49" s="167" t="str">
        <f t="shared" ca="1" si="13"/>
        <v>Charleston Southern</v>
      </c>
      <c r="C49" s="167" t="str">
        <f t="shared" ca="1" si="8"/>
        <v>Central Connecticut State</v>
      </c>
      <c r="D49" s="167" t="e">
        <f t="shared" si="9"/>
        <v>#REF!</v>
      </c>
      <c r="E49" s="149">
        <v>44</v>
      </c>
      <c r="F49" s="150" cm="1">
        <f t="array" aca="1" ref="F49" ca="1">_xlfn.XLOOKUP(G49,Teams[[#All],[Team]],Teams[[#All],[Seed]],0,0,1)</f>
        <v>7</v>
      </c>
      <c r="G49" s="151" t="str">
        <f ca="1">O27</f>
        <v>Central Connecticut State</v>
      </c>
      <c r="H49" s="198" t="s">
        <v>9</v>
      </c>
      <c r="I49" s="152" t="str">
        <f ca="1">O28</f>
        <v>Charleston Southern</v>
      </c>
      <c r="J49" s="153" cm="1">
        <f t="array" aca="1" ref="J49" ca="1">_xlfn.XLOOKUP(I49,Teams[[#All],[Team]],Teams[[#All],[Seed]],0,0,1)</f>
        <v>2</v>
      </c>
      <c r="K49" s="154" t="e" vm="109">
        <f ca="1">_xlfn.XLOOKUP(G49,Teams!$C:$C,Teams!$E:$E,,0,1)</f>
        <v>#VALUE!</v>
      </c>
      <c r="L49" s="154">
        <f t="shared" ca="1" si="10"/>
        <v>92</v>
      </c>
      <c r="M49" s="154" t="e" vm="111">
        <f ca="1">_xlfn.XLOOKUP(I49,Teams!$C:$C,Teams!$E:$E,,0,1)</f>
        <v>#VALUE!</v>
      </c>
      <c r="N49" s="154">
        <f t="shared" ca="1" si="10"/>
        <v>103</v>
      </c>
      <c r="O49" s="211" t="str">
        <f t="shared" ca="1" si="11"/>
        <v>Charleston Southern</v>
      </c>
      <c r="P49" s="95" t="e" vm="111">
        <f ca="1">_xlfn.XLOOKUP(O49,Teams!$C:$C,Teams!$E:$E,,0,1)</f>
        <v>#VALUE!</v>
      </c>
      <c r="Q49" s="6" t="b">
        <f t="shared" ca="1" si="6"/>
        <v>0</v>
      </c>
      <c r="R49" s="113"/>
    </row>
    <row r="50" spans="1:18" ht="24" customHeight="1" x14ac:dyDescent="0.25">
      <c r="A50" s="105" t="str">
        <f t="shared" ca="1" si="12"/>
        <v>Chattanooga</v>
      </c>
      <c r="B50" s="105" t="str">
        <f t="shared" ca="1" si="13"/>
        <v>Cincinnati</v>
      </c>
      <c r="C50" s="105" t="str">
        <f t="shared" ca="1" si="8"/>
        <v>Cincinnati</v>
      </c>
      <c r="D50" s="105" t="e">
        <f t="shared" si="9"/>
        <v>#REF!</v>
      </c>
      <c r="E50" s="155">
        <v>45</v>
      </c>
      <c r="F50" s="156" cm="1">
        <f t="array" aca="1" ref="F50" ca="1">_xlfn.XLOOKUP(G50,Teams[[#All],[Team]],Teams[[#All],[Seed]],0,0,1)</f>
        <v>1</v>
      </c>
      <c r="G50" s="157" t="str">
        <f ca="1">O29</f>
        <v>Chattanooga</v>
      </c>
      <c r="H50" s="199" t="s">
        <v>9</v>
      </c>
      <c r="I50" s="158" t="str">
        <f ca="1">O30</f>
        <v>Cincinnati</v>
      </c>
      <c r="J50" s="159" cm="1">
        <f t="array" aca="1" ref="J50" ca="1">_xlfn.XLOOKUP(I50,Teams[[#All],[Team]],Teams[[#All],[Seed]],0,0,1)</f>
        <v>8</v>
      </c>
      <c r="K50" s="160" t="e" vm="113">
        <f ca="1">_xlfn.XLOOKUP(G50,Teams!$C:$C,Teams!$E:$E,,0,1)</f>
        <v>#VALUE!</v>
      </c>
      <c r="L50" s="160">
        <f t="shared" ca="1" si="10"/>
        <v>117</v>
      </c>
      <c r="M50" s="160" t="e" vm="115">
        <f ca="1">_xlfn.XLOOKUP(I50,Teams!$C:$C,Teams!$E:$E,,0,1)</f>
        <v>#VALUE!</v>
      </c>
      <c r="N50" s="160">
        <f t="shared" ca="1" si="10"/>
        <v>110</v>
      </c>
      <c r="O50" s="212" t="str">
        <f t="shared" ca="1" si="11"/>
        <v>Chattanooga</v>
      </c>
      <c r="P50" s="96" t="e" vm="113">
        <f ca="1">_xlfn.XLOOKUP(O50,Teams!$C:$C,Teams!$E:$E,,0,1)</f>
        <v>#VALUE!</v>
      </c>
      <c r="Q50" s="6" t="b">
        <f t="shared" ca="1" si="6"/>
        <v>0</v>
      </c>
      <c r="R50" s="113"/>
    </row>
    <row r="51" spans="1:18" ht="24" customHeight="1" x14ac:dyDescent="0.25">
      <c r="A51" s="105" t="str">
        <f t="shared" ca="1" si="12"/>
        <v>Coastal Carolina</v>
      </c>
      <c r="B51" s="105" t="str">
        <f t="shared" ca="1" si="13"/>
        <v>Colgate</v>
      </c>
      <c r="C51" s="105" t="str">
        <f t="shared" ca="1" si="8"/>
        <v>Coastal Carolina</v>
      </c>
      <c r="D51" s="105" t="e">
        <f t="shared" si="9"/>
        <v>#REF!</v>
      </c>
      <c r="E51" s="131">
        <v>46</v>
      </c>
      <c r="F51" s="132" cm="1">
        <f t="array" aca="1" ref="F51" ca="1">_xlfn.XLOOKUP(G51,Teams[[#All],[Team]],Teams[[#All],[Seed]],0,0,1)</f>
        <v>12</v>
      </c>
      <c r="G51" s="133" t="str">
        <f ca="1">O31</f>
        <v>Coastal Carolina</v>
      </c>
      <c r="H51" s="194" t="s">
        <v>9</v>
      </c>
      <c r="I51" s="134" t="str">
        <f ca="1">O32</f>
        <v>Colgate</v>
      </c>
      <c r="J51" s="135" cm="1">
        <f t="array" aca="1" ref="J51" ca="1">_xlfn.XLOOKUP(I51,Teams[[#All],[Team]],Teams[[#All],[Seed]],0,0,1)</f>
        <v>4</v>
      </c>
      <c r="K51" s="86" t="e" vm="118">
        <f ca="1">_xlfn.XLOOKUP(G51,Teams!$C:$C,Teams!$E:$E,,0,1)</f>
        <v>#VALUE!</v>
      </c>
      <c r="L51" s="86">
        <f t="shared" ca="1" si="10"/>
        <v>108</v>
      </c>
      <c r="M51" s="86" t="e" vm="119">
        <f ca="1">_xlfn.XLOOKUP(I51,Teams!$C:$C,Teams!$E:$E,,0,1)</f>
        <v>#VALUE!</v>
      </c>
      <c r="N51" s="86">
        <f t="shared" ca="1" si="10"/>
        <v>108</v>
      </c>
      <c r="O51" s="208" t="str">
        <f t="shared" ca="1" si="11"/>
        <v>Colgate</v>
      </c>
      <c r="P51" s="90" t="e" vm="119">
        <f ca="1">_xlfn.XLOOKUP(O51,Teams!$C:$C,Teams!$E:$E,,0,1)</f>
        <v>#VALUE!</v>
      </c>
      <c r="Q51" s="6" t="b">
        <f t="shared" ca="1" si="6"/>
        <v>0</v>
      </c>
      <c r="R51" s="113"/>
    </row>
    <row r="52" spans="1:18" ht="24" customHeight="1" x14ac:dyDescent="0.25">
      <c r="A52" s="105" t="str">
        <f t="shared" ca="1" si="12"/>
        <v>Colorado State</v>
      </c>
      <c r="B52" s="105" t="str">
        <f t="shared" ca="1" si="13"/>
        <v>Connecticut</v>
      </c>
      <c r="C52" s="105" t="str">
        <f t="shared" ca="1" si="8"/>
        <v>Connecticut</v>
      </c>
      <c r="D52" s="105" t="e">
        <f t="shared" si="9"/>
        <v>#REF!</v>
      </c>
      <c r="E52" s="131">
        <v>47</v>
      </c>
      <c r="F52" s="132" cm="1">
        <f t="array" aca="1" ref="F52" ca="1">_xlfn.XLOOKUP(G52,Teams[[#All],[Team]],Teams[[#All],[Seed]],0,0,1)</f>
        <v>11</v>
      </c>
      <c r="G52" s="133" t="str">
        <f ca="1">O33</f>
        <v>Colorado State</v>
      </c>
      <c r="H52" s="194" t="s">
        <v>9</v>
      </c>
      <c r="I52" s="134" t="str">
        <f ca="1">O34</f>
        <v>Connecticut</v>
      </c>
      <c r="J52" s="135" cm="1">
        <f t="array" aca="1" ref="J52" ca="1">_xlfn.XLOOKUP(I52,Teams[[#All],[Team]],Teams[[#All],[Seed]],0,0,1)</f>
        <v>14</v>
      </c>
      <c r="K52" s="86" t="e" vm="122">
        <f ca="1">_xlfn.XLOOKUP(G52,Teams!$C:$C,Teams!$E:$E,,0,1)</f>
        <v>#VALUE!</v>
      </c>
      <c r="L52" s="86">
        <f t="shared" ca="1" si="10"/>
        <v>106</v>
      </c>
      <c r="M52" s="86" t="e" vm="124">
        <f ca="1">_xlfn.XLOOKUP(I52,Teams!$C:$C,Teams!$E:$E,,0,1)</f>
        <v>#VALUE!</v>
      </c>
      <c r="N52" s="86">
        <f t="shared" ca="1" si="10"/>
        <v>102</v>
      </c>
      <c r="O52" s="208" t="str">
        <f t="shared" ca="1" si="11"/>
        <v>Colorado State</v>
      </c>
      <c r="P52" s="90" t="e" vm="122">
        <f ca="1">_xlfn.XLOOKUP(O52,Teams!$C:$C,Teams!$E:$E,,0,1)</f>
        <v>#VALUE!</v>
      </c>
      <c r="Q52" s="6" t="b">
        <f t="shared" ca="1" si="6"/>
        <v>0</v>
      </c>
      <c r="R52" s="113"/>
    </row>
    <row r="53" spans="1:18" ht="24" customHeight="1" thickBot="1" x14ac:dyDescent="0.3">
      <c r="A53" s="105" t="str">
        <f t="shared" ca="1" si="12"/>
        <v>Cornell</v>
      </c>
      <c r="B53" s="105" t="str">
        <f t="shared" ca="1" si="13"/>
        <v>Creighton</v>
      </c>
      <c r="C53" s="105" t="str">
        <f t="shared" ca="1" si="8"/>
        <v>Creighton</v>
      </c>
      <c r="D53" s="105" t="e">
        <f t="shared" si="9"/>
        <v>#REF!</v>
      </c>
      <c r="E53" s="161">
        <v>48</v>
      </c>
      <c r="F53" s="162" cm="1">
        <f t="array" aca="1" ref="F53" ca="1">_xlfn.XLOOKUP(G53,Teams[[#All],[Team]],Teams[[#All],[Seed]],0,0,1)</f>
        <v>10</v>
      </c>
      <c r="G53" s="163" t="str">
        <f ca="1">O35</f>
        <v>Cornell</v>
      </c>
      <c r="H53" s="200" t="s">
        <v>9</v>
      </c>
      <c r="I53" s="164" t="str">
        <f ca="1">O36</f>
        <v>Creighton</v>
      </c>
      <c r="J53" s="165" cm="1">
        <f t="array" aca="1" ref="J53" ca="1">_xlfn.XLOOKUP(I53,Teams[[#All],[Team]],Teams[[#All],[Seed]],0,0,1)</f>
        <v>2</v>
      </c>
      <c r="K53" s="166" t="e" vm="126">
        <f ca="1">_xlfn.XLOOKUP(G53,Teams!$C:$C,Teams!$E:$E,,0,1)</f>
        <v>#VALUE!</v>
      </c>
      <c r="L53" s="166">
        <f t="shared" ca="1" si="10"/>
        <v>115</v>
      </c>
      <c r="M53" s="166" t="e" vm="127">
        <f ca="1">_xlfn.XLOOKUP(I53,Teams!$C:$C,Teams!$E:$E,,0,1)</f>
        <v>#VALUE!</v>
      </c>
      <c r="N53" s="166">
        <f t="shared" ca="1" si="10"/>
        <v>99</v>
      </c>
      <c r="O53" s="213" t="str">
        <f t="shared" ca="1" si="11"/>
        <v>Cornell</v>
      </c>
      <c r="P53" s="97" t="e" vm="126">
        <f ca="1">_xlfn.XLOOKUP(O53,Teams!$C:$C,Teams!$E:$E,,0,1)</f>
        <v>#VALUE!</v>
      </c>
      <c r="Q53" s="6" t="b">
        <f t="shared" ca="1" si="6"/>
        <v>1</v>
      </c>
      <c r="R53" s="113"/>
    </row>
    <row r="54" spans="1:18" ht="24" customHeight="1" thickBot="1" x14ac:dyDescent="0.3">
      <c r="E54" s="67" t="s">
        <v>10</v>
      </c>
      <c r="F54" s="263" t="str">
        <f>Bracket!I2</f>
        <v>Sweet 16</v>
      </c>
      <c r="G54" s="263"/>
      <c r="H54" s="263"/>
      <c r="I54" s="263"/>
      <c r="J54" s="263"/>
      <c r="K54" s="68"/>
      <c r="L54" s="68"/>
      <c r="M54" s="68"/>
      <c r="N54" s="68"/>
      <c r="O54" s="68" t="s">
        <v>8</v>
      </c>
      <c r="P54" s="69"/>
      <c r="R54" s="113"/>
    </row>
    <row r="55" spans="1:18" ht="24" customHeight="1" x14ac:dyDescent="0.25">
      <c r="A55" s="105" t="str">
        <f ca="1">G55</f>
        <v>Alabama</v>
      </c>
      <c r="B55" s="105" t="str">
        <f ca="1">I55</f>
        <v>Albany (NY)</v>
      </c>
      <c r="C55" s="105" t="str">
        <f t="shared" ref="C55:C62" ca="1" si="14">IF(O55="","",IF(A55=O55,B55,A55))</f>
        <v>Alabama</v>
      </c>
      <c r="D55" s="105" t="e">
        <f t="shared" ref="D55:D62" si="15">IF(SeedType=1,0,IF(SeedType=2,VLOOKUP(O55,SeedInfo,2,FALSE)*3,MAX(VLOOKUP(O55,SeedInfo,2,FALSE)-VLOOKUP(C55,SeedInfo,2,FALSE),0)))</f>
        <v>#REF!</v>
      </c>
      <c r="E55" s="107">
        <v>49</v>
      </c>
      <c r="F55" s="108" cm="1">
        <f t="array" aca="1" ref="F55" ca="1">_xlfn.XLOOKUP(G55,Teams[[#All],[Team]],Teams[[#All],[Seed]],0,0,1)</f>
        <v>9</v>
      </c>
      <c r="G55" s="109" t="str">
        <f ca="1">O38</f>
        <v>Alabama</v>
      </c>
      <c r="H55" s="190" t="s">
        <v>9</v>
      </c>
      <c r="I55" s="110" t="str">
        <f ca="1">O39</f>
        <v>Albany (NY)</v>
      </c>
      <c r="J55" s="111" cm="1">
        <f t="array" aca="1" ref="J55" ca="1">_xlfn.XLOOKUP(I55,Teams[[#All],[Team]],Teams[[#All],[Seed]],0,0,1)</f>
        <v>4</v>
      </c>
      <c r="K55" s="112" t="e" vm="68">
        <f ca="1">_xlfn.XLOOKUP(G55,Teams!$C:$C,Teams!$E:$E,,0,1)</f>
        <v>#VALUE!</v>
      </c>
      <c r="L55" s="112">
        <f t="shared" ca="1" si="10"/>
        <v>103</v>
      </c>
      <c r="M55" s="112" t="e" vm="71">
        <f ca="1">_xlfn.XLOOKUP(I55,Teams!$C:$C,Teams!$E:$E,,0,1)</f>
        <v>#VALUE!</v>
      </c>
      <c r="N55" s="112">
        <f t="shared" ca="1" si="10"/>
        <v>112</v>
      </c>
      <c r="O55" s="204" t="str">
        <f t="shared" ref="O55:O62" ca="1" si="16">IF(L55&gt;N55,G55,I55)</f>
        <v>Albany (NY)</v>
      </c>
      <c r="P55" s="89" t="e" vm="71">
        <f ca="1">_xlfn.XLOOKUP(O55,Teams!$C:$C,Teams!$E:$E,,0,1)</f>
        <v>#VALUE!</v>
      </c>
      <c r="Q55" s="6" t="b">
        <f t="shared" ca="1" si="6"/>
        <v>0</v>
      </c>
      <c r="R55" s="113"/>
    </row>
    <row r="56" spans="1:18" ht="24" customHeight="1" thickBot="1" x14ac:dyDescent="0.3">
      <c r="A56" s="105" t="str">
        <f t="shared" ref="A56:A62" ca="1" si="17">G56</f>
        <v>Arizona</v>
      </c>
      <c r="B56" s="105" t="str">
        <f t="shared" ref="B56:B62" ca="1" si="18">I56</f>
        <v>Army</v>
      </c>
      <c r="C56" s="105" t="str">
        <f t="shared" ca="1" si="14"/>
        <v>Arizona</v>
      </c>
      <c r="D56" s="105" t="e">
        <f t="shared" si="15"/>
        <v>#REF!</v>
      </c>
      <c r="E56" s="149">
        <v>50</v>
      </c>
      <c r="F56" s="150" cm="1">
        <f t="array" aca="1" ref="F56" ca="1">_xlfn.XLOOKUP(G56,Teams[[#All],[Team]],Teams[[#All],[Seed]],0,0,1)</f>
        <v>3</v>
      </c>
      <c r="G56" s="151" t="str">
        <f ca="1">O40</f>
        <v>Arizona</v>
      </c>
      <c r="H56" s="198" t="s">
        <v>9</v>
      </c>
      <c r="I56" s="152" t="str">
        <f ca="1">O41</f>
        <v>Army</v>
      </c>
      <c r="J56" s="153" cm="1">
        <f t="array" aca="1" ref="J56" ca="1">_xlfn.XLOOKUP(I56,Teams[[#All],[Team]],Teams[[#All],[Seed]],0,0,1)</f>
        <v>15</v>
      </c>
      <c r="K56" s="154" t="e" vm="75">
        <f ca="1">_xlfn.XLOOKUP(G56,Teams!$C:$C,Teams!$E:$E,,0,1)</f>
        <v>#VALUE!</v>
      </c>
      <c r="L56" s="154">
        <f t="shared" ca="1" si="10"/>
        <v>101</v>
      </c>
      <c r="M56" s="154" t="e" vm="80">
        <f ca="1">_xlfn.XLOOKUP(I56,Teams!$C:$C,Teams!$E:$E,,0,1)</f>
        <v>#VALUE!</v>
      </c>
      <c r="N56" s="154">
        <f t="shared" ca="1" si="10"/>
        <v>106</v>
      </c>
      <c r="O56" s="211" t="str">
        <f t="shared" ca="1" si="16"/>
        <v>Army</v>
      </c>
      <c r="P56" s="95" t="e" vm="80">
        <f ca="1">_xlfn.XLOOKUP(O56,Teams!$C:$C,Teams!$E:$E,,0,1)</f>
        <v>#VALUE!</v>
      </c>
      <c r="Q56" s="6" t="b">
        <f t="shared" ca="1" si="6"/>
        <v>1</v>
      </c>
      <c r="R56" s="113"/>
    </row>
    <row r="57" spans="1:18" ht="24" customHeight="1" x14ac:dyDescent="0.25">
      <c r="A57" s="105" t="str">
        <f t="shared" ca="1" si="17"/>
        <v>Austin Peay</v>
      </c>
      <c r="B57" s="105" t="str">
        <f t="shared" ca="1" si="18"/>
        <v>Bethune-Cookman</v>
      </c>
      <c r="C57" s="105" t="str">
        <f t="shared" ca="1" si="14"/>
        <v>Bethune-Cookman</v>
      </c>
      <c r="D57" s="105" t="e">
        <f t="shared" si="15"/>
        <v>#REF!</v>
      </c>
      <c r="E57" s="155">
        <v>51</v>
      </c>
      <c r="F57" s="157" cm="1">
        <f t="array" aca="1" ref="F57" ca="1">_xlfn.XLOOKUP(G57,Teams[[#All],[Team]],Teams[[#All],[Seed]],0,0,1)</f>
        <v>16</v>
      </c>
      <c r="G57" s="157" t="str">
        <f ca="1">O42</f>
        <v>Austin Peay</v>
      </c>
      <c r="H57" s="199" t="s">
        <v>9</v>
      </c>
      <c r="I57" s="158" t="str">
        <f ca="1">O43</f>
        <v>Bethune-Cookman</v>
      </c>
      <c r="J57" s="159" cm="1">
        <f t="array" aca="1" ref="J57" ca="1">_xlfn.XLOOKUP(I57,Teams[[#All],[Team]],Teams[[#All],[Seed]],0,0,1)</f>
        <v>4</v>
      </c>
      <c r="K57" s="160" t="e" vm="82">
        <f ca="1">_xlfn.XLOOKUP(G57,Teams!$C:$C,Teams!$E:$E,,0,1)</f>
        <v>#VALUE!</v>
      </c>
      <c r="L57" s="160">
        <f t="shared" ca="1" si="10"/>
        <v>118</v>
      </c>
      <c r="M57" s="160" t="e" vm="87">
        <f ca="1">_xlfn.XLOOKUP(I57,Teams!$C:$C,Teams!$E:$E,,0,1)</f>
        <v>#VALUE!</v>
      </c>
      <c r="N57" s="160">
        <f t="shared" ca="1" si="10"/>
        <v>101</v>
      </c>
      <c r="O57" s="212" t="str">
        <f t="shared" ca="1" si="16"/>
        <v>Austin Peay</v>
      </c>
      <c r="P57" s="96" t="e" vm="82">
        <f ca="1">_xlfn.XLOOKUP(O57,Teams!$C:$C,Teams!$E:$E,,0,1)</f>
        <v>#VALUE!</v>
      </c>
      <c r="Q57" s="6" t="b">
        <f t="shared" ca="1" si="6"/>
        <v>1</v>
      </c>
      <c r="R57" s="113"/>
    </row>
    <row r="58" spans="1:18" ht="24" customHeight="1" thickBot="1" x14ac:dyDescent="0.3">
      <c r="A58" s="105" t="str">
        <f t="shared" ca="1" si="17"/>
        <v>Boston University</v>
      </c>
      <c r="B58" s="105" t="str">
        <f t="shared" ca="1" si="18"/>
        <v>Brigham Young</v>
      </c>
      <c r="C58" s="105" t="str">
        <f t="shared" ca="1" si="14"/>
        <v>Brigham Young</v>
      </c>
      <c r="D58" s="105" t="e">
        <f t="shared" si="15"/>
        <v>#REF!</v>
      </c>
      <c r="E58" s="161">
        <v>52</v>
      </c>
      <c r="F58" s="163" cm="1">
        <f t="array" aca="1" ref="F58" ca="1">_xlfn.XLOOKUP(G58,Teams[[#All],[Team]],Teams[[#All],[Seed]],0,0,1)</f>
        <v>3</v>
      </c>
      <c r="G58" s="163" t="str">
        <f ca="1">O44</f>
        <v>Boston University</v>
      </c>
      <c r="H58" s="200" t="s">
        <v>9</v>
      </c>
      <c r="I58" s="164" t="str">
        <f ca="1">O45</f>
        <v>Brigham Young</v>
      </c>
      <c r="J58" s="165" cm="1">
        <f t="array" aca="1" ref="J58" ca="1">_xlfn.XLOOKUP(I58,Teams[[#All],[Team]],Teams[[#All],[Seed]],0,0,1)</f>
        <v>10</v>
      </c>
      <c r="K58" s="166" t="e" vm="91">
        <f ca="1">_xlfn.XLOOKUP(G58,Teams!$C:$C,Teams!$E:$E,,0,1)</f>
        <v>#VALUE!</v>
      </c>
      <c r="L58" s="166">
        <f t="shared" ca="1" si="10"/>
        <v>117</v>
      </c>
      <c r="M58" s="166" t="e" vm="94">
        <f ca="1">_xlfn.XLOOKUP(I58,Teams!$C:$C,Teams!$E:$E,,0,1)</f>
        <v>#VALUE!</v>
      </c>
      <c r="N58" s="166">
        <f t="shared" ca="1" si="10"/>
        <v>101</v>
      </c>
      <c r="O58" s="213" t="str">
        <f t="shared" ca="1" si="16"/>
        <v>Boston University</v>
      </c>
      <c r="P58" s="97" t="e" vm="91">
        <f ca="1">_xlfn.XLOOKUP(O58,Teams!$C:$C,Teams!$E:$E,,0,1)</f>
        <v>#VALUE!</v>
      </c>
      <c r="Q58" s="6" t="b">
        <f t="shared" ca="1" si="6"/>
        <v>0</v>
      </c>
      <c r="R58" s="113"/>
    </row>
    <row r="59" spans="1:18" ht="24" customHeight="1" x14ac:dyDescent="0.25">
      <c r="A59" s="167" t="str">
        <f t="shared" ca="1" si="17"/>
        <v>Bucknell</v>
      </c>
      <c r="B59" s="167" t="str">
        <f t="shared" ca="1" si="18"/>
        <v>California</v>
      </c>
      <c r="C59" s="167" t="str">
        <f t="shared" ca="1" si="14"/>
        <v>Bucknell</v>
      </c>
      <c r="D59" s="167" t="e">
        <f t="shared" si="15"/>
        <v>#REF!</v>
      </c>
      <c r="E59" s="144">
        <v>53</v>
      </c>
      <c r="F59" s="145" cm="1">
        <f t="array" aca="1" ref="F59" ca="1">_xlfn.XLOOKUP(G59,Teams[[#All],[Team]],Teams[[#All],[Seed]],0,0,1)</f>
        <v>1</v>
      </c>
      <c r="G59" s="146" t="str">
        <f ca="1">O46</f>
        <v>Bucknell</v>
      </c>
      <c r="H59" s="197" t="s">
        <v>9</v>
      </c>
      <c r="I59" s="147" t="str">
        <f ca="1">O47</f>
        <v>California</v>
      </c>
      <c r="J59" s="148" cm="1">
        <f t="array" aca="1" ref="J59" ca="1">_xlfn.XLOOKUP(I59,Teams[[#All],[Team]],Teams[[#All],[Seed]],0,0,1)</f>
        <v>13</v>
      </c>
      <c r="K59" s="87" t="e" vm="97">
        <f ca="1">_xlfn.XLOOKUP(G59,Teams!$C:$C,Teams!$E:$E,,0,1)</f>
        <v>#VALUE!</v>
      </c>
      <c r="L59" s="87">
        <f t="shared" ca="1" si="10"/>
        <v>104</v>
      </c>
      <c r="M59" s="87" t="e" vm="104">
        <f ca="1">_xlfn.XLOOKUP(I59,Teams!$C:$C,Teams!$E:$E,,0,1)</f>
        <v>#VALUE!</v>
      </c>
      <c r="N59" s="87">
        <f t="shared" ca="1" si="10"/>
        <v>111</v>
      </c>
      <c r="O59" s="210" t="str">
        <f t="shared" ca="1" si="16"/>
        <v>California</v>
      </c>
      <c r="P59" s="88" t="e" vm="104">
        <f ca="1">_xlfn.XLOOKUP(O59,Teams!$C:$C,Teams!$E:$E,,0,1)</f>
        <v>#VALUE!</v>
      </c>
      <c r="Q59" s="6" t="b">
        <f t="shared" ca="1" si="6"/>
        <v>1</v>
      </c>
      <c r="R59" s="113"/>
    </row>
    <row r="60" spans="1:18" ht="24" customHeight="1" thickBot="1" x14ac:dyDescent="0.3">
      <c r="A60" s="167" t="str">
        <f t="shared" ca="1" si="17"/>
        <v>Central Arkansas</v>
      </c>
      <c r="B60" s="167" t="str">
        <f t="shared" ca="1" si="18"/>
        <v>Charleston Southern</v>
      </c>
      <c r="C60" s="167" t="str">
        <f t="shared" ca="1" si="14"/>
        <v>Charleston Southern</v>
      </c>
      <c r="D60" s="167" t="e">
        <f t="shared" si="15"/>
        <v>#REF!</v>
      </c>
      <c r="E60" s="149">
        <v>54</v>
      </c>
      <c r="F60" s="150" cm="1">
        <f t="array" aca="1" ref="F60" ca="1">_xlfn.XLOOKUP(G60,Teams[[#All],[Team]],Teams[[#All],[Seed]],0,0,1)</f>
        <v>14</v>
      </c>
      <c r="G60" s="151" t="str">
        <f ca="1">O48</f>
        <v>Central Arkansas</v>
      </c>
      <c r="H60" s="198" t="s">
        <v>9</v>
      </c>
      <c r="I60" s="152" t="str">
        <f ca="1">O49</f>
        <v>Charleston Southern</v>
      </c>
      <c r="J60" s="153" cm="1">
        <f t="array" aca="1" ref="J60" ca="1">_xlfn.XLOOKUP(I60,Teams[[#All],[Team]],Teams[[#All],[Seed]],0,0,1)</f>
        <v>2</v>
      </c>
      <c r="K60" s="154" t="e" vm="108">
        <f ca="1">_xlfn.XLOOKUP(G60,Teams!$C:$C,Teams!$E:$E,,0,1)</f>
        <v>#VALUE!</v>
      </c>
      <c r="L60" s="154">
        <f t="shared" ca="1" si="10"/>
        <v>117</v>
      </c>
      <c r="M60" s="154" t="e" vm="111">
        <f ca="1">_xlfn.XLOOKUP(I60,Teams!$C:$C,Teams!$E:$E,,0,1)</f>
        <v>#VALUE!</v>
      </c>
      <c r="N60" s="154">
        <f t="shared" ca="1" si="10"/>
        <v>115</v>
      </c>
      <c r="O60" s="211" t="str">
        <f t="shared" ca="1" si="16"/>
        <v>Central Arkansas</v>
      </c>
      <c r="P60" s="95" t="e" vm="108">
        <f ca="1">_xlfn.XLOOKUP(O60,Teams!$C:$C,Teams!$E:$E,,0,1)</f>
        <v>#VALUE!</v>
      </c>
      <c r="Q60" s="6" t="b">
        <f t="shared" ca="1" si="6"/>
        <v>1</v>
      </c>
      <c r="R60" s="113"/>
    </row>
    <row r="61" spans="1:18" ht="24" customHeight="1" x14ac:dyDescent="0.25">
      <c r="A61" s="105" t="str">
        <f t="shared" ca="1" si="17"/>
        <v>Chattanooga</v>
      </c>
      <c r="B61" s="105" t="str">
        <f t="shared" ca="1" si="18"/>
        <v>Colgate</v>
      </c>
      <c r="C61" s="105" t="str">
        <f t="shared" ca="1" si="14"/>
        <v>Colgate</v>
      </c>
      <c r="D61" s="105" t="e">
        <f t="shared" si="15"/>
        <v>#REF!</v>
      </c>
      <c r="E61" s="155">
        <v>55</v>
      </c>
      <c r="F61" s="156" cm="1">
        <f t="array" aca="1" ref="F61" ca="1">_xlfn.XLOOKUP(G61,Teams[[#All],[Team]],Teams[[#All],[Seed]],0,0,1)</f>
        <v>1</v>
      </c>
      <c r="G61" s="157" t="str">
        <f ca="1">O50</f>
        <v>Chattanooga</v>
      </c>
      <c r="H61" s="199" t="s">
        <v>9</v>
      </c>
      <c r="I61" s="158" t="str">
        <f ca="1">O51</f>
        <v>Colgate</v>
      </c>
      <c r="J61" s="159" cm="1">
        <f t="array" aca="1" ref="J61" ca="1">_xlfn.XLOOKUP(I61,Teams[[#All],[Team]],Teams[[#All],[Seed]],0,0,1)</f>
        <v>4</v>
      </c>
      <c r="K61" s="160" t="e" vm="113">
        <f ca="1">_xlfn.XLOOKUP(G61,Teams!$C:$C,Teams!$E:$E,,0,1)</f>
        <v>#VALUE!</v>
      </c>
      <c r="L61" s="160">
        <f t="shared" ca="1" si="10"/>
        <v>106</v>
      </c>
      <c r="M61" s="160" t="e" vm="119">
        <f ca="1">_xlfn.XLOOKUP(I61,Teams!$C:$C,Teams!$E:$E,,0,1)</f>
        <v>#VALUE!</v>
      </c>
      <c r="N61" s="160">
        <f t="shared" ca="1" si="10"/>
        <v>103</v>
      </c>
      <c r="O61" s="212" t="str">
        <f t="shared" ca="1" si="16"/>
        <v>Chattanooga</v>
      </c>
      <c r="P61" s="96" t="e" vm="113">
        <f ca="1">_xlfn.XLOOKUP(O61,Teams!$C:$C,Teams!$E:$E,,0,1)</f>
        <v>#VALUE!</v>
      </c>
      <c r="Q61" s="6" t="b">
        <f t="shared" ca="1" si="6"/>
        <v>0</v>
      </c>
      <c r="R61" s="113"/>
    </row>
    <row r="62" spans="1:18" ht="24" customHeight="1" thickBot="1" x14ac:dyDescent="0.3">
      <c r="A62" s="105" t="str">
        <f t="shared" ca="1" si="17"/>
        <v>Colorado State</v>
      </c>
      <c r="B62" s="105" t="str">
        <f t="shared" ca="1" si="18"/>
        <v>Cornell</v>
      </c>
      <c r="C62" s="105" t="str">
        <f t="shared" ca="1" si="14"/>
        <v>Cornell</v>
      </c>
      <c r="D62" s="105" t="e">
        <f t="shared" si="15"/>
        <v>#REF!</v>
      </c>
      <c r="E62" s="161">
        <v>56</v>
      </c>
      <c r="F62" s="162" cm="1">
        <f t="array" aca="1" ref="F62" ca="1">_xlfn.XLOOKUP(G62,Teams[[#All],[Team]],Teams[[#All],[Seed]],0,0,1)</f>
        <v>11</v>
      </c>
      <c r="G62" s="163" t="str">
        <f ca="1">O52</f>
        <v>Colorado State</v>
      </c>
      <c r="H62" s="200" t="s">
        <v>9</v>
      </c>
      <c r="I62" s="164" t="str">
        <f ca="1">O53</f>
        <v>Cornell</v>
      </c>
      <c r="J62" s="165" cm="1">
        <f t="array" aca="1" ref="J62" ca="1">_xlfn.XLOOKUP(I62,Teams[[#All],[Team]],Teams[[#All],[Seed]],0,0,1)</f>
        <v>10</v>
      </c>
      <c r="K62" s="166" t="e" vm="122">
        <f ca="1">_xlfn.XLOOKUP(G62,Teams!$C:$C,Teams!$E:$E,,0,1)</f>
        <v>#VALUE!</v>
      </c>
      <c r="L62" s="166">
        <f t="shared" ca="1" si="10"/>
        <v>116</v>
      </c>
      <c r="M62" s="166" t="e" vm="126">
        <f ca="1">_xlfn.XLOOKUP(I62,Teams!$C:$C,Teams!$E:$E,,0,1)</f>
        <v>#VALUE!</v>
      </c>
      <c r="N62" s="166">
        <f t="shared" ca="1" si="10"/>
        <v>108</v>
      </c>
      <c r="O62" s="213" t="str">
        <f t="shared" ca="1" si="16"/>
        <v>Colorado State</v>
      </c>
      <c r="P62" s="97" t="e" vm="122">
        <f ca="1">_xlfn.XLOOKUP(O62,Teams!$C:$C,Teams!$E:$E,,0,1)</f>
        <v>#VALUE!</v>
      </c>
      <c r="Q62" s="6" t="b">
        <f t="shared" ca="1" si="6"/>
        <v>1</v>
      </c>
      <c r="R62" s="113"/>
    </row>
    <row r="63" spans="1:18" ht="24" customHeight="1" thickBot="1" x14ac:dyDescent="0.3">
      <c r="E63" s="67" t="s">
        <v>10</v>
      </c>
      <c r="F63" s="263" t="str">
        <f>Bracket!L2</f>
        <v>Elite 8</v>
      </c>
      <c r="G63" s="263"/>
      <c r="H63" s="263"/>
      <c r="I63" s="263"/>
      <c r="J63" s="263"/>
      <c r="K63" s="68"/>
      <c r="L63" s="68"/>
      <c r="M63" s="68"/>
      <c r="N63" s="68"/>
      <c r="O63" s="68" t="s">
        <v>8</v>
      </c>
      <c r="P63" s="69"/>
      <c r="R63" s="113"/>
    </row>
    <row r="64" spans="1:18" ht="24" customHeight="1" thickBot="1" x14ac:dyDescent="0.3">
      <c r="A64" s="105" t="str">
        <f ca="1">G64</f>
        <v>Albany (NY)</v>
      </c>
      <c r="B64" s="105" t="str">
        <f ca="1">I64</f>
        <v>Army</v>
      </c>
      <c r="C64" s="105" t="str">
        <f ca="1">IF(O64="","",IF(A64=O64,B64,A64))</f>
        <v>Albany (NY)</v>
      </c>
      <c r="D64" s="105" t="e">
        <f>IF(SeedType=1,0,IF(SeedType=2,VLOOKUP(O64,SeedInfo,2,FALSE)*4,MAX(VLOOKUP(O64,SeedInfo,2,FALSE)-VLOOKUP(C64,SeedInfo,2,FALSE),0)))</f>
        <v>#REF!</v>
      </c>
      <c r="E64" s="168">
        <v>57</v>
      </c>
      <c r="F64" s="169" cm="1">
        <f t="array" aca="1" ref="F64" ca="1">_xlfn.XLOOKUP(G64,Teams[[#All],[Team]],Teams[[#All],[Seed]],0,0,1)</f>
        <v>4</v>
      </c>
      <c r="G64" s="170" t="str">
        <f ca="1">O55</f>
        <v>Albany (NY)</v>
      </c>
      <c r="H64" s="201" t="s">
        <v>9</v>
      </c>
      <c r="I64" s="171" t="str">
        <f ca="1">O56</f>
        <v>Army</v>
      </c>
      <c r="J64" s="172" cm="1">
        <f t="array" aca="1" ref="J64" ca="1">_xlfn.XLOOKUP(I64,Teams[[#All],[Team]],Teams[[#All],[Seed]],0,0,1)</f>
        <v>15</v>
      </c>
      <c r="K64" s="173" t="e" vm="71">
        <f ca="1">_xlfn.XLOOKUP(G64,Teams!$C:$C,Teams!$E:$E,,0,1)</f>
        <v>#VALUE!</v>
      </c>
      <c r="L64" s="173">
        <f t="shared" ca="1" si="10"/>
        <v>100</v>
      </c>
      <c r="M64" s="173" t="e" vm="80">
        <f ca="1">_xlfn.XLOOKUP(I64,Teams!$C:$C,Teams!$E:$E,,0,1)</f>
        <v>#VALUE!</v>
      </c>
      <c r="N64" s="173">
        <f t="shared" ca="1" si="10"/>
        <v>102</v>
      </c>
      <c r="O64" s="214" t="str">
        <f ca="1">IF(L64&gt;N64,G64,I64)</f>
        <v>Army</v>
      </c>
      <c r="P64" s="89" t="e" vm="80">
        <f ca="1">_xlfn.XLOOKUP(O64,Teams!$C:$C,Teams!$E:$E,,0,1)</f>
        <v>#VALUE!</v>
      </c>
      <c r="Q64" s="6" t="b">
        <f t="shared" ca="1" si="6"/>
        <v>1</v>
      </c>
      <c r="R64" s="113"/>
    </row>
    <row r="65" spans="1:18" ht="24" customHeight="1" thickBot="1" x14ac:dyDescent="0.3">
      <c r="A65" s="105" t="str">
        <f ca="1">G65</f>
        <v>Austin Peay</v>
      </c>
      <c r="B65" s="105" t="str">
        <f ca="1">I65</f>
        <v>Boston University</v>
      </c>
      <c r="C65" s="105" t="str">
        <f ca="1">IF(O65="","",IF(A65=O65,B65,A65))</f>
        <v>Boston University</v>
      </c>
      <c r="D65" s="105" t="e">
        <f>IF(SeedType=1,0,IF(SeedType=2,VLOOKUP(O65,SeedInfo,2,FALSE)*4,MAX(VLOOKUP(O65,SeedInfo,2,FALSE)-VLOOKUP(C65,SeedInfo,2,FALSE),0)))</f>
        <v>#REF!</v>
      </c>
      <c r="E65" s="174">
        <v>58</v>
      </c>
      <c r="F65" s="175" cm="1">
        <f t="array" aca="1" ref="F65" ca="1">_xlfn.XLOOKUP(G65,Teams[[#All],[Team]],Teams[[#All],[Seed]],0,0,1)</f>
        <v>16</v>
      </c>
      <c r="G65" s="176" t="str">
        <f ca="1">O57</f>
        <v>Austin Peay</v>
      </c>
      <c r="H65" s="202" t="s">
        <v>9</v>
      </c>
      <c r="I65" s="177" t="str">
        <f ca="1">O58</f>
        <v>Boston University</v>
      </c>
      <c r="J65" s="178" cm="1">
        <f t="array" aca="1" ref="J65" ca="1">_xlfn.XLOOKUP(I65,Teams[[#All],[Team]],Teams[[#All],[Seed]],0,0,1)</f>
        <v>3</v>
      </c>
      <c r="K65" s="179" t="e" vm="82">
        <f ca="1">_xlfn.XLOOKUP(G65,Teams!$C:$C,Teams!$E:$E,,0,1)</f>
        <v>#VALUE!</v>
      </c>
      <c r="L65" s="179">
        <f t="shared" ca="1" si="10"/>
        <v>120</v>
      </c>
      <c r="M65" s="179" t="e" vm="91">
        <f ca="1">_xlfn.XLOOKUP(I65,Teams!$C:$C,Teams!$E:$E,,0,1)</f>
        <v>#VALUE!</v>
      </c>
      <c r="N65" s="179">
        <f t="shared" ca="1" si="10"/>
        <v>90</v>
      </c>
      <c r="O65" s="215" t="str">
        <f ca="1">IF(L65&gt;N65,G65,I65)</f>
        <v>Austin Peay</v>
      </c>
      <c r="P65" s="90" t="e" vm="82">
        <f ca="1">_xlfn.XLOOKUP(O65,Teams!$C:$C,Teams!$E:$E,,0,1)</f>
        <v>#VALUE!</v>
      </c>
      <c r="Q65" s="6" t="b">
        <f t="shared" ca="1" si="6"/>
        <v>1</v>
      </c>
      <c r="R65" s="113"/>
    </row>
    <row r="66" spans="1:18" ht="24" customHeight="1" thickBot="1" x14ac:dyDescent="0.3">
      <c r="A66" s="105" t="str">
        <f ca="1">G66</f>
        <v>California</v>
      </c>
      <c r="B66" s="105" t="str">
        <f ca="1">I66</f>
        <v>Central Arkansas</v>
      </c>
      <c r="C66" s="105" t="str">
        <f ca="1">IF(O66="","",IF(A66=O66,B66,A66))</f>
        <v>California</v>
      </c>
      <c r="D66" s="105" t="e">
        <f>IF(SeedType=1,0,IF(SeedType=2,VLOOKUP(O66,SeedInfo,2,FALSE)*4,MAX(VLOOKUP(O66,SeedInfo,2,FALSE)-VLOOKUP(C66,SeedInfo,2,FALSE),0)))</f>
        <v>#REF!</v>
      </c>
      <c r="E66" s="168">
        <v>59</v>
      </c>
      <c r="F66" s="169" cm="1">
        <f t="array" aca="1" ref="F66" ca="1">_xlfn.XLOOKUP(G66,Teams[[#All],[Team]],Teams[[#All],[Seed]],0,0,1)</f>
        <v>13</v>
      </c>
      <c r="G66" s="170" t="str">
        <f ca="1">O59</f>
        <v>California</v>
      </c>
      <c r="H66" s="201" t="s">
        <v>9</v>
      </c>
      <c r="I66" s="171" t="str">
        <f ca="1">O60</f>
        <v>Central Arkansas</v>
      </c>
      <c r="J66" s="172" cm="1">
        <f t="array" aca="1" ref="J66" ca="1">_xlfn.XLOOKUP(I66,Teams[[#All],[Team]],Teams[[#All],[Seed]],0,0,1)</f>
        <v>14</v>
      </c>
      <c r="K66" s="173" t="e" vm="104">
        <f ca="1">_xlfn.XLOOKUP(G66,Teams!$C:$C,Teams!$E:$E,,0,1)</f>
        <v>#VALUE!</v>
      </c>
      <c r="L66" s="173">
        <f t="shared" ca="1" si="10"/>
        <v>91</v>
      </c>
      <c r="M66" s="173" t="e" vm="108">
        <f ca="1">_xlfn.XLOOKUP(I66,Teams!$C:$C,Teams!$E:$E,,0,1)</f>
        <v>#VALUE!</v>
      </c>
      <c r="N66" s="173">
        <f t="shared" ca="1" si="10"/>
        <v>107</v>
      </c>
      <c r="O66" s="214" t="str">
        <f ca="1">IF(L66&gt;N66,G66,I66)</f>
        <v>Central Arkansas</v>
      </c>
      <c r="P66" s="89" t="e" vm="108">
        <f ca="1">_xlfn.XLOOKUP(O66,Teams!$C:$C,Teams!$E:$E,,0,1)</f>
        <v>#VALUE!</v>
      </c>
      <c r="Q66" s="6" t="b">
        <f t="shared" ca="1" si="6"/>
        <v>1</v>
      </c>
      <c r="R66" s="113"/>
    </row>
    <row r="67" spans="1:18" ht="24" customHeight="1" thickBot="1" x14ac:dyDescent="0.3">
      <c r="A67" s="105" t="str">
        <f ca="1">G67</f>
        <v>Chattanooga</v>
      </c>
      <c r="B67" s="105" t="str">
        <f ca="1">I67</f>
        <v>Colorado State</v>
      </c>
      <c r="C67" s="105" t="str">
        <f ca="1">IF(O67="","",IF(A67=O67,B67,A67))</f>
        <v>Chattanooga</v>
      </c>
      <c r="D67" s="105" t="e">
        <f>IF(SeedType=1,0,IF(SeedType=2,VLOOKUP(O67,SeedInfo,2,FALSE)*4,MAX(VLOOKUP(O67,SeedInfo,2,FALSE)-VLOOKUP(C67,SeedInfo,2,FALSE),0)))</f>
        <v>#REF!</v>
      </c>
      <c r="E67" s="174">
        <v>60</v>
      </c>
      <c r="F67" s="175" cm="1">
        <f t="array" aca="1" ref="F67" ca="1">_xlfn.XLOOKUP(G67,Teams[[#All],[Team]],Teams[[#All],[Seed]],0,0,1)</f>
        <v>1</v>
      </c>
      <c r="G67" s="176" t="str">
        <f ca="1">O61</f>
        <v>Chattanooga</v>
      </c>
      <c r="H67" s="202" t="s">
        <v>9</v>
      </c>
      <c r="I67" s="177" t="str">
        <f ca="1">O62</f>
        <v>Colorado State</v>
      </c>
      <c r="J67" s="178" cm="1">
        <f t="array" aca="1" ref="J67" ca="1">_xlfn.XLOOKUP(I67,Teams[[#All],[Team]],Teams[[#All],[Seed]],0,0,1)</f>
        <v>11</v>
      </c>
      <c r="K67" s="179" t="e" vm="113">
        <f ca="1">_xlfn.XLOOKUP(G67,Teams!$C:$C,Teams!$E:$E,,0,1)</f>
        <v>#VALUE!</v>
      </c>
      <c r="L67" s="179">
        <f t="shared" ca="1" si="10"/>
        <v>103</v>
      </c>
      <c r="M67" s="179" t="e" vm="122">
        <f ca="1">_xlfn.XLOOKUP(I67,Teams!$C:$C,Teams!$E:$E,,0,1)</f>
        <v>#VALUE!</v>
      </c>
      <c r="N67" s="179">
        <f t="shared" ca="1" si="10"/>
        <v>112</v>
      </c>
      <c r="O67" s="215" t="str">
        <f ca="1">IF(L67&gt;N67,G67,I67)</f>
        <v>Colorado State</v>
      </c>
      <c r="P67" s="90" t="e" vm="122">
        <f ca="1">_xlfn.XLOOKUP(O67,Teams!$C:$C,Teams!$E:$E,,0,1)</f>
        <v>#VALUE!</v>
      </c>
      <c r="Q67" s="6" t="b">
        <f t="shared" ca="1" si="6"/>
        <v>1</v>
      </c>
      <c r="R67" s="113"/>
    </row>
    <row r="68" spans="1:18" ht="24" customHeight="1" thickBot="1" x14ac:dyDescent="0.3">
      <c r="E68" s="67" t="s">
        <v>10</v>
      </c>
      <c r="F68" s="263" t="str">
        <f>Bracket!O2</f>
        <v>Final Four</v>
      </c>
      <c r="G68" s="263"/>
      <c r="H68" s="263"/>
      <c r="I68" s="263"/>
      <c r="J68" s="263"/>
      <c r="K68" s="68"/>
      <c r="L68" s="68"/>
      <c r="M68" s="68"/>
      <c r="N68" s="68"/>
      <c r="O68" s="68" t="s">
        <v>8</v>
      </c>
      <c r="P68" s="69"/>
      <c r="R68" s="113"/>
    </row>
    <row r="69" spans="1:18" ht="24" customHeight="1" thickBot="1" x14ac:dyDescent="0.3">
      <c r="A69" s="105" t="str">
        <f ca="1">G69</f>
        <v>Army</v>
      </c>
      <c r="B69" s="105" t="str">
        <f ca="1">I69</f>
        <v>Austin Peay</v>
      </c>
      <c r="C69" s="105" t="str">
        <f ca="1">IF(O69="","",IF(A69=O69,B69,A69))</f>
        <v>Army</v>
      </c>
      <c r="D69" s="105" t="e">
        <f>IF(SeedType=1,0,IF(SeedType=2,VLOOKUP(O69,SeedInfo,2,FALSE)*5,MAX(VLOOKUP(O69,SeedInfo,2,FALSE)-VLOOKUP(C69,SeedInfo,2,FALSE),0)))</f>
        <v>#REF!</v>
      </c>
      <c r="E69" s="180">
        <v>61</v>
      </c>
      <c r="F69" s="181" cm="1">
        <f t="array" aca="1" ref="F69" ca="1">_xlfn.XLOOKUP(G69,Teams[[#All],[Team]],Teams[[#All],[Seed]],0,0,1)</f>
        <v>15</v>
      </c>
      <c r="G69" s="182" t="str">
        <f ca="1">O64</f>
        <v>Army</v>
      </c>
      <c r="H69" s="203" t="s">
        <v>9</v>
      </c>
      <c r="I69" s="183" t="str">
        <f ca="1">O65</f>
        <v>Austin Peay</v>
      </c>
      <c r="J69" s="184" cm="1">
        <f t="array" aca="1" ref="J69" ca="1">_xlfn.XLOOKUP(I69,Teams[[#All],[Team]],Teams[[#All],[Seed]],0,0,1)</f>
        <v>16</v>
      </c>
      <c r="K69" s="185" t="e" vm="80">
        <f ca="1">_xlfn.XLOOKUP(G69,Teams!$C:$C,Teams!$E:$E,,0,1)</f>
        <v>#VALUE!</v>
      </c>
      <c r="L69" s="185">
        <f t="shared" ca="1" si="10"/>
        <v>91</v>
      </c>
      <c r="M69" s="185" t="e" vm="82">
        <f ca="1">_xlfn.XLOOKUP(I69,Teams!$C:$C,Teams!$E:$E,,0,1)</f>
        <v>#VALUE!</v>
      </c>
      <c r="N69" s="185">
        <f t="shared" ca="1" si="10"/>
        <v>111</v>
      </c>
      <c r="O69" s="216" t="str">
        <f ca="1">IF(L69&gt;N69,G69,I69)</f>
        <v>Austin Peay</v>
      </c>
      <c r="P69" s="95" t="e" vm="82">
        <f ca="1">_xlfn.XLOOKUP(O69,Teams!$C:$C,Teams!$E:$E,,0,1)</f>
        <v>#VALUE!</v>
      </c>
      <c r="Q69" s="6" t="b">
        <f t="shared" ca="1" si="6"/>
        <v>1</v>
      </c>
      <c r="R69" s="113"/>
    </row>
    <row r="70" spans="1:18" ht="24" customHeight="1" thickBot="1" x14ac:dyDescent="0.3">
      <c r="A70" s="105" t="str">
        <f ca="1">G70</f>
        <v>Central Arkansas</v>
      </c>
      <c r="B70" s="105" t="str">
        <f ca="1">I70</f>
        <v>Colorado State</v>
      </c>
      <c r="C70" s="105" t="str">
        <f ca="1">IF(O70="","",IF(A70=O70,B70,A70))</f>
        <v>Central Arkansas</v>
      </c>
      <c r="D70" s="105" t="e">
        <f>IF(SeedType=1,0,IF(SeedType=2,VLOOKUP(O70,SeedInfo,2,FALSE)*5,MAX(VLOOKUP(O70,SeedInfo,2,FALSE)-VLOOKUP(C70,SeedInfo,2,FALSE),0)))</f>
        <v>#REF!</v>
      </c>
      <c r="E70" s="174">
        <v>62</v>
      </c>
      <c r="F70" s="175" cm="1">
        <f t="array" aca="1" ref="F70" ca="1">_xlfn.XLOOKUP(G70,Teams[[#All],[Team]],Teams[[#All],[Seed]],0,0,1)</f>
        <v>14</v>
      </c>
      <c r="G70" s="176" t="str">
        <f ca="1">O66</f>
        <v>Central Arkansas</v>
      </c>
      <c r="H70" s="202" t="s">
        <v>9</v>
      </c>
      <c r="I70" s="177" t="str">
        <f ca="1">O67</f>
        <v>Colorado State</v>
      </c>
      <c r="J70" s="178" cm="1">
        <f t="array" aca="1" ref="J70" ca="1">_xlfn.XLOOKUP(I70,Teams[[#All],[Team]],Teams[[#All],[Seed]],0,0,1)</f>
        <v>11</v>
      </c>
      <c r="K70" s="179" t="e" vm="108">
        <f ca="1">_xlfn.XLOOKUP(G70,Teams!$C:$C,Teams!$E:$E,,0,1)</f>
        <v>#VALUE!</v>
      </c>
      <c r="L70" s="179">
        <f t="shared" ca="1" si="10"/>
        <v>100</v>
      </c>
      <c r="M70" s="179" t="e" vm="122">
        <f ca="1">_xlfn.XLOOKUP(I70,Teams!$C:$C,Teams!$E:$E,,0,1)</f>
        <v>#VALUE!</v>
      </c>
      <c r="N70" s="179">
        <f t="shared" ca="1" si="10"/>
        <v>111</v>
      </c>
      <c r="O70" s="215" t="str">
        <f ca="1">IF(L70&gt;N70,G70,I70)</f>
        <v>Colorado State</v>
      </c>
      <c r="P70" s="98" t="e" vm="122">
        <f ca="1">_xlfn.XLOOKUP(O70,Teams!$C:$C,Teams!$E:$E,,0,1)</f>
        <v>#VALUE!</v>
      </c>
      <c r="Q70" s="6" t="b">
        <f t="shared" ref="Q70:Q72" ca="1" si="19">IF(
O70=G70,
IF(F70&gt;J70,TRUE,FALSE),
IF(J70&gt;F70,TRUE,FALSE))</f>
        <v>0</v>
      </c>
      <c r="R70" s="113"/>
    </row>
    <row r="71" spans="1:18" ht="24" customHeight="1" thickBot="1" x14ac:dyDescent="0.3">
      <c r="A71" s="186"/>
      <c r="B71" s="186"/>
      <c r="C71" s="186"/>
      <c r="D71" s="186"/>
      <c r="E71" s="67" t="s">
        <v>10</v>
      </c>
      <c r="F71" s="263" t="str">
        <f>Bracket!S2</f>
        <v>Championship</v>
      </c>
      <c r="G71" s="263"/>
      <c r="H71" s="263"/>
      <c r="I71" s="263"/>
      <c r="J71" s="263"/>
      <c r="K71" s="68"/>
      <c r="L71" s="68"/>
      <c r="M71" s="68"/>
      <c r="N71" s="68"/>
      <c r="O71" s="68" t="s">
        <v>8</v>
      </c>
      <c r="P71" s="69"/>
      <c r="R71" s="113"/>
    </row>
    <row r="72" spans="1:18" ht="24" customHeight="1" thickBot="1" x14ac:dyDescent="0.3">
      <c r="A72" s="105" t="str">
        <f ca="1">G72</f>
        <v>Austin Peay</v>
      </c>
      <c r="B72" s="105" t="str">
        <f ca="1">I72</f>
        <v>Colorado State</v>
      </c>
      <c r="C72" s="105" t="str">
        <f ca="1">IF(O72="","",IF(A72=O72,B72,A72))</f>
        <v>Austin Peay</v>
      </c>
      <c r="D72" s="105" t="e">
        <f>IF(SeedType=1,0,IF(SeedType=2,VLOOKUP(O72,SeedInfo,2,FALSE)*6,MAX(VLOOKUP(O72,SeedInfo,2,FALSE)-VLOOKUP(C72,SeedInfo,2,FALSE),0)))</f>
        <v>#REF!</v>
      </c>
      <c r="E72" s="168">
        <v>63</v>
      </c>
      <c r="F72" s="169" cm="1">
        <f t="array" aca="1" ref="F72" ca="1">_xlfn.XLOOKUP(G72,Teams[[#All],[Team]],Teams[[#All],[Seed]],0,0,1)</f>
        <v>16</v>
      </c>
      <c r="G72" s="170" t="str">
        <f ca="1">O69</f>
        <v>Austin Peay</v>
      </c>
      <c r="H72" s="201" t="s">
        <v>9</v>
      </c>
      <c r="I72" s="171" t="str">
        <f ca="1">O70</f>
        <v>Colorado State</v>
      </c>
      <c r="J72" s="172" cm="1">
        <f t="array" aca="1" ref="J72" ca="1">_xlfn.XLOOKUP(I72,Teams[[#All],[Team]],Teams[[#All],[Seed]],0,0,1)</f>
        <v>11</v>
      </c>
      <c r="K72" s="173" t="e" vm="82">
        <f ca="1">_xlfn.XLOOKUP(G72,Teams!$C:$C,Teams!$E:$E,,0,1)</f>
        <v>#VALUE!</v>
      </c>
      <c r="L72" s="173">
        <f t="shared" ca="1" si="10"/>
        <v>91</v>
      </c>
      <c r="M72" s="173" t="e" vm="122">
        <f ca="1">_xlfn.XLOOKUP(I72,Teams!$C:$C,Teams!$E:$E,,0,1)</f>
        <v>#VALUE!</v>
      </c>
      <c r="N72" s="173">
        <f t="shared" ca="1" si="10"/>
        <v>109</v>
      </c>
      <c r="O72" s="214" t="str">
        <f ca="1">IF(L72&gt;N72,G72,I72)</f>
        <v>Colorado State</v>
      </c>
      <c r="P72" s="91" t="e" vm="122">
        <f ca="1">_xlfn.XLOOKUP(O72,Teams!$C:$C,Teams!$E:$E,,0,1)</f>
        <v>#VALUE!</v>
      </c>
      <c r="Q72" s="6" t="b">
        <f t="shared" ca="1" si="19"/>
        <v>0</v>
      </c>
      <c r="R72" s="113"/>
    </row>
    <row r="73" spans="1:18" x14ac:dyDescent="0.25"/>
    <row r="74" spans="1:18" x14ac:dyDescent="0.25"/>
    <row r="75" spans="1:18" x14ac:dyDescent="0.25"/>
  </sheetData>
  <mergeCells count="12"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U70"/>
  <sheetViews>
    <sheetView showGridLines="0" tabSelected="1" zoomScale="50" zoomScaleNormal="60" workbookViewId="0">
      <selection activeCell="U47" sqref="U47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6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80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82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19" t="s">
        <v>20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40" t="s">
        <v>2</v>
      </c>
      <c r="T2" s="240"/>
      <c r="U2" s="240"/>
      <c r="V2" s="240"/>
      <c r="W2" s="240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7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81"/>
      <c r="AM3" s="22"/>
      <c r="AN3" s="22"/>
      <c r="AO3" s="17"/>
      <c r="AQ3" s="252"/>
      <c r="AU3" s="7" t="s">
        <v>17</v>
      </c>
    </row>
    <row r="4" spans="1:47" ht="9.75" customHeight="1" x14ac:dyDescent="0.25">
      <c r="A4" s="13"/>
      <c r="B4" s="24"/>
      <c r="C4" s="34"/>
      <c r="D4" s="72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8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52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3" t="e" vm="65">
        <f>_xlfn.XLOOKUP(C5,Teams!$C:$C,Teams!$E:$E,,0,1)</f>
        <v>#VALUE!</v>
      </c>
      <c r="E5" s="46">
        <f ca="1">Games!L5</f>
        <v>95</v>
      </c>
      <c r="F5" s="226" t="str">
        <f ca="1">Games!O5</f>
        <v>Air Force</v>
      </c>
      <c r="G5" s="231" t="e" vm="66">
        <f ca="1">_xlfn.XLOOKUP(F5,Teams!$C:$C,Teams!$E:$E,,0,1)</f>
        <v>#VALUE!</v>
      </c>
      <c r="H5" s="230">
        <f ca="1">Games!L38</f>
        <v>101</v>
      </c>
      <c r="I5" s="25"/>
      <c r="J5" s="25"/>
      <c r="L5" s="25"/>
      <c r="M5" s="25"/>
      <c r="O5" s="25"/>
      <c r="P5" s="25"/>
      <c r="R5" s="25"/>
      <c r="S5" s="25"/>
      <c r="T5" s="25"/>
      <c r="U5" s="78"/>
      <c r="V5" s="25"/>
      <c r="W5" s="25"/>
      <c r="X5" s="25"/>
      <c r="AA5" s="25"/>
      <c r="AD5" s="25"/>
      <c r="AG5" s="25"/>
      <c r="AH5" s="224">
        <f ca="1">Games!L46</f>
        <v>107</v>
      </c>
      <c r="AI5" s="253" t="e" vm="97">
        <f ca="1">_xlfn.XLOOKUP(AJ5,Teams!$C:$C,Teams!$E:$E,,0,1)</f>
        <v>#VALUE!</v>
      </c>
      <c r="AJ5" s="226" t="str">
        <f ca="1">Games!O21</f>
        <v>Bucknell</v>
      </c>
      <c r="AK5" s="58">
        <f ca="1">Games!L21</f>
        <v>105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52"/>
      <c r="AU5" s="2" t="b">
        <f>IF(AP29="x",TRUE,FALSE)</f>
        <v>1</v>
      </c>
    </row>
    <row r="6" spans="1:47" ht="10.5" customHeight="1" thickBot="1" x14ac:dyDescent="0.35">
      <c r="A6" s="229">
        <f>IF($AU$5=TRUE,1,"")</f>
        <v>1</v>
      </c>
      <c r="B6" s="28"/>
      <c r="C6" s="38"/>
      <c r="D6" s="74"/>
      <c r="E6" s="47"/>
      <c r="F6" s="227"/>
      <c r="G6" s="232"/>
      <c r="H6" s="225"/>
      <c r="I6" s="25"/>
      <c r="J6" s="25"/>
      <c r="L6" s="25"/>
      <c r="M6" s="25"/>
      <c r="O6" s="25"/>
      <c r="P6" s="25"/>
      <c r="R6" s="25"/>
      <c r="S6" s="25"/>
      <c r="T6" s="25"/>
      <c r="U6" s="78"/>
      <c r="V6" s="25"/>
      <c r="W6" s="25"/>
      <c r="X6" s="25"/>
      <c r="AA6" s="25"/>
      <c r="AD6" s="25"/>
      <c r="AG6" s="25"/>
      <c r="AH6" s="225"/>
      <c r="AI6" s="254"/>
      <c r="AJ6" s="227"/>
      <c r="AK6" s="55"/>
      <c r="AM6" s="39"/>
      <c r="AN6" s="28"/>
      <c r="AO6" s="242">
        <f>IF($AU$5=TRUE,A66+1,"")</f>
        <v>17</v>
      </c>
      <c r="AQ6" s="252"/>
    </row>
    <row r="7" spans="1:47" ht="13.8" customHeight="1" thickBot="1" x14ac:dyDescent="0.35">
      <c r="A7" s="229"/>
      <c r="B7" s="27">
        <v>16</v>
      </c>
      <c r="C7" s="40" t="str">
        <f>Games!I5</f>
        <v>Air Force</v>
      </c>
      <c r="D7" s="73" t="e" vm="66">
        <f>_xlfn.XLOOKUP(C7,Teams!$C:$C,Teams!$E:$E,,0,1)</f>
        <v>#VALUE!</v>
      </c>
      <c r="E7" s="48">
        <f ca="1">Games!N5</f>
        <v>105</v>
      </c>
      <c r="F7" s="228">
        <f>IF($AU$5=TRUE,AO66+1,"")</f>
        <v>33</v>
      </c>
      <c r="G7" s="14"/>
      <c r="H7" s="49"/>
      <c r="I7" s="220" t="str">
        <f ca="1">Games!O38</f>
        <v>Alabama</v>
      </c>
      <c r="J7" s="231" t="e" vm="68">
        <f ca="1">_xlfn.XLOOKUP(I7,Teams!$C:$C,Teams!$E:$E,,0,1)</f>
        <v>#VALUE!</v>
      </c>
      <c r="K7" s="224">
        <f ca="1">Games!L55</f>
        <v>103</v>
      </c>
      <c r="L7" s="25"/>
      <c r="M7" s="25"/>
      <c r="O7" s="25"/>
      <c r="P7" s="25"/>
      <c r="R7" s="25"/>
      <c r="S7" s="25"/>
      <c r="T7" s="25"/>
      <c r="U7" s="78"/>
      <c r="V7" s="25"/>
      <c r="W7" s="25"/>
      <c r="X7" s="25"/>
      <c r="AA7" s="25"/>
      <c r="AD7" s="25"/>
      <c r="AE7" s="224">
        <f ca="1">Games!L59</f>
        <v>104</v>
      </c>
      <c r="AF7" s="253" t="e" vm="97">
        <f ca="1">_xlfn.XLOOKUP(AG7,Teams!$C:$C,Teams!$E:$E,,0,1)</f>
        <v>#VALUE!</v>
      </c>
      <c r="AG7" s="226" t="str">
        <f ca="1">Games!O46</f>
        <v>Bucknell</v>
      </c>
      <c r="AH7" s="55"/>
      <c r="AI7" s="51"/>
      <c r="AJ7" s="228">
        <f>IF($AU$5=TRUE,F63+1,"")</f>
        <v>41</v>
      </c>
      <c r="AK7" s="59">
        <f ca="1">Games!N21</f>
        <v>98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42"/>
      <c r="AQ7" s="252"/>
    </row>
    <row r="8" spans="1:47" ht="10.199999999999999" customHeight="1" thickBot="1" x14ac:dyDescent="0.35">
      <c r="A8" s="16"/>
      <c r="B8" s="28"/>
      <c r="C8" s="38"/>
      <c r="D8" s="74"/>
      <c r="F8" s="229"/>
      <c r="G8" s="15"/>
      <c r="H8" s="50"/>
      <c r="I8" s="221"/>
      <c r="J8" s="232"/>
      <c r="K8" s="225"/>
      <c r="L8" s="25"/>
      <c r="M8" s="25"/>
      <c r="O8" s="25"/>
      <c r="P8" s="25"/>
      <c r="R8" s="25"/>
      <c r="S8" s="25"/>
      <c r="T8" s="25"/>
      <c r="U8" s="78"/>
      <c r="V8" s="25"/>
      <c r="W8" s="25"/>
      <c r="X8" s="25"/>
      <c r="AA8" s="25"/>
      <c r="AD8" s="25"/>
      <c r="AE8" s="225"/>
      <c r="AF8" s="254"/>
      <c r="AG8" s="227"/>
      <c r="AH8" s="56"/>
      <c r="AJ8" s="229"/>
      <c r="AM8" s="39"/>
      <c r="AN8" s="28"/>
      <c r="AO8" s="17"/>
      <c r="AQ8" s="252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3" t="e" vm="67">
        <f>_xlfn.XLOOKUP(C9,Teams!$C:$C,Teams!$E:$E,,0,1)</f>
        <v>#VALUE!</v>
      </c>
      <c r="E9" s="46">
        <f ca="1">Games!L6</f>
        <v>97</v>
      </c>
      <c r="F9" s="226" t="str">
        <f ca="1">Games!O6</f>
        <v>Alabama</v>
      </c>
      <c r="G9" s="231" t="e" vm="68">
        <f ca="1">_xlfn.XLOOKUP(F9,Teams!$C:$C,Teams!$E:$E,,0,1)</f>
        <v>#VALUE!</v>
      </c>
      <c r="H9" s="222">
        <f ca="1">Games!N38</f>
        <v>107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8"/>
      <c r="V9" s="25"/>
      <c r="W9" s="25"/>
      <c r="X9" s="25"/>
      <c r="AA9" s="25"/>
      <c r="AD9" s="25"/>
      <c r="AE9" s="55"/>
      <c r="AG9" s="24"/>
      <c r="AH9" s="233">
        <f ca="1">Games!N46</f>
        <v>105</v>
      </c>
      <c r="AI9" s="253" t="e" vm="99">
        <f ca="1">_xlfn.XLOOKUP(AJ9,Teams!$C:$C,Teams!$E:$E,,0,1)</f>
        <v>#VALUE!</v>
      </c>
      <c r="AJ9" s="226" t="str">
        <f ca="1">Games!O22</f>
        <v>Butler</v>
      </c>
      <c r="AK9" s="58">
        <f ca="1">Games!L22</f>
        <v>97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52"/>
    </row>
    <row r="10" spans="1:47" ht="10.5" customHeight="1" thickBot="1" x14ac:dyDescent="0.35">
      <c r="A10" s="243">
        <f>IF($AU$5=TRUE,A6+1,"")</f>
        <v>2</v>
      </c>
      <c r="B10" s="28"/>
      <c r="C10" s="38"/>
      <c r="D10" s="74"/>
      <c r="E10" s="47"/>
      <c r="F10" s="227"/>
      <c r="G10" s="232"/>
      <c r="H10" s="223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8"/>
      <c r="V10" s="25"/>
      <c r="W10" s="25"/>
      <c r="X10" s="25"/>
      <c r="AA10" s="25"/>
      <c r="AD10" s="25"/>
      <c r="AE10" s="56"/>
      <c r="AG10" s="24"/>
      <c r="AH10" s="234"/>
      <c r="AI10" s="254"/>
      <c r="AJ10" s="227"/>
      <c r="AK10" s="55"/>
      <c r="AM10" s="39"/>
      <c r="AN10" s="28"/>
      <c r="AO10" s="242">
        <f>IF($AU$5=TRUE,AO6+1,"")</f>
        <v>18</v>
      </c>
      <c r="AQ10" s="252"/>
    </row>
    <row r="11" spans="1:47" ht="13.8" customHeight="1" thickBot="1" x14ac:dyDescent="0.35">
      <c r="A11" s="243"/>
      <c r="B11" s="27">
        <v>9</v>
      </c>
      <c r="C11" s="36" t="str">
        <f>Games!I6</f>
        <v>Alabama</v>
      </c>
      <c r="D11" s="73" t="e" vm="68">
        <f>_xlfn.XLOOKUP(C11,Teams!$C:$C,Teams!$E:$E,,0,1)</f>
        <v>#VALUE!</v>
      </c>
      <c r="E11" s="48">
        <f ca="1">Games!N6</f>
        <v>106</v>
      </c>
      <c r="F11" s="24"/>
      <c r="G11" s="24"/>
      <c r="I11" s="229">
        <f>IF($AU$5=TRUE,AJ63+1,"")</f>
        <v>49</v>
      </c>
      <c r="J11" s="15"/>
      <c r="K11" s="50"/>
      <c r="L11" s="220" t="str">
        <f ca="1">Games!O55</f>
        <v>Albany (NY)</v>
      </c>
      <c r="M11" s="231" t="e" vm="71">
        <f ca="1">_xlfn.XLOOKUP(L11,Teams!$C:$C,Teams!$E:$E,,0,1)</f>
        <v>#VALUE!</v>
      </c>
      <c r="N11" s="224">
        <f ca="1">Games!L64</f>
        <v>100</v>
      </c>
      <c r="O11" s="25"/>
      <c r="P11" s="25"/>
      <c r="R11" s="25"/>
      <c r="S11" s="25"/>
      <c r="T11" s="255" t="e" vm="122">
        <f ca="1">_xlfn.XLOOKUP(S32,Teams!$C:$C,Teams!$E:$E,,0,1)</f>
        <v>#VALUE!</v>
      </c>
      <c r="U11" s="256"/>
      <c r="V11" s="257"/>
      <c r="W11" s="25"/>
      <c r="X11" s="25"/>
      <c r="AA11" s="25"/>
      <c r="AB11" s="224">
        <f ca="1">Games!L66</f>
        <v>91</v>
      </c>
      <c r="AC11" s="238" t="e" vm="104">
        <f ca="1">_xlfn.XLOOKUP(AD11,Teams!$C:$C,Teams!$E:$E,,0,1)</f>
        <v>#VALUE!</v>
      </c>
      <c r="AD11" s="226" t="str">
        <f ca="1">Games!O59</f>
        <v>California</v>
      </c>
      <c r="AE11" s="56"/>
      <c r="AG11" s="229">
        <f>IF($AU$5=TRUE,I59+1,"")</f>
        <v>53</v>
      </c>
      <c r="AJ11" s="24"/>
      <c r="AK11" s="59">
        <f ca="1">Games!N22</f>
        <v>96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42"/>
      <c r="AQ11" s="252"/>
    </row>
    <row r="12" spans="1:47" ht="10.5" customHeight="1" thickBot="1" x14ac:dyDescent="0.35">
      <c r="A12" s="16"/>
      <c r="B12" s="28"/>
      <c r="C12" s="38"/>
      <c r="D12" s="74"/>
      <c r="F12" s="24"/>
      <c r="G12" s="24"/>
      <c r="I12" s="229"/>
      <c r="J12" s="15"/>
      <c r="K12" s="50"/>
      <c r="L12" s="221"/>
      <c r="M12" s="232"/>
      <c r="N12" s="225"/>
      <c r="O12" s="25"/>
      <c r="P12" s="25"/>
      <c r="R12" s="25"/>
      <c r="S12" s="25"/>
      <c r="T12" s="258"/>
      <c r="U12" s="241"/>
      <c r="V12" s="259"/>
      <c r="W12" s="25"/>
      <c r="X12" s="25"/>
      <c r="AA12" s="25"/>
      <c r="AB12" s="225"/>
      <c r="AC12" s="239"/>
      <c r="AD12" s="227"/>
      <c r="AE12" s="56"/>
      <c r="AG12" s="229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3" t="e" vm="69">
        <f>_xlfn.XLOOKUP(C13,Teams!$C:$C,Teams!$E:$E,,0,1)</f>
        <v>#VALUE!</v>
      </c>
      <c r="E13" s="46">
        <f ca="1">Games!L7</f>
        <v>95</v>
      </c>
      <c r="F13" s="226" t="str">
        <f ca="1">Games!O7</f>
        <v>Alabama State</v>
      </c>
      <c r="G13" s="231" t="e" vm="70">
        <f ca="1">_xlfn.XLOOKUP(F13,Teams!$C:$C,Teams!$E:$E,,0,1)</f>
        <v>#VALUE!</v>
      </c>
      <c r="H13" s="224">
        <f ca="1">Games!L39</f>
        <v>91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58"/>
      <c r="U13" s="241"/>
      <c r="V13" s="259"/>
      <c r="W13" s="25"/>
      <c r="X13" s="25"/>
      <c r="AA13" s="25"/>
      <c r="AB13" s="55"/>
      <c r="AD13" s="25"/>
      <c r="AE13" s="56"/>
      <c r="AG13" s="24"/>
      <c r="AH13" s="224">
        <f ca="1">Games!L47</f>
        <v>97</v>
      </c>
      <c r="AI13" s="238" t="e" vm="102">
        <f ca="1">_xlfn.XLOOKUP(AJ13,Teams!$C:$C,Teams!$E:$E,,0,1)</f>
        <v>#VALUE!</v>
      </c>
      <c r="AJ13" s="226" t="str">
        <f ca="1">Games!O23</f>
        <v>Cal State Fullerton</v>
      </c>
      <c r="AK13" s="58">
        <f ca="1">Games!L23</f>
        <v>106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29">
        <f>IF($AU$5=TRUE,A10+1,"")</f>
        <v>3</v>
      </c>
      <c r="B14" s="28"/>
      <c r="C14" s="38"/>
      <c r="D14" s="74"/>
      <c r="E14" s="49"/>
      <c r="F14" s="227"/>
      <c r="G14" s="232"/>
      <c r="H14" s="225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58"/>
      <c r="U14" s="241"/>
      <c r="V14" s="259"/>
      <c r="W14" s="25"/>
      <c r="X14" s="25"/>
      <c r="AA14" s="25"/>
      <c r="AB14" s="56"/>
      <c r="AD14" s="25"/>
      <c r="AE14" s="56"/>
      <c r="AG14" s="24"/>
      <c r="AH14" s="225"/>
      <c r="AI14" s="239"/>
      <c r="AJ14" s="227"/>
      <c r="AK14" s="55"/>
      <c r="AM14" s="39"/>
      <c r="AN14" s="28"/>
      <c r="AO14" s="242">
        <f>IF($AU$5=TRUE,AO10+1,"")</f>
        <v>19</v>
      </c>
      <c r="AQ14" s="252"/>
    </row>
    <row r="15" spans="1:47" ht="13.8" customHeight="1" thickBot="1" x14ac:dyDescent="0.35">
      <c r="A15" s="229"/>
      <c r="B15" s="27">
        <v>12</v>
      </c>
      <c r="C15" s="36" t="str">
        <f>Games!I7</f>
        <v>Alabama State</v>
      </c>
      <c r="D15" s="73" t="e" vm="70">
        <f>_xlfn.XLOOKUP(C15,Teams!$C:$C,Teams!$E:$E,,0,1)</f>
        <v>#VALUE!</v>
      </c>
      <c r="E15" s="48">
        <f ca="1">Games!N7</f>
        <v>95</v>
      </c>
      <c r="F15" s="228">
        <f>IF($AU$5=TRUE,F7+1,"")</f>
        <v>34</v>
      </c>
      <c r="G15" s="14"/>
      <c r="H15" s="49"/>
      <c r="I15" s="220" t="str">
        <f ca="1">Games!O39</f>
        <v>Albany (NY)</v>
      </c>
      <c r="J15" s="231" t="e" vm="71">
        <f ca="1">_xlfn.XLOOKUP(I15,Teams!$C:$C,Teams!$E:$E,,0,1)</f>
        <v>#VALUE!</v>
      </c>
      <c r="K15" s="222">
        <f ca="1">Games!N55</f>
        <v>112</v>
      </c>
      <c r="L15" s="25"/>
      <c r="M15" s="25"/>
      <c r="N15" s="50"/>
      <c r="O15" s="25"/>
      <c r="P15" s="25"/>
      <c r="R15" s="25"/>
      <c r="S15" s="25"/>
      <c r="T15" s="258"/>
      <c r="U15" s="241"/>
      <c r="V15" s="259"/>
      <c r="W15" s="25"/>
      <c r="X15" s="25"/>
      <c r="AA15" s="25"/>
      <c r="AB15" s="56"/>
      <c r="AD15" s="25"/>
      <c r="AE15" s="233">
        <f ca="1">Games!N59</f>
        <v>111</v>
      </c>
      <c r="AF15" s="238" t="e" vm="104">
        <f ca="1">_xlfn.XLOOKUP(AG15,Teams!$C:$C,Teams!$E:$E,,0,1)</f>
        <v>#VALUE!</v>
      </c>
      <c r="AG15" s="226" t="str">
        <f ca="1">Games!O47</f>
        <v>California</v>
      </c>
      <c r="AH15" s="55"/>
      <c r="AI15" s="51"/>
      <c r="AJ15" s="228">
        <f>IF($AU$5=TRUE,AJ7+1,"")</f>
        <v>42</v>
      </c>
      <c r="AK15" s="59">
        <f ca="1">Games!N23</f>
        <v>113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42"/>
      <c r="AQ15" s="252"/>
    </row>
    <row r="16" spans="1:47" ht="10.5" customHeight="1" thickBot="1" x14ac:dyDescent="0.35">
      <c r="A16" s="16"/>
      <c r="B16" s="28"/>
      <c r="C16" s="38"/>
      <c r="D16" s="74"/>
      <c r="F16" s="229"/>
      <c r="G16" s="15"/>
      <c r="H16" s="50"/>
      <c r="I16" s="221"/>
      <c r="J16" s="232"/>
      <c r="K16" s="223"/>
      <c r="L16" s="25"/>
      <c r="M16" s="25"/>
      <c r="N16" s="50"/>
      <c r="O16" s="25"/>
      <c r="P16" s="25"/>
      <c r="R16" s="25"/>
      <c r="S16" s="25"/>
      <c r="T16" s="258"/>
      <c r="U16" s="241"/>
      <c r="V16" s="259"/>
      <c r="W16" s="25"/>
      <c r="X16" s="25"/>
      <c r="AA16" s="25"/>
      <c r="AB16" s="56"/>
      <c r="AD16" s="25"/>
      <c r="AE16" s="234"/>
      <c r="AF16" s="239"/>
      <c r="AG16" s="227"/>
      <c r="AH16" s="56"/>
      <c r="AJ16" s="229"/>
      <c r="AM16" s="39"/>
      <c r="AN16" s="28"/>
      <c r="AO16" s="17"/>
      <c r="AQ16" s="252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3" t="e" vm="71">
        <f>_xlfn.XLOOKUP(C17,Teams!$C:$C,Teams!$E:$E,,0,1)</f>
        <v>#VALUE!</v>
      </c>
      <c r="E17" s="46">
        <f ca="1">Games!L8</f>
        <v>96</v>
      </c>
      <c r="F17" s="226" t="str">
        <f ca="1">Games!O8</f>
        <v>Albany (NY)</v>
      </c>
      <c r="G17" s="231" t="e" vm="71">
        <f ca="1">_xlfn.XLOOKUP(F17,Teams!$C:$C,Teams!$E:$E,,0,1)</f>
        <v>#VALUE!</v>
      </c>
      <c r="H17" s="222">
        <f ca="1">Games!N39</f>
        <v>115</v>
      </c>
      <c r="I17" s="24"/>
      <c r="J17" s="24"/>
      <c r="L17" s="25"/>
      <c r="M17" s="25"/>
      <c r="N17" s="50"/>
      <c r="O17" s="25"/>
      <c r="P17" s="25"/>
      <c r="R17" s="25"/>
      <c r="S17" s="25"/>
      <c r="T17" s="258"/>
      <c r="U17" s="241"/>
      <c r="V17" s="259"/>
      <c r="W17" s="25"/>
      <c r="X17" s="25"/>
      <c r="AA17" s="25"/>
      <c r="AB17" s="56"/>
      <c r="AD17" s="25"/>
      <c r="AG17" s="24"/>
      <c r="AH17" s="233">
        <f ca="1">Games!N47</f>
        <v>119</v>
      </c>
      <c r="AI17" s="238" t="e" vm="104">
        <f ca="1">_xlfn.XLOOKUP(AJ17,Teams!$C:$C,Teams!$E:$E,,0,1)</f>
        <v>#VALUE!</v>
      </c>
      <c r="AJ17" s="226" t="str">
        <f ca="1">Games!O24</f>
        <v>California</v>
      </c>
      <c r="AK17" s="58">
        <f ca="1">Games!L24</f>
        <v>114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52"/>
    </row>
    <row r="18" spans="1:43" ht="10.5" customHeight="1" thickBot="1" x14ac:dyDescent="0.35">
      <c r="A18" s="229">
        <f>IF($AU$5=TRUE,A14+1,"")</f>
        <v>4</v>
      </c>
      <c r="B18" s="28"/>
      <c r="C18" s="38"/>
      <c r="D18" s="74"/>
      <c r="E18" s="49"/>
      <c r="F18" s="227"/>
      <c r="G18" s="232"/>
      <c r="H18" s="223"/>
      <c r="I18" s="24"/>
      <c r="J18" s="24"/>
      <c r="L18" s="25"/>
      <c r="M18" s="25"/>
      <c r="N18" s="50"/>
      <c r="O18" s="25"/>
      <c r="P18" s="25"/>
      <c r="R18" s="25"/>
      <c r="S18" s="25"/>
      <c r="T18" s="258"/>
      <c r="U18" s="241"/>
      <c r="V18" s="259"/>
      <c r="W18" s="25"/>
      <c r="X18" s="25"/>
      <c r="AA18" s="25"/>
      <c r="AB18" s="56"/>
      <c r="AD18" s="25"/>
      <c r="AG18" s="24"/>
      <c r="AH18" s="234"/>
      <c r="AI18" s="239"/>
      <c r="AJ18" s="227"/>
      <c r="AK18" s="55"/>
      <c r="AM18" s="39"/>
      <c r="AN18" s="28"/>
      <c r="AO18" s="242">
        <f>IF($AU$5=TRUE,AO14+1,"")</f>
        <v>20</v>
      </c>
      <c r="AQ18" s="252"/>
    </row>
    <row r="19" spans="1:43" ht="13.8" customHeight="1" thickBot="1" x14ac:dyDescent="0.45">
      <c r="A19" s="229"/>
      <c r="B19" s="27">
        <v>13</v>
      </c>
      <c r="C19" s="36" t="str">
        <f>Games!I8</f>
        <v>Alcorn State</v>
      </c>
      <c r="D19" s="73" t="e" vm="72">
        <f>_xlfn.XLOOKUP(C19,Teams!$C:$C,Teams!$E:$E,,0,1)</f>
        <v>#VALUE!</v>
      </c>
      <c r="E19" s="48">
        <f ca="1">Games!N8</f>
        <v>90</v>
      </c>
      <c r="F19" s="24"/>
      <c r="G19" s="24"/>
      <c r="I19" s="24"/>
      <c r="J19" s="24"/>
      <c r="K19" s="237" t="s">
        <v>15</v>
      </c>
      <c r="L19" s="237"/>
      <c r="M19" s="20"/>
      <c r="N19" s="50"/>
      <c r="O19" s="220" t="str">
        <f ca="1">Games!O64</f>
        <v>Army</v>
      </c>
      <c r="P19" s="231" t="e" vm="80">
        <f ca="1">_xlfn.XLOOKUP(O19,Teams!$C:$C,Teams!$E:$E,,0,1)</f>
        <v>#VALUE!</v>
      </c>
      <c r="Q19" s="224">
        <f ca="1">Games!L69</f>
        <v>91</v>
      </c>
      <c r="R19" s="25"/>
      <c r="S19" s="25"/>
      <c r="T19" s="260"/>
      <c r="U19" s="261"/>
      <c r="V19" s="262"/>
      <c r="W19" s="25"/>
      <c r="X19" s="25"/>
      <c r="Y19" s="224">
        <f ca="1">Games!L70</f>
        <v>100</v>
      </c>
      <c r="Z19" s="238" t="e" vm="108">
        <f ca="1">_xlfn.XLOOKUP(AA19,Teams!$C:$C,Teams!$E:$E,,0,1)</f>
        <v>#VALUE!</v>
      </c>
      <c r="AA19" s="226" t="str">
        <f ca="1">Games!O66</f>
        <v>Central Arkansas</v>
      </c>
      <c r="AB19" s="56"/>
      <c r="AD19" s="237" t="s">
        <v>3</v>
      </c>
      <c r="AE19" s="237"/>
      <c r="AF19" s="20"/>
      <c r="AG19" s="24"/>
      <c r="AJ19" s="24"/>
      <c r="AK19" s="59">
        <f ca="1">Games!N24</f>
        <v>115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42"/>
      <c r="AQ19" s="252"/>
    </row>
    <row r="20" spans="1:43" ht="10.5" customHeight="1" thickBot="1" x14ac:dyDescent="0.45">
      <c r="A20" s="16"/>
      <c r="B20" s="28"/>
      <c r="C20" s="38"/>
      <c r="D20" s="74"/>
      <c r="F20" s="24"/>
      <c r="G20" s="24"/>
      <c r="I20" s="24"/>
      <c r="J20" s="24"/>
      <c r="K20" s="237"/>
      <c r="L20" s="237"/>
      <c r="M20" s="20"/>
      <c r="N20" s="50"/>
      <c r="O20" s="221"/>
      <c r="P20" s="232"/>
      <c r="Q20" s="225"/>
      <c r="R20" s="25"/>
      <c r="S20" s="25"/>
      <c r="T20" s="25"/>
      <c r="U20" s="78"/>
      <c r="V20" s="25"/>
      <c r="W20" s="25"/>
      <c r="X20" s="25"/>
      <c r="Y20" s="225"/>
      <c r="Z20" s="239"/>
      <c r="AA20" s="227"/>
      <c r="AB20" s="56"/>
      <c r="AD20" s="237"/>
      <c r="AE20" s="237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29">
        <f>IF($AU$5=TRUE,A18+1,"")</f>
        <v>5</v>
      </c>
      <c r="B21" s="27">
        <v>6</v>
      </c>
      <c r="C21" s="36" t="str">
        <f>Games!G9</f>
        <v>American</v>
      </c>
      <c r="D21" s="73" t="e" vm="73">
        <f>_xlfn.XLOOKUP(C21,Teams!$C:$C,Teams!$E:$E,,0,1)</f>
        <v>#VALUE!</v>
      </c>
      <c r="E21" s="46">
        <f ca="1">Games!L9</f>
        <v>94</v>
      </c>
      <c r="F21" s="226" t="str">
        <f ca="1">Games!O9</f>
        <v>American</v>
      </c>
      <c r="G21" s="231" t="e" vm="73">
        <f ca="1">_xlfn.XLOOKUP(F21,Teams!$C:$C,Teams!$E:$E,,0,1)</f>
        <v>#VALUE!</v>
      </c>
      <c r="H21" s="224">
        <f ca="1">Games!L40</f>
        <v>111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8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24">
        <f ca="1">Games!L48</f>
        <v>102</v>
      </c>
      <c r="AI21" s="238" t="e" vm="105">
        <f ca="1">_xlfn.XLOOKUP(AJ21,Teams!$C:$C,Teams!$E:$E,,0,1)</f>
        <v>#VALUE!</v>
      </c>
      <c r="AJ21" s="226" t="str">
        <f ca="1">Games!O25</f>
        <v>California Baptist</v>
      </c>
      <c r="AK21" s="58">
        <f ca="1">Games!L25</f>
        <v>113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29"/>
      <c r="B22" s="28"/>
      <c r="C22" s="38"/>
      <c r="D22" s="74"/>
      <c r="E22" s="49"/>
      <c r="F22" s="227"/>
      <c r="G22" s="232"/>
      <c r="H22" s="225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8"/>
      <c r="V22" s="25"/>
      <c r="W22" s="25"/>
      <c r="X22" s="25"/>
      <c r="Y22" s="56"/>
      <c r="AA22" s="25"/>
      <c r="AB22" s="56"/>
      <c r="AD22" s="29"/>
      <c r="AG22" s="24"/>
      <c r="AH22" s="225"/>
      <c r="AI22" s="239"/>
      <c r="AJ22" s="227"/>
      <c r="AK22" s="55"/>
      <c r="AM22" s="39"/>
      <c r="AN22" s="28"/>
      <c r="AO22" s="242">
        <f>IF($AU$5=TRUE,AO18+1,"")</f>
        <v>21</v>
      </c>
      <c r="AQ22" s="252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3" t="e" vm="74">
        <f>_xlfn.XLOOKUP(C23,Teams!$C:$C,Teams!$E:$E,,0,1)</f>
        <v>#VALUE!</v>
      </c>
      <c r="E23" s="48">
        <f ca="1">Games!N9</f>
        <v>90</v>
      </c>
      <c r="F23" s="228">
        <f>IF($AU$5=TRUE,F15+1,"")</f>
        <v>35</v>
      </c>
      <c r="G23" s="14"/>
      <c r="H23" s="49"/>
      <c r="I23" s="220" t="str">
        <f ca="1">Games!O40</f>
        <v>Arizona</v>
      </c>
      <c r="J23" s="231" t="e" vm="75">
        <f ca="1">_xlfn.XLOOKUP(I23,Teams!$C:$C,Teams!$E:$E,,0,1)</f>
        <v>#VALUE!</v>
      </c>
      <c r="K23" s="224">
        <f ca="1">Games!L56</f>
        <v>101</v>
      </c>
      <c r="L23" s="25"/>
      <c r="M23" s="25"/>
      <c r="N23" s="50"/>
      <c r="O23" s="25"/>
      <c r="P23" s="25"/>
      <c r="Q23" s="50"/>
      <c r="R23" s="25"/>
      <c r="S23" s="25"/>
      <c r="T23" s="25"/>
      <c r="U23" s="78"/>
      <c r="V23" s="25"/>
      <c r="W23" s="25"/>
      <c r="X23" s="25"/>
      <c r="Y23" s="56"/>
      <c r="AA23" s="25"/>
      <c r="AB23" s="56"/>
      <c r="AD23" s="25"/>
      <c r="AE23" s="224">
        <f ca="1">Games!L60</f>
        <v>117</v>
      </c>
      <c r="AF23" s="238" t="e" vm="108">
        <f ca="1">_xlfn.XLOOKUP(AG23,Teams!$C:$C,Teams!$E:$E,,0,1)</f>
        <v>#VALUE!</v>
      </c>
      <c r="AG23" s="226" t="str">
        <f ca="1">Games!O48</f>
        <v>Central Arkansas</v>
      </c>
      <c r="AH23" s="55"/>
      <c r="AI23" s="51"/>
      <c r="AJ23" s="228">
        <f>IF($AU$5=TRUE,AJ15+1,"")</f>
        <v>43</v>
      </c>
      <c r="AK23" s="59">
        <f ca="1">Games!N25</f>
        <v>101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42"/>
      <c r="AQ23" s="252"/>
    </row>
    <row r="24" spans="1:43" ht="10.5" customHeight="1" thickBot="1" x14ac:dyDescent="0.35">
      <c r="A24" s="16"/>
      <c r="B24" s="28"/>
      <c r="C24" s="38"/>
      <c r="D24" s="74"/>
      <c r="F24" s="229"/>
      <c r="G24" s="15"/>
      <c r="H24" s="50"/>
      <c r="I24" s="221"/>
      <c r="J24" s="232"/>
      <c r="K24" s="225"/>
      <c r="L24" s="25"/>
      <c r="M24" s="25"/>
      <c r="N24" s="50"/>
      <c r="O24" s="25"/>
      <c r="P24" s="25"/>
      <c r="Q24" s="50"/>
      <c r="R24" s="25"/>
      <c r="S24" s="25"/>
      <c r="T24" s="25"/>
      <c r="U24" s="78"/>
      <c r="V24" s="25"/>
      <c r="W24" s="25"/>
      <c r="X24" s="25"/>
      <c r="Y24" s="56"/>
      <c r="AA24" s="25"/>
      <c r="AB24" s="56"/>
      <c r="AD24" s="25"/>
      <c r="AE24" s="225"/>
      <c r="AF24" s="239"/>
      <c r="AG24" s="227"/>
      <c r="AH24" s="56"/>
      <c r="AJ24" s="229"/>
      <c r="AM24" s="39"/>
      <c r="AN24" s="28"/>
      <c r="AO24" s="17"/>
      <c r="AQ24" s="252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3" t="e" vm="75">
        <f>_xlfn.XLOOKUP(C25,Teams!$C:$C,Teams!$E:$E,,0,1)</f>
        <v>#VALUE!</v>
      </c>
      <c r="E25" s="46">
        <f ca="1">Games!L10</f>
        <v>111</v>
      </c>
      <c r="F25" s="226" t="str">
        <f ca="1">Games!O10</f>
        <v>Arizona</v>
      </c>
      <c r="G25" s="231" t="e" vm="75">
        <f ca="1">_xlfn.XLOOKUP(F25,Teams!$C:$C,Teams!$E:$E,,0,1)</f>
        <v>#VALUE!</v>
      </c>
      <c r="H25" s="222">
        <f ca="1">Games!N40</f>
        <v>111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8"/>
      <c r="V25" s="25"/>
      <c r="W25" s="25"/>
      <c r="X25" s="25"/>
      <c r="Y25" s="56"/>
      <c r="AA25" s="25"/>
      <c r="AB25" s="56"/>
      <c r="AD25" s="25"/>
      <c r="AE25" s="55"/>
      <c r="AG25" s="24"/>
      <c r="AH25" s="233">
        <f ca="1">Games!N48</f>
        <v>106</v>
      </c>
      <c r="AI25" s="238" t="e" vm="108">
        <f ca="1">_xlfn.XLOOKUP(AJ25,Teams!$C:$C,Teams!$E:$E,,0,1)</f>
        <v>#VALUE!</v>
      </c>
      <c r="AJ25" s="226" t="str">
        <f ca="1">Games!O26</f>
        <v>Central Arkansas</v>
      </c>
      <c r="AK25" s="58">
        <f ca="1">Games!L26</f>
        <v>90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52"/>
    </row>
    <row r="26" spans="1:43" ht="10.5" customHeight="1" thickBot="1" x14ac:dyDescent="0.35">
      <c r="A26" s="229">
        <f>IF($AU$5=TRUE,A21+1,"")</f>
        <v>6</v>
      </c>
      <c r="B26" s="28"/>
      <c r="C26" s="38"/>
      <c r="D26" s="74"/>
      <c r="E26" s="49"/>
      <c r="F26" s="227"/>
      <c r="G26" s="232"/>
      <c r="H26" s="223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9"/>
      <c r="V26" s="53"/>
      <c r="W26" s="25"/>
      <c r="X26" s="25"/>
      <c r="Y26" s="56"/>
      <c r="AA26" s="25"/>
      <c r="AB26" s="56"/>
      <c r="AD26" s="25"/>
      <c r="AE26" s="56"/>
      <c r="AG26" s="24"/>
      <c r="AH26" s="234"/>
      <c r="AI26" s="239"/>
      <c r="AJ26" s="227"/>
      <c r="AK26" s="55"/>
      <c r="AM26" s="39"/>
      <c r="AN26" s="28"/>
      <c r="AO26" s="242">
        <f>IF($AU$5=TRUE,AO22+1,"")</f>
        <v>22</v>
      </c>
      <c r="AQ26" s="252"/>
    </row>
    <row r="27" spans="1:43" ht="13.8" customHeight="1" thickBot="1" x14ac:dyDescent="0.35">
      <c r="A27" s="229"/>
      <c r="B27" s="27">
        <v>14</v>
      </c>
      <c r="C27" s="36" t="str">
        <f>Games!I10</f>
        <v>Arizona State</v>
      </c>
      <c r="D27" s="73" t="e" vm="76">
        <f>_xlfn.XLOOKUP(C27,Teams!$C:$C,Teams!$E:$E,,0,1)</f>
        <v>#VALUE!</v>
      </c>
      <c r="E27" s="48">
        <f ca="1">Games!N10</f>
        <v>99</v>
      </c>
      <c r="F27" s="24"/>
      <c r="G27" s="24"/>
      <c r="I27" s="229">
        <f>IF($AU$5=TRUE,I11+1,"")</f>
        <v>50</v>
      </c>
      <c r="J27" s="15"/>
      <c r="K27" s="50"/>
      <c r="L27" s="220" t="str">
        <f ca="1">Games!O56</f>
        <v>Army</v>
      </c>
      <c r="M27" s="231" t="e" vm="80">
        <f ca="1">_xlfn.XLOOKUP(L27,Teams!$C:$C,Teams!$E:$E,,0,1)</f>
        <v>#VALUE!</v>
      </c>
      <c r="N27" s="222">
        <f ca="1">Games!N64</f>
        <v>102</v>
      </c>
      <c r="O27" s="25"/>
      <c r="P27" s="25"/>
      <c r="Q27" s="50"/>
      <c r="R27" s="220" t="str">
        <f ca="1">Games!O69</f>
        <v>Austin Peay</v>
      </c>
      <c r="S27" s="226"/>
      <c r="T27" s="226"/>
      <c r="U27" s="248" t="e" vm="82">
        <f ca="1">_xlfn.XLOOKUP(R27,Teams!$C:$C,Teams!$E:$E,,0,1)</f>
        <v>#VALUE!</v>
      </c>
      <c r="V27" s="235">
        <f ca="1">Games!L72</f>
        <v>91</v>
      </c>
      <c r="W27" s="24"/>
      <c r="X27" s="25"/>
      <c r="Y27" s="56"/>
      <c r="AA27" s="25"/>
      <c r="AB27" s="233">
        <f ca="1">Games!N66</f>
        <v>107</v>
      </c>
      <c r="AC27" s="238" t="e" vm="108">
        <f ca="1">_xlfn.XLOOKUP(AD27,Teams!$C:$C,Teams!$E:$E,,0,1)</f>
        <v>#VALUE!</v>
      </c>
      <c r="AD27" s="226" t="str">
        <f ca="1">Games!O60</f>
        <v>Central Arkansas</v>
      </c>
      <c r="AE27" s="56"/>
      <c r="AG27" s="229">
        <f>IF($AU$5=TRUE,AG11+1,"")</f>
        <v>54</v>
      </c>
      <c r="AJ27" s="24"/>
      <c r="AK27" s="59">
        <f ca="1">Games!N26</f>
        <v>107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42"/>
      <c r="AQ27" s="252"/>
    </row>
    <row r="28" spans="1:43" ht="10.5" customHeight="1" thickBot="1" x14ac:dyDescent="0.35">
      <c r="A28" s="16"/>
      <c r="B28" s="28"/>
      <c r="C28" s="38"/>
      <c r="D28" s="74"/>
      <c r="F28" s="24"/>
      <c r="G28" s="24"/>
      <c r="I28" s="229"/>
      <c r="J28" s="15"/>
      <c r="K28" s="50"/>
      <c r="L28" s="221"/>
      <c r="M28" s="232"/>
      <c r="N28" s="223"/>
      <c r="O28" s="25"/>
      <c r="P28" s="25"/>
      <c r="Q28" s="50"/>
      <c r="R28" s="221"/>
      <c r="S28" s="227"/>
      <c r="T28" s="227"/>
      <c r="U28" s="249"/>
      <c r="V28" s="236"/>
      <c r="W28" s="24"/>
      <c r="X28" s="25"/>
      <c r="Y28" s="56"/>
      <c r="AA28" s="25"/>
      <c r="AB28" s="234"/>
      <c r="AC28" s="239"/>
      <c r="AD28" s="227"/>
      <c r="AE28" s="56"/>
      <c r="AG28" s="229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3" t="e" vm="77">
        <f>_xlfn.XLOOKUP(C29,Teams!$C:$C,Teams!$E:$E,,0,1)</f>
        <v>#VALUE!</v>
      </c>
      <c r="E29" s="46">
        <f ca="1">Games!L11</f>
        <v>98</v>
      </c>
      <c r="F29" s="226" t="str">
        <f ca="1">Games!O11</f>
        <v>Arkansas</v>
      </c>
      <c r="G29" s="231" t="e" vm="77">
        <f ca="1">_xlfn.XLOOKUP(F29,Teams!$C:$C,Teams!$E:$E,,0,1)</f>
        <v>#VALUE!</v>
      </c>
      <c r="H29" s="224">
        <f ca="1">Games!L41</f>
        <v>103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9"/>
      <c r="V29" s="53"/>
      <c r="W29" s="25"/>
      <c r="X29" s="25"/>
      <c r="Y29" s="56"/>
      <c r="AA29" s="25"/>
      <c r="AD29" s="25"/>
      <c r="AE29" s="56"/>
      <c r="AG29" s="24"/>
      <c r="AH29" s="224">
        <f ca="1">Games!L49</f>
        <v>92</v>
      </c>
      <c r="AI29" s="238" t="e" vm="109">
        <f ca="1">_xlfn.XLOOKUP(AJ29,Teams!$C:$C,Teams!$E:$E,,0,1)</f>
        <v>#VALUE!</v>
      </c>
      <c r="AJ29" s="226" t="str">
        <f ca="1">Games!O27</f>
        <v>Central Connecticut State</v>
      </c>
      <c r="AK29" s="58">
        <f ca="1">Games!L27</f>
        <v>103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29">
        <f>IF($AU$5=TRUE,A26+1,"")</f>
        <v>7</v>
      </c>
      <c r="B30" s="28"/>
      <c r="C30" s="38"/>
      <c r="D30" s="74"/>
      <c r="E30" s="49"/>
      <c r="F30" s="227"/>
      <c r="G30" s="232"/>
      <c r="H30" s="225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9"/>
      <c r="V30" s="53"/>
      <c r="W30" s="25"/>
      <c r="X30" s="25"/>
      <c r="Y30" s="56"/>
      <c r="AA30" s="25"/>
      <c r="AD30" s="25"/>
      <c r="AE30" s="56"/>
      <c r="AG30" s="24"/>
      <c r="AH30" s="225"/>
      <c r="AI30" s="239"/>
      <c r="AJ30" s="227"/>
      <c r="AK30" s="55"/>
      <c r="AM30" s="39"/>
      <c r="AN30" s="28"/>
      <c r="AO30" s="242">
        <f>IF($AU$5=TRUE,AO26+1,"")</f>
        <v>23</v>
      </c>
    </row>
    <row r="31" spans="1:43" ht="14.4" customHeight="1" thickBot="1" x14ac:dyDescent="0.35">
      <c r="A31" s="229"/>
      <c r="B31" s="27">
        <v>10</v>
      </c>
      <c r="C31" s="36" t="str">
        <f>Games!I14</f>
        <v>Baylor</v>
      </c>
      <c r="D31" s="73" t="e" vm="84">
        <f>_xlfn.XLOOKUP(C31,Teams!$C:$C,Teams!$E:$E,,0,1)</f>
        <v>#VALUE!</v>
      </c>
      <c r="E31" s="48">
        <f ca="1">Games!N11</f>
        <v>96</v>
      </c>
      <c r="F31" s="228">
        <f>IF($AU$5=TRUE,F23+1,"")</f>
        <v>36</v>
      </c>
      <c r="G31" s="14"/>
      <c r="H31" s="49"/>
      <c r="I31" s="220" t="str">
        <f ca="1">Games!O41</f>
        <v>Army</v>
      </c>
      <c r="J31" s="231" t="e" vm="80">
        <f ca="1">_xlfn.XLOOKUP(I31,Teams!$C:$C,Teams!$E:$E,,0,1)</f>
        <v>#VALUE!</v>
      </c>
      <c r="K31" s="222">
        <f ca="1">Games!N56</f>
        <v>106</v>
      </c>
      <c r="L31" s="25"/>
      <c r="M31" s="25"/>
      <c r="O31" s="25"/>
      <c r="P31" s="25"/>
      <c r="Q31" s="50"/>
      <c r="R31" s="4"/>
      <c r="S31" s="241" t="s">
        <v>0</v>
      </c>
      <c r="T31" s="241"/>
      <c r="U31" s="241"/>
      <c r="V31" s="241"/>
      <c r="W31" s="241"/>
      <c r="X31" s="5"/>
      <c r="Y31" s="56"/>
      <c r="AA31" s="25"/>
      <c r="AD31" s="25"/>
      <c r="AE31" s="233">
        <f ca="1">Games!N60</f>
        <v>115</v>
      </c>
      <c r="AF31" s="238" t="e" vm="111">
        <f ca="1">_xlfn.XLOOKUP(AG31,Teams!$C:$C,Teams!$E:$E,,0,1)</f>
        <v>#VALUE!</v>
      </c>
      <c r="AG31" s="226" t="str">
        <f ca="1">Games!O49</f>
        <v>Charleston Southern</v>
      </c>
      <c r="AH31" s="55"/>
      <c r="AI31" s="51"/>
      <c r="AJ31" s="228">
        <f>IF($AU$5=TRUE,AJ23+1,"")</f>
        <v>44</v>
      </c>
      <c r="AK31" s="59">
        <f ca="1">Games!N27</f>
        <v>96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42"/>
    </row>
    <row r="32" spans="1:43" ht="10.5" customHeight="1" thickBot="1" x14ac:dyDescent="0.35">
      <c r="A32" s="16"/>
      <c r="B32" s="28"/>
      <c r="C32" s="38"/>
      <c r="D32" s="74"/>
      <c r="F32" s="229"/>
      <c r="G32" s="15"/>
      <c r="H32" s="50"/>
      <c r="I32" s="221"/>
      <c r="J32" s="232"/>
      <c r="K32" s="223"/>
      <c r="L32" s="25"/>
      <c r="M32" s="25"/>
      <c r="O32" s="25"/>
      <c r="P32" s="25"/>
      <c r="Q32" s="50"/>
      <c r="R32" s="30"/>
      <c r="S32" s="270" t="str">
        <f ca="1">Games!O72</f>
        <v>Colorado State</v>
      </c>
      <c r="T32" s="271"/>
      <c r="U32" s="271"/>
      <c r="V32" s="271"/>
      <c r="W32" s="272"/>
      <c r="X32" s="31"/>
      <c r="Y32" s="56"/>
      <c r="AA32" s="25"/>
      <c r="AD32" s="25"/>
      <c r="AE32" s="234"/>
      <c r="AF32" s="239"/>
      <c r="AG32" s="227"/>
      <c r="AH32" s="56"/>
      <c r="AJ32" s="229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3" t="e" vm="79">
        <f>_xlfn.XLOOKUP(C33,Teams!$C:$C,Teams!$E:$E,,0,1)</f>
        <v>#VALUE!</v>
      </c>
      <c r="E33" s="46">
        <f ca="1">Games!L12</f>
        <v>107</v>
      </c>
      <c r="F33" s="226" t="str">
        <f ca="1">Games!O12</f>
        <v>Army</v>
      </c>
      <c r="G33" s="231" t="e" vm="80">
        <f ca="1">_xlfn.XLOOKUP(F33,Teams!$C:$C,Teams!$E:$E,,0,1)</f>
        <v>#VALUE!</v>
      </c>
      <c r="H33" s="222">
        <f ca="1">Games!N41</f>
        <v>119</v>
      </c>
      <c r="I33" s="24"/>
      <c r="J33" s="24"/>
      <c r="L33" s="25"/>
      <c r="M33" s="25"/>
      <c r="O33" s="25"/>
      <c r="P33" s="25"/>
      <c r="Q33" s="50"/>
      <c r="R33" s="30"/>
      <c r="S33" s="273"/>
      <c r="T33" s="274"/>
      <c r="U33" s="274"/>
      <c r="V33" s="274"/>
      <c r="W33" s="275"/>
      <c r="X33" s="31"/>
      <c r="Y33" s="56"/>
      <c r="AA33" s="25"/>
      <c r="AD33" s="25"/>
      <c r="AG33" s="24"/>
      <c r="AH33" s="233">
        <f ca="1">Games!N49</f>
        <v>103</v>
      </c>
      <c r="AI33" s="238" t="e" vm="111">
        <f ca="1">_xlfn.XLOOKUP(AJ33,Teams!$C:$C,Teams!$E:$E,,0,1)</f>
        <v>#VALUE!</v>
      </c>
      <c r="AJ33" s="226" t="str">
        <f ca="1">Games!O28</f>
        <v>Charleston Southern</v>
      </c>
      <c r="AK33" s="58">
        <f ca="1">Games!L28</f>
        <v>110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29">
        <f>IF($AU$5=TRUE,A30+1,"")</f>
        <v>8</v>
      </c>
      <c r="B34" s="28"/>
      <c r="C34" s="38"/>
      <c r="D34" s="74"/>
      <c r="E34" s="49"/>
      <c r="F34" s="227"/>
      <c r="G34" s="232"/>
      <c r="H34" s="223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9"/>
      <c r="V34" s="53"/>
      <c r="W34" s="25"/>
      <c r="X34" s="25"/>
      <c r="Y34" s="56"/>
      <c r="AA34" s="25"/>
      <c r="AD34" s="25"/>
      <c r="AG34" s="24"/>
      <c r="AH34" s="234"/>
      <c r="AI34" s="239"/>
      <c r="AJ34" s="227"/>
      <c r="AK34" s="55"/>
      <c r="AM34" s="39"/>
      <c r="AN34" s="28"/>
      <c r="AO34" s="242">
        <f>IF($AU$5=TRUE,AO30+1,"")</f>
        <v>24</v>
      </c>
      <c r="AQ34" s="252"/>
    </row>
    <row r="35" spans="1:43" ht="16.2" thickBot="1" x14ac:dyDescent="0.35">
      <c r="A35" s="229"/>
      <c r="B35" s="27">
        <v>15</v>
      </c>
      <c r="C35" s="36" t="str">
        <f>Games!I12</f>
        <v>Army</v>
      </c>
      <c r="D35" s="73" t="e" vm="80">
        <f>_xlfn.XLOOKUP(C35,Teams!$C:$C,Teams!$E:$E,,0,1)</f>
        <v>#VALUE!</v>
      </c>
      <c r="E35" s="48">
        <f ca="1">Games!N12</f>
        <v>116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29">
        <f>IF($AU$5=TRUE,AA35+1,"")</f>
        <v>63</v>
      </c>
      <c r="U35" s="229"/>
      <c r="V35" s="229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96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42"/>
      <c r="AQ35" s="252"/>
    </row>
    <row r="36" spans="1:43" ht="10.5" customHeight="1" x14ac:dyDescent="0.3">
      <c r="A36" s="16"/>
      <c r="B36" s="28"/>
      <c r="C36" s="38"/>
      <c r="D36" s="74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9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52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3" t="e" vm="81">
        <f>_xlfn.XLOOKUP(C37,Teams!$C:$C,Teams!$E:$E,,0,1)</f>
        <v>#VALUE!</v>
      </c>
      <c r="E37" s="46">
        <f ca="1">Games!L13</f>
        <v>113</v>
      </c>
      <c r="F37" s="226" t="str">
        <f ca="1">Games!O13</f>
        <v>Austin Peay</v>
      </c>
      <c r="G37" s="231" t="e" vm="82">
        <f ca="1">_xlfn.XLOOKUP(F37,Teams!$C:$C,Teams!$E:$E,,0,1)</f>
        <v>#VALUE!</v>
      </c>
      <c r="H37" s="224">
        <f ca="1">Games!L42</f>
        <v>97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9"/>
      <c r="V37" s="53"/>
      <c r="W37" s="25"/>
      <c r="X37" s="25"/>
      <c r="Y37" s="56"/>
      <c r="AA37" s="25"/>
      <c r="AD37" s="25"/>
      <c r="AG37" s="24"/>
      <c r="AH37" s="224">
        <f ca="1">Games!L50</f>
        <v>117</v>
      </c>
      <c r="AI37" s="238" t="e" vm="113">
        <f ca="1">_xlfn.XLOOKUP(AJ37,Teams!$C:$C,Teams!$E:$E,,0,1)</f>
        <v>#VALUE!</v>
      </c>
      <c r="AJ37" s="226" t="str">
        <f ca="1">Games!O29</f>
        <v>Chattanooga</v>
      </c>
      <c r="AK37" s="58">
        <f ca="1">Games!L29</f>
        <v>92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52"/>
    </row>
    <row r="38" spans="1:43" ht="10.5" customHeight="1" thickBot="1" x14ac:dyDescent="0.35">
      <c r="A38" s="229">
        <f>IF($AU$5=TRUE,A34+1,"")</f>
        <v>9</v>
      </c>
      <c r="B38" s="28"/>
      <c r="C38" s="38"/>
      <c r="D38" s="74"/>
      <c r="E38" s="49"/>
      <c r="F38" s="227"/>
      <c r="G38" s="232"/>
      <c r="H38" s="225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9"/>
      <c r="V38" s="53"/>
      <c r="W38" s="25"/>
      <c r="X38" s="25"/>
      <c r="Y38" s="56"/>
      <c r="AA38" s="25"/>
      <c r="AD38" s="25"/>
      <c r="AG38" s="24"/>
      <c r="AH38" s="225"/>
      <c r="AI38" s="239"/>
      <c r="AJ38" s="227"/>
      <c r="AK38" s="55"/>
      <c r="AM38" s="39"/>
      <c r="AN38" s="28"/>
      <c r="AO38" s="242">
        <f>IF($AU$5=TRUE,AO34+1,"")</f>
        <v>25</v>
      </c>
    </row>
    <row r="39" spans="1:43" ht="13.8" customHeight="1" thickBot="1" x14ac:dyDescent="0.35">
      <c r="A39" s="229"/>
      <c r="B39" s="27">
        <v>16</v>
      </c>
      <c r="C39" s="36" t="str">
        <f>Games!I13</f>
        <v>Austin Peay</v>
      </c>
      <c r="D39" s="73" t="e" vm="82">
        <f>_xlfn.XLOOKUP(C39,Teams!$C:$C,Teams!$E:$E,,0,1)</f>
        <v>#VALUE!</v>
      </c>
      <c r="E39" s="48">
        <f ca="1">Games!N13</f>
        <v>118</v>
      </c>
      <c r="F39" s="228">
        <f>IF($AU$5=TRUE,F31+1,"")</f>
        <v>37</v>
      </c>
      <c r="G39" s="14"/>
      <c r="H39" s="49"/>
      <c r="I39" s="220" t="str">
        <f ca="1">Games!O42</f>
        <v>Austin Peay</v>
      </c>
      <c r="J39" s="231" t="e" vm="82">
        <f ca="1">_xlfn.XLOOKUP(I39,Teams!$C:$C,Teams!$E:$E,,0,1)</f>
        <v>#VALUE!</v>
      </c>
      <c r="K39" s="224">
        <f ca="1">Games!L57</f>
        <v>118</v>
      </c>
      <c r="L39" s="25"/>
      <c r="M39" s="25"/>
      <c r="O39" s="25"/>
      <c r="P39" s="25"/>
      <c r="Q39" s="50"/>
      <c r="R39" s="25"/>
      <c r="S39" s="25"/>
      <c r="T39" s="235">
        <f ca="1">Games!N72</f>
        <v>109</v>
      </c>
      <c r="U39" s="246" t="e" vm="122">
        <f ca="1">_xlfn.XLOOKUP(V39,Teams!$C:$C,Teams!$E:$E,,0,1)</f>
        <v>#VALUE!</v>
      </c>
      <c r="V39" s="226" t="str">
        <f ca="1">Games!O70</f>
        <v>Colorado State</v>
      </c>
      <c r="W39" s="226"/>
      <c r="X39" s="250"/>
      <c r="Y39" s="56"/>
      <c r="AA39" s="25"/>
      <c r="AD39" s="25"/>
      <c r="AE39" s="233">
        <f ca="1">Games!L61</f>
        <v>106</v>
      </c>
      <c r="AF39" s="238" t="e" vm="113">
        <f ca="1">_xlfn.XLOOKUP(AG39,Teams!$C:$C,Teams!$E:$E,,0,1)</f>
        <v>#VALUE!</v>
      </c>
      <c r="AG39" s="226" t="str">
        <f ca="1">Games!O50</f>
        <v>Chattanooga</v>
      </c>
      <c r="AH39" s="55"/>
      <c r="AI39" s="51"/>
      <c r="AJ39" s="228">
        <f>IF($AU$5=TRUE,AJ31+1,"")</f>
        <v>45</v>
      </c>
      <c r="AK39" s="59">
        <f ca="1">Games!N29</f>
        <v>91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42"/>
    </row>
    <row r="40" spans="1:43" ht="10.5" customHeight="1" thickBot="1" x14ac:dyDescent="0.35">
      <c r="A40" s="16"/>
      <c r="B40" s="28"/>
      <c r="C40" s="38"/>
      <c r="D40" s="74"/>
      <c r="F40" s="229"/>
      <c r="G40" s="15"/>
      <c r="H40" s="50"/>
      <c r="I40" s="221"/>
      <c r="J40" s="232"/>
      <c r="K40" s="225"/>
      <c r="L40" s="25"/>
      <c r="M40" s="25"/>
      <c r="O40" s="25"/>
      <c r="P40" s="25"/>
      <c r="Q40" s="50"/>
      <c r="R40" s="25"/>
      <c r="S40" s="25"/>
      <c r="T40" s="236"/>
      <c r="U40" s="247"/>
      <c r="V40" s="227"/>
      <c r="W40" s="227"/>
      <c r="X40" s="251"/>
      <c r="Y40" s="56"/>
      <c r="AA40" s="25"/>
      <c r="AD40" s="25"/>
      <c r="AE40" s="234"/>
      <c r="AF40" s="239"/>
      <c r="AG40" s="227"/>
      <c r="AH40" s="56"/>
      <c r="AJ40" s="229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3" t="e" vm="83">
        <f>_xlfn.XLOOKUP(C41,Teams!$C:$C,Teams!$E:$E,,0,1)</f>
        <v>#VALUE!</v>
      </c>
      <c r="E41" s="46">
        <f ca="1">Games!L14</f>
        <v>109</v>
      </c>
      <c r="F41" s="226" t="str">
        <f ca="1">Games!O14</f>
        <v>Baylor</v>
      </c>
      <c r="G41" s="231" t="e" vm="84">
        <f ca="1">_xlfn.XLOOKUP(F41,Teams!$C:$C,Teams!$E:$E,,0,1)</f>
        <v>#VALUE!</v>
      </c>
      <c r="H41" s="222">
        <f ca="1">Games!N42</f>
        <v>92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9"/>
      <c r="V41" s="53"/>
      <c r="W41" s="25"/>
      <c r="X41" s="25"/>
      <c r="Y41" s="56"/>
      <c r="AA41" s="25"/>
      <c r="AD41" s="25"/>
      <c r="AE41" s="55"/>
      <c r="AG41" s="24"/>
      <c r="AH41" s="233">
        <f ca="1">Games!N50</f>
        <v>110</v>
      </c>
      <c r="AI41" s="238" t="e" vm="115">
        <f ca="1">_xlfn.XLOOKUP(AJ41,Teams!$C:$C,Teams!$E:$E,,0,1)</f>
        <v>#VALUE!</v>
      </c>
      <c r="AJ41" s="226" t="str">
        <f ca="1">Games!O30</f>
        <v>Cincinnati</v>
      </c>
      <c r="AK41" s="58">
        <f ca="1">Games!L30</f>
        <v>104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29">
        <f>IF($AU$5=TRUE,A38+1,"")</f>
        <v>10</v>
      </c>
      <c r="B42" s="28"/>
      <c r="C42" s="38"/>
      <c r="D42" s="74"/>
      <c r="E42" s="49"/>
      <c r="F42" s="227"/>
      <c r="G42" s="232"/>
      <c r="H42" s="223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8"/>
      <c r="V42" s="25"/>
      <c r="W42" s="25"/>
      <c r="X42" s="25"/>
      <c r="Y42" s="56"/>
      <c r="AA42" s="25"/>
      <c r="AD42" s="25"/>
      <c r="AE42" s="56"/>
      <c r="AG42" s="24"/>
      <c r="AH42" s="234"/>
      <c r="AI42" s="239"/>
      <c r="AJ42" s="227"/>
      <c r="AK42" s="55"/>
      <c r="AM42" s="39"/>
      <c r="AN42" s="28"/>
      <c r="AO42" s="242">
        <f>IF($AU$5=TRUE,AO38+1,"")</f>
        <v>26</v>
      </c>
    </row>
    <row r="43" spans="1:43" ht="13.8" customHeight="1" thickBot="1" x14ac:dyDescent="0.35">
      <c r="A43" s="229"/>
      <c r="B43" s="27">
        <v>9</v>
      </c>
      <c r="C43" s="36" t="str">
        <f>Games!I14</f>
        <v>Baylor</v>
      </c>
      <c r="D43" s="73" t="e" vm="84">
        <f>_xlfn.XLOOKUP(C43,Teams!$C:$C,Teams!$E:$E,,0,1)</f>
        <v>#VALUE!</v>
      </c>
      <c r="E43" s="48">
        <f ca="1">Games!N14</f>
        <v>112</v>
      </c>
      <c r="F43" s="24"/>
      <c r="G43" s="24"/>
      <c r="I43" s="229">
        <f>IF($AU$5=TRUE,I27+1,"")</f>
        <v>51</v>
      </c>
      <c r="J43" s="15"/>
      <c r="K43" s="50"/>
      <c r="L43" s="220" t="str">
        <f ca="1">Games!O57</f>
        <v>Austin Peay</v>
      </c>
      <c r="M43" s="231" t="e" vm="82">
        <f ca="1">_xlfn.XLOOKUP(L43,Teams!$C:$C,Teams!$E:$E,,0,1)</f>
        <v>#VALUE!</v>
      </c>
      <c r="N43" s="224">
        <f ca="1">Games!L65</f>
        <v>120</v>
      </c>
      <c r="O43" s="25"/>
      <c r="P43" s="25"/>
      <c r="Q43" s="50"/>
      <c r="R43" s="25"/>
      <c r="S43" s="25"/>
      <c r="T43" s="25"/>
      <c r="U43" s="78"/>
      <c r="V43" s="25"/>
      <c r="W43" s="25"/>
      <c r="X43" s="25"/>
      <c r="Y43" s="56"/>
      <c r="AA43" s="25"/>
      <c r="AB43" s="224">
        <f ca="1">Games!L67</f>
        <v>103</v>
      </c>
      <c r="AC43" s="238" t="e" vm="113">
        <f ca="1">_xlfn.XLOOKUP(AD43,Teams!$C:$C,Teams!$E:$E,,0,1)</f>
        <v>#VALUE!</v>
      </c>
      <c r="AD43" s="244" t="str">
        <f ca="1">Games!O61</f>
        <v>Chattanooga</v>
      </c>
      <c r="AE43" s="56"/>
      <c r="AG43" s="229">
        <f>IF($AU$5=TRUE,AG27+1,"")</f>
        <v>55</v>
      </c>
      <c r="AJ43" s="24"/>
      <c r="AK43" s="59">
        <f ca="1">Games!N30</f>
        <v>100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42"/>
    </row>
    <row r="44" spans="1:43" ht="10.5" customHeight="1" thickBot="1" x14ac:dyDescent="0.35">
      <c r="A44" s="16"/>
      <c r="B44" s="28"/>
      <c r="C44" s="38"/>
      <c r="D44" s="74"/>
      <c r="F44" s="24"/>
      <c r="G44" s="24"/>
      <c r="I44" s="229"/>
      <c r="J44" s="15"/>
      <c r="K44" s="50"/>
      <c r="L44" s="221"/>
      <c r="M44" s="232"/>
      <c r="N44" s="225"/>
      <c r="O44" s="25"/>
      <c r="P44" s="25"/>
      <c r="Q44" s="50"/>
      <c r="R44" s="25"/>
      <c r="S44" s="25"/>
      <c r="T44" s="25"/>
      <c r="U44" s="78"/>
      <c r="V44" s="25"/>
      <c r="W44" s="25"/>
      <c r="X44" s="25"/>
      <c r="Y44" s="56"/>
      <c r="AA44" s="25"/>
      <c r="AB44" s="225"/>
      <c r="AC44" s="239"/>
      <c r="AD44" s="245"/>
      <c r="AE44" s="56"/>
      <c r="AG44" s="229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3" t="e" vm="85">
        <f>_xlfn.XLOOKUP(C45,Teams!$C:$C,Teams!$E:$E,,0,1)</f>
        <v>#VALUE!</v>
      </c>
      <c r="E45" s="46">
        <f ca="1">Games!L15</f>
        <v>116</v>
      </c>
      <c r="F45" s="226" t="str">
        <f ca="1">Games!O15</f>
        <v>Bellarmine</v>
      </c>
      <c r="G45" s="231" t="e" vm="85">
        <f ca="1">_xlfn.XLOOKUP(F45,Teams!$C:$C,Teams!$E:$E,,0,1)</f>
        <v>#VALUE!</v>
      </c>
      <c r="H45" s="224">
        <f ca="1">Games!L43</f>
        <v>99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8"/>
      <c r="V45" s="25"/>
      <c r="W45" s="25"/>
      <c r="X45" s="25"/>
      <c r="Y45" s="56"/>
      <c r="AA45" s="25"/>
      <c r="AB45" s="55"/>
      <c r="AD45" s="25"/>
      <c r="AE45" s="56"/>
      <c r="AG45" s="24"/>
      <c r="AH45" s="224">
        <f ca="1">Games!L51</f>
        <v>108</v>
      </c>
      <c r="AI45" s="238" t="e" vm="118">
        <f ca="1">_xlfn.XLOOKUP(AJ45,Teams!$C:$C,Teams!$E:$E,,0,1)</f>
        <v>#VALUE!</v>
      </c>
      <c r="AJ45" s="226" t="str">
        <f ca="1">Games!O31</f>
        <v>Coastal Carolina</v>
      </c>
      <c r="AK45" s="58">
        <f ca="1">Games!L31</f>
        <v>92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29">
        <f>IF($AU$5=TRUE,A42+1,"")</f>
        <v>11</v>
      </c>
      <c r="B46" s="28"/>
      <c r="C46" s="38"/>
      <c r="D46" s="74"/>
      <c r="E46" s="49"/>
      <c r="F46" s="227"/>
      <c r="G46" s="232"/>
      <c r="H46" s="225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8"/>
      <c r="V46" s="25"/>
      <c r="W46" s="25"/>
      <c r="X46" s="25"/>
      <c r="Y46" s="56"/>
      <c r="AA46" s="25"/>
      <c r="AB46" s="56"/>
      <c r="AD46" s="25"/>
      <c r="AE46" s="56"/>
      <c r="AG46" s="24"/>
      <c r="AH46" s="225"/>
      <c r="AI46" s="239"/>
      <c r="AJ46" s="227"/>
      <c r="AK46" s="55"/>
      <c r="AM46" s="39"/>
      <c r="AN46" s="28"/>
      <c r="AO46" s="242">
        <f>IF($AU$5=TRUE,AO42+1,"")</f>
        <v>27</v>
      </c>
    </row>
    <row r="47" spans="1:43" ht="13.8" customHeight="1" thickBot="1" x14ac:dyDescent="0.35">
      <c r="A47" s="229"/>
      <c r="B47" s="27">
        <v>12</v>
      </c>
      <c r="C47" s="41" t="str">
        <f>Games!I15</f>
        <v>Belmont</v>
      </c>
      <c r="D47" s="73" t="e" vm="86">
        <f>_xlfn.XLOOKUP(C47,Teams!$C:$C,Teams!$E:$E,,0,1)</f>
        <v>#VALUE!</v>
      </c>
      <c r="E47" s="48">
        <f ca="1">Games!N15</f>
        <v>105</v>
      </c>
      <c r="F47" s="228">
        <f>IF($AU$5=TRUE,F39+1,"")</f>
        <v>38</v>
      </c>
      <c r="G47" s="14"/>
      <c r="H47" s="49"/>
      <c r="I47" s="220" t="str">
        <f ca="1">Games!O43</f>
        <v>Bethune-Cookman</v>
      </c>
      <c r="J47" s="231" t="e" vm="87">
        <f ca="1">_xlfn.XLOOKUP(I47,Teams!$C:$C,Teams!$E:$E,,0,1)</f>
        <v>#VALUE!</v>
      </c>
      <c r="K47" s="222">
        <f ca="1">Games!N57</f>
        <v>101</v>
      </c>
      <c r="L47" s="25"/>
      <c r="M47" s="25"/>
      <c r="N47" s="50"/>
      <c r="O47" s="25"/>
      <c r="P47" s="25"/>
      <c r="Q47" s="50"/>
      <c r="R47" s="25"/>
      <c r="S47" s="25"/>
      <c r="T47" s="25"/>
      <c r="U47" s="78"/>
      <c r="V47" s="25"/>
      <c r="W47" s="25"/>
      <c r="X47" s="25"/>
      <c r="Y47" s="56"/>
      <c r="AA47" s="25"/>
      <c r="AB47" s="56"/>
      <c r="AD47" s="25"/>
      <c r="AE47" s="233">
        <f ca="1">Games!N61</f>
        <v>103</v>
      </c>
      <c r="AF47" s="238" t="e" vm="119">
        <f ca="1">_xlfn.XLOOKUP(AG47,Teams!$C:$C,Teams!$E:$E,,0,1)</f>
        <v>#VALUE!</v>
      </c>
      <c r="AG47" s="226" t="str">
        <f ca="1">Games!O51</f>
        <v>Colgate</v>
      </c>
      <c r="AH47" s="55"/>
      <c r="AI47" s="51"/>
      <c r="AJ47" s="228">
        <f>IF($AU$5=TRUE,AJ39+1,"")</f>
        <v>46</v>
      </c>
      <c r="AK47" s="59">
        <f ca="1">Games!N31</f>
        <v>99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42"/>
    </row>
    <row r="48" spans="1:43" ht="10.5" customHeight="1" thickBot="1" x14ac:dyDescent="0.35">
      <c r="A48" s="16"/>
      <c r="B48" s="28"/>
      <c r="C48" s="38"/>
      <c r="D48" s="74"/>
      <c r="F48" s="229"/>
      <c r="G48" s="15"/>
      <c r="H48" s="50"/>
      <c r="I48" s="221"/>
      <c r="J48" s="232"/>
      <c r="K48" s="223"/>
      <c r="L48" s="25"/>
      <c r="M48" s="25"/>
      <c r="N48" s="50"/>
      <c r="O48" s="25"/>
      <c r="P48" s="25"/>
      <c r="Q48" s="50"/>
      <c r="R48" s="25"/>
      <c r="S48" s="25"/>
      <c r="T48" s="25"/>
      <c r="U48" s="78"/>
      <c r="V48" s="25"/>
      <c r="W48" s="25"/>
      <c r="X48" s="25"/>
      <c r="Y48" s="56"/>
      <c r="AA48" s="25"/>
      <c r="AB48" s="56"/>
      <c r="AD48" s="25"/>
      <c r="AE48" s="234"/>
      <c r="AF48" s="239"/>
      <c r="AG48" s="227"/>
      <c r="AH48" s="56"/>
      <c r="AJ48" s="229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3" t="e" vm="87">
        <f>_xlfn.XLOOKUP(C49,Teams!$C:$C,Teams!$E:$E,,0,1)</f>
        <v>#VALUE!</v>
      </c>
      <c r="E49" s="46">
        <f ca="1">Games!L16</f>
        <v>114</v>
      </c>
      <c r="F49" s="226" t="str">
        <f ca="1">Games!O16</f>
        <v>Bethune-Cookman</v>
      </c>
      <c r="G49" s="231" t="e" vm="87">
        <f ca="1">_xlfn.XLOOKUP(F49,Teams!$C:$C,Teams!$E:$E,,0,1)</f>
        <v>#VALUE!</v>
      </c>
      <c r="H49" s="222">
        <f ca="1">Games!N43</f>
        <v>99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8"/>
      <c r="V49" s="25"/>
      <c r="W49" s="25"/>
      <c r="X49" s="25"/>
      <c r="Y49" s="56"/>
      <c r="AA49" s="25"/>
      <c r="AB49" s="56"/>
      <c r="AD49" s="25"/>
      <c r="AG49" s="24"/>
      <c r="AH49" s="233">
        <f ca="1">Games!N51</f>
        <v>108</v>
      </c>
      <c r="AI49" s="238" t="e" vm="119">
        <f ca="1">_xlfn.XLOOKUP(AJ49,Teams!$C:$C,Teams!$E:$E,,0,1)</f>
        <v>#VALUE!</v>
      </c>
      <c r="AJ49" s="226" t="str">
        <f ca="1">Games!O32</f>
        <v>Colgate</v>
      </c>
      <c r="AK49" s="58">
        <f ca="1">Games!L32</f>
        <v>114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29">
        <f>IF($AU$5=TRUE,A46+1,"")</f>
        <v>12</v>
      </c>
      <c r="B50" s="28"/>
      <c r="C50" s="38"/>
      <c r="D50" s="74"/>
      <c r="E50" s="49"/>
      <c r="F50" s="227"/>
      <c r="G50" s="232"/>
      <c r="H50" s="223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8"/>
      <c r="V50" s="25"/>
      <c r="W50" s="25"/>
      <c r="X50" s="25"/>
      <c r="Y50" s="56"/>
      <c r="AA50" s="25"/>
      <c r="AB50" s="56"/>
      <c r="AD50" s="25"/>
      <c r="AG50" s="24"/>
      <c r="AH50" s="234"/>
      <c r="AI50" s="239"/>
      <c r="AJ50" s="227"/>
      <c r="AK50" s="55"/>
      <c r="AM50" s="39"/>
      <c r="AN50" s="28"/>
      <c r="AO50" s="242">
        <f>IF($AU$5=TRUE,AO46+1,"")</f>
        <v>28</v>
      </c>
    </row>
    <row r="51" spans="1:41" ht="13.8" customHeight="1" thickBot="1" x14ac:dyDescent="0.45">
      <c r="A51" s="229"/>
      <c r="B51" s="27">
        <v>13</v>
      </c>
      <c r="C51" s="36" t="str">
        <f>Games!I16</f>
        <v>Binghamton</v>
      </c>
      <c r="D51" s="73" t="e" vm="88">
        <f>_xlfn.XLOOKUP(C51,Teams!$C:$C,Teams!$E:$E,,0,1)</f>
        <v>#VALUE!</v>
      </c>
      <c r="E51" s="48">
        <f ca="1">Games!N16</f>
        <v>91</v>
      </c>
      <c r="F51" s="24"/>
      <c r="G51" s="24"/>
      <c r="I51" s="24"/>
      <c r="J51" s="24"/>
      <c r="K51" s="237" t="s">
        <v>4</v>
      </c>
      <c r="L51" s="237"/>
      <c r="M51" s="20"/>
      <c r="N51" s="50"/>
      <c r="O51" s="220" t="str">
        <f ca="1">Games!O65</f>
        <v>Austin Peay</v>
      </c>
      <c r="P51" s="231" t="e" vm="82">
        <f ca="1">_xlfn.XLOOKUP(O51,Teams!$C:$C,Teams!$E:$E,,0,1)</f>
        <v>#VALUE!</v>
      </c>
      <c r="Q51" s="222">
        <f ca="1">Games!N69</f>
        <v>111</v>
      </c>
      <c r="R51" s="25"/>
      <c r="S51" s="25"/>
      <c r="T51" s="25"/>
      <c r="U51" s="78"/>
      <c r="V51" s="25"/>
      <c r="W51" s="25"/>
      <c r="X51" s="25"/>
      <c r="Y51" s="233">
        <f ca="1">Games!N70</f>
        <v>111</v>
      </c>
      <c r="Z51" s="238" t="e" vm="122">
        <f ca="1">_xlfn.XLOOKUP(AA51,Teams!$C:$C,Teams!$E:$E,,0,1)</f>
        <v>#VALUE!</v>
      </c>
      <c r="AA51" s="226" t="str">
        <f ca="1">Games!O67</f>
        <v>Colorado State</v>
      </c>
      <c r="AB51" s="56"/>
      <c r="AD51" s="237" t="s">
        <v>14</v>
      </c>
      <c r="AE51" s="237"/>
      <c r="AF51" s="20"/>
      <c r="AG51" s="24"/>
      <c r="AJ51" s="24"/>
      <c r="AK51" s="59">
        <f ca="1">Games!N32</f>
        <v>102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42"/>
    </row>
    <row r="52" spans="1:41" ht="10.5" customHeight="1" thickBot="1" x14ac:dyDescent="0.45">
      <c r="A52" s="16"/>
      <c r="B52" s="28"/>
      <c r="C52" s="38"/>
      <c r="D52" s="74"/>
      <c r="F52" s="24"/>
      <c r="G52" s="24"/>
      <c r="I52" s="24"/>
      <c r="J52" s="24"/>
      <c r="K52" s="237"/>
      <c r="L52" s="237"/>
      <c r="M52" s="20"/>
      <c r="N52" s="50"/>
      <c r="O52" s="221"/>
      <c r="P52" s="232"/>
      <c r="Q52" s="223"/>
      <c r="R52" s="25"/>
      <c r="S52" s="25"/>
      <c r="T52" s="25"/>
      <c r="U52" s="78"/>
      <c r="V52" s="25"/>
      <c r="W52" s="25"/>
      <c r="X52" s="25"/>
      <c r="Y52" s="234"/>
      <c r="Z52" s="239"/>
      <c r="AA52" s="227"/>
      <c r="AB52" s="56"/>
      <c r="AD52" s="237"/>
      <c r="AE52" s="237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3" t="e" vm="89">
        <f>_xlfn.XLOOKUP(C53,Teams!$C:$C,Teams!$E:$E,,0,1)</f>
        <v>#VALUE!</v>
      </c>
      <c r="E53" s="46">
        <f ca="1">Games!L17</f>
        <v>95</v>
      </c>
      <c r="F53" s="226" t="str">
        <f ca="1">Games!O17</f>
        <v>Boston College</v>
      </c>
      <c r="G53" s="231" t="e" vm="90">
        <f ca="1">_xlfn.XLOOKUP(F53,Teams!$C:$C,Teams!$E:$E,,0,1)</f>
        <v>#VALUE!</v>
      </c>
      <c r="H53" s="224">
        <f ca="1">Games!L44</f>
        <v>92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8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24">
        <f ca="1">Games!L52</f>
        <v>106</v>
      </c>
      <c r="AI53" s="238" t="e" vm="122">
        <f ca="1">_xlfn.XLOOKUP(AJ53,Teams!$C:$C,Teams!$E:$E,,0,1)</f>
        <v>#VALUE!</v>
      </c>
      <c r="AJ53" s="226" t="str">
        <f ca="1">Games!O33</f>
        <v>Colorado State</v>
      </c>
      <c r="AK53" s="58">
        <f ca="1">Games!L33</f>
        <v>93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29">
        <f>IF($AU$5=TRUE,A50+1,"")</f>
        <v>13</v>
      </c>
      <c r="B54" s="28"/>
      <c r="C54" s="38"/>
      <c r="D54" s="74"/>
      <c r="E54" s="49"/>
      <c r="F54" s="227"/>
      <c r="G54" s="232"/>
      <c r="H54" s="225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8"/>
      <c r="V54" s="25"/>
      <c r="W54" s="25"/>
      <c r="X54" s="25"/>
      <c r="AA54" s="25"/>
      <c r="AB54" s="56"/>
      <c r="AD54" s="25"/>
      <c r="AG54" s="24"/>
      <c r="AH54" s="225"/>
      <c r="AI54" s="239"/>
      <c r="AJ54" s="227"/>
      <c r="AK54" s="55"/>
      <c r="AM54" s="39"/>
      <c r="AN54" s="28"/>
      <c r="AO54" s="242">
        <f>IF($AU$5=TRUE,AO50+1,"")</f>
        <v>29</v>
      </c>
    </row>
    <row r="55" spans="1:41" ht="13.8" customHeight="1" thickBot="1" x14ac:dyDescent="0.35">
      <c r="A55" s="229"/>
      <c r="B55" s="27">
        <v>11</v>
      </c>
      <c r="C55" s="36" t="str">
        <f>Games!I17</f>
        <v>Boston College</v>
      </c>
      <c r="D55" s="73" t="e" vm="90">
        <f>_xlfn.XLOOKUP(C55,Teams!$C:$C,Teams!$E:$E,,0,1)</f>
        <v>#VALUE!</v>
      </c>
      <c r="E55" s="48">
        <f ca="1">Games!N17</f>
        <v>101</v>
      </c>
      <c r="F55" s="228">
        <f>IF($AU$5=TRUE,F47+1,"")</f>
        <v>39</v>
      </c>
      <c r="G55" s="14"/>
      <c r="H55" s="49"/>
      <c r="I55" s="220" t="str">
        <f ca="1">Games!O44</f>
        <v>Boston University</v>
      </c>
      <c r="J55" s="231" t="e" vm="91">
        <f ca="1">_xlfn.XLOOKUP(I55,Teams!$C:$C,Teams!$E:$E,,0,1)</f>
        <v>#VALUE!</v>
      </c>
      <c r="K55" s="224">
        <f ca="1">Games!L58</f>
        <v>117</v>
      </c>
      <c r="L55" s="25"/>
      <c r="M55" s="25"/>
      <c r="N55" s="50"/>
      <c r="O55" s="25"/>
      <c r="P55" s="25"/>
      <c r="R55" s="25"/>
      <c r="S55" s="25"/>
      <c r="T55" s="25"/>
      <c r="U55" s="78"/>
      <c r="V55" s="25"/>
      <c r="W55" s="25"/>
      <c r="X55" s="25"/>
      <c r="AA55" s="25"/>
      <c r="AB55" s="56"/>
      <c r="AD55" s="25"/>
      <c r="AE55" s="224">
        <f ca="1">Games!L62</f>
        <v>116</v>
      </c>
      <c r="AF55" s="238" t="e" vm="122">
        <f ca="1">_xlfn.XLOOKUP(AG55,Teams!$C:$C,Teams!$E:$E,,0,1)</f>
        <v>#VALUE!</v>
      </c>
      <c r="AG55" s="226" t="str">
        <f ca="1">Games!O52</f>
        <v>Colorado State</v>
      </c>
      <c r="AH55" s="55"/>
      <c r="AI55" s="51"/>
      <c r="AJ55" s="228">
        <f>IF($AU$5=TRUE,AJ47+1,"")</f>
        <v>47</v>
      </c>
      <c r="AK55" s="59">
        <f ca="1">Games!N33</f>
        <v>102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42"/>
    </row>
    <row r="56" spans="1:41" ht="10.5" customHeight="1" thickBot="1" x14ac:dyDescent="0.35">
      <c r="A56" s="16"/>
      <c r="B56" s="28"/>
      <c r="C56" s="38"/>
      <c r="D56" s="74"/>
      <c r="F56" s="229"/>
      <c r="G56" s="15"/>
      <c r="H56" s="50"/>
      <c r="I56" s="221"/>
      <c r="J56" s="232"/>
      <c r="K56" s="225"/>
      <c r="L56" s="25"/>
      <c r="M56" s="25"/>
      <c r="N56" s="50"/>
      <c r="O56" s="25"/>
      <c r="P56" s="25"/>
      <c r="R56" s="25"/>
      <c r="S56" s="25"/>
      <c r="T56" s="25"/>
      <c r="U56" s="78"/>
      <c r="V56" s="25"/>
      <c r="W56" s="25"/>
      <c r="X56" s="25"/>
      <c r="AA56" s="25"/>
      <c r="AB56" s="56"/>
      <c r="AD56" s="25"/>
      <c r="AE56" s="225"/>
      <c r="AF56" s="239"/>
      <c r="AG56" s="227"/>
      <c r="AH56" s="56"/>
      <c r="AJ56" s="229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Boston University</v>
      </c>
      <c r="D57" s="73" t="e" vm="91">
        <f>_xlfn.XLOOKUP(C57,Teams!$C:$C,Teams!$E:$E,,0,1)</f>
        <v>#VALUE!</v>
      </c>
      <c r="E57" s="46">
        <f ca="1">Games!L18</f>
        <v>107</v>
      </c>
      <c r="F57" s="226" t="str">
        <f ca="1">Games!O18</f>
        <v>Boston University</v>
      </c>
      <c r="G57" s="231" t="e" vm="91">
        <f ca="1">_xlfn.XLOOKUP(F57,Teams!$C:$C,Teams!$E:$E,,0,1)</f>
        <v>#VALUE!</v>
      </c>
      <c r="H57" s="222">
        <f ca="1">Games!N44</f>
        <v>100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8"/>
      <c r="V57" s="25"/>
      <c r="W57" s="25"/>
      <c r="X57" s="25"/>
      <c r="AA57" s="25"/>
      <c r="AB57" s="56"/>
      <c r="AD57" s="25"/>
      <c r="AE57" s="55"/>
      <c r="AG57" s="24"/>
      <c r="AH57" s="233">
        <f ca="1">Games!N52</f>
        <v>102</v>
      </c>
      <c r="AI57" s="238" t="e" vm="124">
        <f ca="1">_xlfn.XLOOKUP(AJ57,Teams!$C:$C,Teams!$E:$E,,0,1)</f>
        <v>#VALUE!</v>
      </c>
      <c r="AJ57" s="226" t="str">
        <f ca="1">Games!O34</f>
        <v>Connecticut</v>
      </c>
      <c r="AK57" s="58">
        <f ca="1">Games!L34</f>
        <v>95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29">
        <f>IF($AU$5=TRUE,A54+1,"")</f>
        <v>14</v>
      </c>
      <c r="B58" s="28"/>
      <c r="C58" s="38"/>
      <c r="D58" s="74"/>
      <c r="E58" s="49"/>
      <c r="F58" s="227"/>
      <c r="G58" s="232"/>
      <c r="H58" s="223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8"/>
      <c r="V58" s="25"/>
      <c r="W58" s="25"/>
      <c r="X58" s="25"/>
      <c r="AA58" s="25"/>
      <c r="AB58" s="56"/>
      <c r="AD58" s="25"/>
      <c r="AE58" s="56"/>
      <c r="AG58" s="24"/>
      <c r="AH58" s="234"/>
      <c r="AI58" s="239"/>
      <c r="AJ58" s="227"/>
      <c r="AK58" s="55"/>
      <c r="AM58" s="39"/>
      <c r="AN58" s="28"/>
      <c r="AO58" s="242">
        <f>IF($AU$5=TRUE,AO54+1,"")</f>
        <v>30</v>
      </c>
    </row>
    <row r="59" spans="1:41" ht="13.8" customHeight="1" thickBot="1" x14ac:dyDescent="0.35">
      <c r="A59" s="229"/>
      <c r="B59" s="27">
        <v>14</v>
      </c>
      <c r="C59" s="36" t="str">
        <f>Games!I18</f>
        <v>Bowling Green</v>
      </c>
      <c r="D59" s="73" t="e" vm="92">
        <f>_xlfn.XLOOKUP(C59,Teams!$C:$C,Teams!$E:$E,,0,1)</f>
        <v>#VALUE!</v>
      </c>
      <c r="E59" s="48">
        <f ca="1">Games!N18</f>
        <v>101</v>
      </c>
      <c r="F59" s="24"/>
      <c r="G59" s="24"/>
      <c r="I59" s="229">
        <f>IF($AU$5=TRUE,I43+1,"")</f>
        <v>52</v>
      </c>
      <c r="J59" s="15"/>
      <c r="K59" s="50"/>
      <c r="L59" s="220" t="str">
        <f ca="1">Games!O58</f>
        <v>Boston University</v>
      </c>
      <c r="M59" s="231" t="e" vm="91">
        <f ca="1">_xlfn.XLOOKUP(L59,Teams!$C:$C,Teams!$E:$E,,0,1)</f>
        <v>#VALUE!</v>
      </c>
      <c r="N59" s="222">
        <f ca="1">Games!N65</f>
        <v>90</v>
      </c>
      <c r="O59" s="25"/>
      <c r="P59" s="25"/>
      <c r="R59" s="25"/>
      <c r="S59" s="25"/>
      <c r="T59" s="25"/>
      <c r="U59" s="78"/>
      <c r="V59" s="25"/>
      <c r="W59" s="25"/>
      <c r="X59" s="25"/>
      <c r="AA59" s="25"/>
      <c r="AB59" s="233">
        <f ca="1">Games!N67</f>
        <v>112</v>
      </c>
      <c r="AC59" s="238" t="e" vm="122">
        <f ca="1">_xlfn.XLOOKUP(AD59,Teams!$C:$C,Teams!$E:$E,,0,1)</f>
        <v>#VALUE!</v>
      </c>
      <c r="AD59" s="226" t="str">
        <f ca="1">Games!O62</f>
        <v>Colorado State</v>
      </c>
      <c r="AE59" s="56"/>
      <c r="AG59" s="229">
        <f>IF($AU$5=TRUE,AG43+1,"")</f>
        <v>56</v>
      </c>
      <c r="AJ59" s="24"/>
      <c r="AK59" s="59">
        <f ca="1">Games!N34</f>
        <v>102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42"/>
    </row>
    <row r="60" spans="1:41" ht="10.5" customHeight="1" thickBot="1" x14ac:dyDescent="0.35">
      <c r="A60" s="16"/>
      <c r="B60" s="28"/>
      <c r="C60" s="38"/>
      <c r="D60" s="74"/>
      <c r="F60" s="24"/>
      <c r="G60" s="24"/>
      <c r="I60" s="229"/>
      <c r="J60" s="15"/>
      <c r="K60" s="50"/>
      <c r="L60" s="221"/>
      <c r="M60" s="232"/>
      <c r="N60" s="223"/>
      <c r="O60" s="25"/>
      <c r="P60" s="25"/>
      <c r="Q60" s="25"/>
      <c r="R60" s="25"/>
      <c r="S60" s="25"/>
      <c r="T60" s="25"/>
      <c r="U60" s="78"/>
      <c r="V60" s="25"/>
      <c r="W60" s="25"/>
      <c r="X60" s="25"/>
      <c r="AA60" s="25"/>
      <c r="AB60" s="234"/>
      <c r="AC60" s="239"/>
      <c r="AD60" s="227"/>
      <c r="AE60" s="56"/>
      <c r="AG60" s="229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3" t="e" vm="93">
        <f>_xlfn.XLOOKUP(C61,Teams!$C:$C,Teams!$E:$E,,0,1)</f>
        <v>#VALUE!</v>
      </c>
      <c r="E61" s="46">
        <f ca="1">Games!L19</f>
        <v>107</v>
      </c>
      <c r="F61" s="226" t="str">
        <f ca="1">Games!O19</f>
        <v>Brigham Young</v>
      </c>
      <c r="G61" s="231" t="e" vm="94">
        <f ca="1">_xlfn.XLOOKUP(F61,Teams!$C:$C,Teams!$E:$E,,0,1)</f>
        <v>#VALUE!</v>
      </c>
      <c r="H61" s="224">
        <f ca="1">Games!L45</f>
        <v>118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8"/>
      <c r="V61" s="25"/>
      <c r="W61" s="25"/>
      <c r="X61" s="25"/>
      <c r="AA61" s="25"/>
      <c r="AD61" s="25"/>
      <c r="AE61" s="56"/>
      <c r="AG61" s="24"/>
      <c r="AH61" s="224">
        <f ca="1">Games!L53</f>
        <v>115</v>
      </c>
      <c r="AI61" s="238" t="e" vm="126">
        <f ca="1">_xlfn.XLOOKUP(AJ61,Teams!$C:$C,Teams!$E:$E,,0,1)</f>
        <v>#VALUE!</v>
      </c>
      <c r="AJ61" s="226" t="str">
        <f ca="1">Games!O35</f>
        <v>Cornell</v>
      </c>
      <c r="AK61" s="58">
        <f ca="1">Games!L35</f>
        <v>102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29">
        <f>IF($AU$5=TRUE,A58+1,"")</f>
        <v>15</v>
      </c>
      <c r="B62" s="28"/>
      <c r="C62" s="38"/>
      <c r="D62" s="74"/>
      <c r="E62" s="49"/>
      <c r="F62" s="227"/>
      <c r="G62" s="232"/>
      <c r="H62" s="225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8"/>
      <c r="V62" s="25"/>
      <c r="W62" s="25"/>
      <c r="X62" s="25"/>
      <c r="AA62" s="25"/>
      <c r="AD62" s="25"/>
      <c r="AE62" s="56"/>
      <c r="AG62" s="24"/>
      <c r="AH62" s="225"/>
      <c r="AI62" s="239"/>
      <c r="AJ62" s="227"/>
      <c r="AK62" s="55"/>
      <c r="AM62" s="39"/>
      <c r="AN62" s="28"/>
      <c r="AO62" s="242">
        <f>IF($AU$5=TRUE,AO58+1,"")</f>
        <v>31</v>
      </c>
    </row>
    <row r="63" spans="1:41" ht="13.8" customHeight="1" thickBot="1" x14ac:dyDescent="0.35">
      <c r="A63" s="229"/>
      <c r="B63" s="27">
        <v>10</v>
      </c>
      <c r="C63" s="36" t="str">
        <f>Games!I19</f>
        <v>Brigham Young</v>
      </c>
      <c r="D63" s="73" t="e" vm="94">
        <f>_xlfn.XLOOKUP(C63,Teams!$C:$C,Teams!$E:$E,,0,1)</f>
        <v>#VALUE!</v>
      </c>
      <c r="E63" s="48">
        <f ca="1">Games!N19</f>
        <v>114</v>
      </c>
      <c r="F63" s="228">
        <f>IF($AU$5=TRUE,F55+1,"")</f>
        <v>40</v>
      </c>
      <c r="G63" s="14"/>
      <c r="H63" s="49"/>
      <c r="I63" s="220" t="str">
        <f ca="1">Games!O45</f>
        <v>Brigham Young</v>
      </c>
      <c r="J63" s="231" t="e" vm="94">
        <f ca="1">_xlfn.XLOOKUP(I63,Teams!$C:$C,Teams!$E:$E,,0,1)</f>
        <v>#VALUE!</v>
      </c>
      <c r="K63" s="222">
        <f ca="1">Games!N58</f>
        <v>101</v>
      </c>
      <c r="L63" s="25"/>
      <c r="M63" s="25"/>
      <c r="O63" s="25"/>
      <c r="P63" s="25"/>
      <c r="Q63" s="25"/>
      <c r="R63" s="25"/>
      <c r="S63" s="25"/>
      <c r="T63" s="25"/>
      <c r="U63" s="78"/>
      <c r="V63" s="25"/>
      <c r="W63" s="25"/>
      <c r="X63" s="25"/>
      <c r="Y63" s="57"/>
      <c r="Z63" s="57"/>
      <c r="AA63" s="25"/>
      <c r="AD63" s="25"/>
      <c r="AE63" s="233">
        <f ca="1">Games!N62</f>
        <v>108</v>
      </c>
      <c r="AF63" s="238" t="e" vm="126">
        <f ca="1">_xlfn.XLOOKUP(AG63,Teams!$C:$C,Teams!$E:$E,,0,1)</f>
        <v>#VALUE!</v>
      </c>
      <c r="AG63" s="226" t="str">
        <f ca="1">Games!O53</f>
        <v>Cornell</v>
      </c>
      <c r="AH63" s="55"/>
      <c r="AI63" s="51"/>
      <c r="AJ63" s="228">
        <f>IF($AU$5=TRUE,AJ55+1,"")</f>
        <v>48</v>
      </c>
      <c r="AK63" s="59">
        <f ca="1">Games!N35</f>
        <v>107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42"/>
    </row>
    <row r="64" spans="1:41" ht="10.5" customHeight="1" thickBot="1" x14ac:dyDescent="0.35">
      <c r="A64" s="16"/>
      <c r="B64" s="28"/>
      <c r="C64" s="38"/>
      <c r="D64" s="74"/>
      <c r="F64" s="229"/>
      <c r="G64" s="15"/>
      <c r="H64" s="50"/>
      <c r="I64" s="221"/>
      <c r="J64" s="232"/>
      <c r="K64" s="223"/>
      <c r="L64" s="25"/>
      <c r="M64" s="25"/>
      <c r="O64" s="25"/>
      <c r="P64" s="25"/>
      <c r="R64" s="25"/>
      <c r="S64" s="25"/>
      <c r="T64" s="25"/>
      <c r="U64" s="78"/>
      <c r="V64" s="25"/>
      <c r="W64" s="25"/>
      <c r="X64" s="25"/>
      <c r="Y64" s="57"/>
      <c r="Z64" s="57"/>
      <c r="AA64" s="25"/>
      <c r="AD64" s="25"/>
      <c r="AE64" s="234"/>
      <c r="AF64" s="239"/>
      <c r="AG64" s="227"/>
      <c r="AH64" s="56"/>
      <c r="AJ64" s="229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3" t="e" vm="95">
        <f>_xlfn.XLOOKUP(C65,Teams!$C:$C,Teams!$E:$E,,0,1)</f>
        <v>#VALUE!</v>
      </c>
      <c r="E65" s="46">
        <f ca="1">Games!L20</f>
        <v>116</v>
      </c>
      <c r="F65" s="226" t="str">
        <f ca="1">Games!O20</f>
        <v>Brown</v>
      </c>
      <c r="G65" s="231" t="e" vm="95">
        <f ca="1">_xlfn.XLOOKUP(F65,Teams!$C:$C,Teams!$E:$E,,0,1)</f>
        <v>#VALUE!</v>
      </c>
      <c r="H65" s="222">
        <f ca="1">Games!N45</f>
        <v>96</v>
      </c>
      <c r="I65" s="25"/>
      <c r="J65" s="25"/>
      <c r="L65" s="25"/>
      <c r="M65" s="25"/>
      <c r="O65" s="25"/>
      <c r="P65" s="25"/>
      <c r="R65" s="25"/>
      <c r="S65" s="25"/>
      <c r="T65" s="25"/>
      <c r="U65" s="78"/>
      <c r="V65" s="25"/>
      <c r="W65" s="25"/>
      <c r="X65" s="25"/>
      <c r="Y65" s="57"/>
      <c r="Z65" s="57"/>
      <c r="AA65" s="25"/>
      <c r="AD65" s="25"/>
      <c r="AG65" s="24"/>
      <c r="AH65" s="233">
        <f ca="1">Games!N53</f>
        <v>99</v>
      </c>
      <c r="AI65" s="238" t="e" vm="127">
        <f ca="1">_xlfn.XLOOKUP(AJ65,Teams!$C:$C,Teams!$E:$E,,0,1)</f>
        <v>#VALUE!</v>
      </c>
      <c r="AJ65" s="226" t="str">
        <f ca="1">Games!O36</f>
        <v>Creighton</v>
      </c>
      <c r="AK65" s="58">
        <f ca="1">Games!L36</f>
        <v>111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29">
        <f>IF($AU$5=TRUE,A62+1,"")</f>
        <v>16</v>
      </c>
      <c r="B66" s="28"/>
      <c r="C66" s="38"/>
      <c r="D66" s="74"/>
      <c r="E66" s="49"/>
      <c r="F66" s="227"/>
      <c r="G66" s="232"/>
      <c r="H66" s="223"/>
      <c r="I66" s="25"/>
      <c r="J66" s="25"/>
      <c r="L66" s="25"/>
      <c r="M66" s="25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  <c r="AA66" s="218"/>
      <c r="AD66" s="25"/>
      <c r="AG66" s="24"/>
      <c r="AH66" s="234"/>
      <c r="AI66" s="239"/>
      <c r="AJ66" s="227"/>
      <c r="AK66" s="55"/>
      <c r="AM66" s="39"/>
      <c r="AN66" s="28"/>
      <c r="AO66" s="242">
        <f>IF($AU$5=TRUE,AO62+1,"")</f>
        <v>32</v>
      </c>
    </row>
    <row r="67" spans="1:41" ht="13.8" customHeight="1" thickBot="1" x14ac:dyDescent="0.35">
      <c r="A67" s="229"/>
      <c r="B67" s="27">
        <v>15</v>
      </c>
      <c r="C67" s="36" t="str">
        <f>Games!I20</f>
        <v>Bryant</v>
      </c>
      <c r="D67" s="73" t="e" vm="96">
        <f>_xlfn.XLOOKUP(C67,Teams!$C:$C,Teams!$E:$E,,0,1)</f>
        <v>#VALUE!</v>
      </c>
      <c r="E67" s="48">
        <f ca="1">Games!N20</f>
        <v>106</v>
      </c>
      <c r="F67" s="25"/>
      <c r="G67" s="25"/>
      <c r="I67" s="25"/>
      <c r="J67" s="25"/>
      <c r="L67" s="25"/>
      <c r="M67" s="25"/>
      <c r="O67" s="217"/>
      <c r="P67" s="217"/>
      <c r="Q67" s="217"/>
      <c r="R67" s="217"/>
      <c r="S67" s="217"/>
      <c r="T67" s="217"/>
      <c r="U67" s="217"/>
      <c r="V67" s="217"/>
      <c r="W67" s="217"/>
      <c r="X67" s="217"/>
      <c r="Y67" s="217"/>
      <c r="Z67" s="217"/>
      <c r="AA67" s="217"/>
      <c r="AD67" s="25"/>
      <c r="AG67" s="25"/>
      <c r="AJ67" s="24"/>
      <c r="AK67" s="59">
        <f ca="1">Games!N36</f>
        <v>108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42"/>
    </row>
    <row r="68" spans="1:41" ht="15.6" x14ac:dyDescent="0.3">
      <c r="A68" s="13"/>
      <c r="B68" s="24"/>
      <c r="C68" s="42"/>
      <c r="D68" s="75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9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5"/>
      <c r="AO69" s="17"/>
    </row>
    <row r="70" spans="1:41" x14ac:dyDescent="0.25"/>
  </sheetData>
  <mergeCells count="258">
    <mergeCell ref="AC11:AC12"/>
    <mergeCell ref="T11:V19"/>
    <mergeCell ref="AI41:AI42"/>
    <mergeCell ref="AI45:AI46"/>
    <mergeCell ref="AI49:AI50"/>
    <mergeCell ref="AI53:AI54"/>
    <mergeCell ref="AI57:AI58"/>
    <mergeCell ref="AI61:AI62"/>
    <mergeCell ref="AI65:AI66"/>
    <mergeCell ref="AF63:AF64"/>
    <mergeCell ref="AF55:AF56"/>
    <mergeCell ref="AF47:AF4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AH25:AH26"/>
    <mergeCell ref="AH33:AH34"/>
    <mergeCell ref="AG43:AG44"/>
    <mergeCell ref="AF39:AF40"/>
    <mergeCell ref="AF31:AF32"/>
    <mergeCell ref="AF23:AF24"/>
    <mergeCell ref="AF15:AF16"/>
    <mergeCell ref="AF7:AF8"/>
    <mergeCell ref="G9:G10"/>
    <mergeCell ref="G5:G6"/>
    <mergeCell ref="J7:J8"/>
    <mergeCell ref="J15:J16"/>
    <mergeCell ref="J23:J24"/>
    <mergeCell ref="J31:J32"/>
    <mergeCell ref="J39:J40"/>
    <mergeCell ref="J47:J48"/>
    <mergeCell ref="J55:J56"/>
    <mergeCell ref="H33:H34"/>
    <mergeCell ref="M59:M60"/>
    <mergeCell ref="J63:J64"/>
    <mergeCell ref="G65:G66"/>
    <mergeCell ref="G61:G62"/>
    <mergeCell ref="G57:G58"/>
    <mergeCell ref="G53:G54"/>
    <mergeCell ref="G49:G50"/>
    <mergeCell ref="G45:G46"/>
    <mergeCell ref="G41:G42"/>
    <mergeCell ref="H41:H42"/>
    <mergeCell ref="M43:M44"/>
    <mergeCell ref="AQ3:AQ11"/>
    <mergeCell ref="AQ14:AQ19"/>
    <mergeCell ref="AQ22:AQ27"/>
    <mergeCell ref="AQ34:AQ37"/>
    <mergeCell ref="Y51:Y52"/>
    <mergeCell ref="AB59:AB60"/>
    <mergeCell ref="Q51:Q52"/>
    <mergeCell ref="AH45:AH46"/>
    <mergeCell ref="AE47:AE48"/>
    <mergeCell ref="AG59:AG60"/>
    <mergeCell ref="AG55:AG56"/>
    <mergeCell ref="AH57:AH58"/>
    <mergeCell ref="AO50:AO51"/>
    <mergeCell ref="AO54:AO55"/>
    <mergeCell ref="AO58:AO59"/>
    <mergeCell ref="AO38:AO39"/>
    <mergeCell ref="AO42:AO43"/>
    <mergeCell ref="AO46:AO47"/>
    <mergeCell ref="AJ31:AJ32"/>
    <mergeCell ref="AJ41:AJ42"/>
    <mergeCell ref="AJ39:AJ40"/>
    <mergeCell ref="AH41:AH42"/>
    <mergeCell ref="AH37:AH38"/>
    <mergeCell ref="AJ25:AJ26"/>
    <mergeCell ref="N59:N60"/>
    <mergeCell ref="AD27:AD28"/>
    <mergeCell ref="AD59:AD60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U27:U28"/>
    <mergeCell ref="P51:P52"/>
    <mergeCell ref="Z51:Z52"/>
    <mergeCell ref="V39:X40"/>
    <mergeCell ref="AC59:AC60"/>
    <mergeCell ref="AC43:AC44"/>
    <mergeCell ref="AC27:AC28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A62:A63"/>
    <mergeCell ref="A50:A51"/>
    <mergeCell ref="A54:A55"/>
    <mergeCell ref="A6:A7"/>
    <mergeCell ref="A10:A11"/>
    <mergeCell ref="A14:A15"/>
    <mergeCell ref="A18:A19"/>
    <mergeCell ref="A21:A22"/>
    <mergeCell ref="A66:A67"/>
    <mergeCell ref="AO6:AO7"/>
    <mergeCell ref="AO10:AO11"/>
    <mergeCell ref="AO14:AO15"/>
    <mergeCell ref="AO18:AO19"/>
    <mergeCell ref="AO22:AO23"/>
    <mergeCell ref="A26:A27"/>
    <mergeCell ref="A30:A31"/>
    <mergeCell ref="O19:O20"/>
    <mergeCell ref="N27:N28"/>
    <mergeCell ref="F29:F30"/>
    <mergeCell ref="H29:H30"/>
    <mergeCell ref="F25:F26"/>
    <mergeCell ref="H25:H26"/>
    <mergeCell ref="L27:L28"/>
    <mergeCell ref="AE63:AE64"/>
    <mergeCell ref="AG63:AG64"/>
    <mergeCell ref="AJ55:AJ56"/>
    <mergeCell ref="AJ63:AJ64"/>
    <mergeCell ref="AJ57:AJ58"/>
    <mergeCell ref="AH65:AH66"/>
    <mergeCell ref="AJ65:AJ66"/>
    <mergeCell ref="AH61:AH62"/>
    <mergeCell ref="A34:A35"/>
    <mergeCell ref="S2:W2"/>
    <mergeCell ref="AB11:AB12"/>
    <mergeCell ref="T39:T40"/>
    <mergeCell ref="AB27:AB28"/>
    <mergeCell ref="AA19:AA20"/>
    <mergeCell ref="S32:W33"/>
    <mergeCell ref="Y19:Y20"/>
    <mergeCell ref="S31:W31"/>
    <mergeCell ref="AJ5:AJ6"/>
    <mergeCell ref="AH5:AH6"/>
    <mergeCell ref="AJ9:AJ10"/>
    <mergeCell ref="AH9:AH10"/>
    <mergeCell ref="AJ13:AJ14"/>
    <mergeCell ref="AJ15:AJ16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G39:AG40"/>
    <mergeCell ref="F65:F66"/>
    <mergeCell ref="H65:H66"/>
    <mergeCell ref="L59:L60"/>
    <mergeCell ref="I63:I64"/>
    <mergeCell ref="K63:K64"/>
    <mergeCell ref="I59:I60"/>
    <mergeCell ref="F63:F64"/>
    <mergeCell ref="F61:F62"/>
    <mergeCell ref="H61:H62"/>
    <mergeCell ref="F57:F58"/>
    <mergeCell ref="H57:H58"/>
    <mergeCell ref="H45:H46"/>
    <mergeCell ref="I43:I44"/>
    <mergeCell ref="I47:I48"/>
    <mergeCell ref="F53:F54"/>
    <mergeCell ref="H53:H54"/>
    <mergeCell ref="I55:I56"/>
    <mergeCell ref="F49:F50"/>
    <mergeCell ref="H49:H50"/>
    <mergeCell ref="F45:F46"/>
    <mergeCell ref="K19:L20"/>
    <mergeCell ref="F37:F38"/>
    <mergeCell ref="H37:H38"/>
    <mergeCell ref="I11:I12"/>
    <mergeCell ref="K55:K56"/>
    <mergeCell ref="K51:L52"/>
    <mergeCell ref="I23:I24"/>
    <mergeCell ref="I39:I40"/>
    <mergeCell ref="I31:I32"/>
    <mergeCell ref="I27:I28"/>
    <mergeCell ref="K47:K48"/>
    <mergeCell ref="L43:L44"/>
    <mergeCell ref="K39:K40"/>
    <mergeCell ref="M11:M12"/>
    <mergeCell ref="G37:G38"/>
    <mergeCell ref="G33:G34"/>
    <mergeCell ref="G29:G30"/>
    <mergeCell ref="G25:G26"/>
    <mergeCell ref="G21:G22"/>
    <mergeCell ref="G17:G18"/>
    <mergeCell ref="G13:G14"/>
    <mergeCell ref="AG7:AG8"/>
    <mergeCell ref="AE7:AE8"/>
    <mergeCell ref="AE15:AE16"/>
    <mergeCell ref="V27:V28"/>
    <mergeCell ref="AG11:AG12"/>
    <mergeCell ref="AD11:AD12"/>
    <mergeCell ref="AD19:AE20"/>
    <mergeCell ref="K23:K24"/>
    <mergeCell ref="K31:K32"/>
    <mergeCell ref="Q19:Q20"/>
    <mergeCell ref="AG23:AG24"/>
    <mergeCell ref="R27:T28"/>
    <mergeCell ref="AE23:AE24"/>
    <mergeCell ref="M27:M28"/>
    <mergeCell ref="P19:P20"/>
    <mergeCell ref="Z19:Z20"/>
    <mergeCell ref="O67:AA67"/>
    <mergeCell ref="O66:AA6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F33:F34"/>
    <mergeCell ref="N11:N12"/>
    <mergeCell ref="F21:F22"/>
    <mergeCell ref="H21:H22"/>
    <mergeCell ref="H13:H14"/>
    <mergeCell ref="F13:F14"/>
    <mergeCell ref="H17:H18"/>
    <mergeCell ref="F17:F1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2025-12-21T14:59:01Z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