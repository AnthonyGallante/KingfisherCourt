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F5F766CE-0604-4BA9-9BC8-90192C10F75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Team_Links" sheetId="6" r:id="rId1"/>
    <sheet name="2024 Roster (Wikipedia)" sheetId="4" r:id="rId2"/>
    <sheet name="Teams" sheetId="3" r:id="rId3"/>
    <sheet name="Games" sheetId="2" r:id="rId4"/>
    <sheet name="Bracket" sheetId="1" r:id="rId5"/>
  </sheets>
  <externalReferences>
    <externalReference r:id="rId6"/>
  </externalReferences>
  <definedNames>
    <definedName name="All_Teams">OFFSET(Games!#REF!,0,0,COUNTA(Games!#REF!)-1,1)</definedName>
    <definedName name="ExternalData_1" localSheetId="1" hidden="1">'2024 Roster (Wikipedia)'!$A$2:$G$18</definedName>
    <definedName name="ExternalData_1" localSheetId="0" hidden="1">Team_Links!$A$1:$D$366</definedName>
    <definedName name="ExternalData_2" localSheetId="1" hidden="1">'2024 Roster (Wikipedia)'!$I$2:$O$18</definedName>
    <definedName name="ExternalData_3" localSheetId="1" hidden="1">'2024 Roster (Wikipedia)'!$Q$2:$W$18</definedName>
    <definedName name="ExternalData_4" localSheetId="1" hidden="1">'2024 Roster (Wikipedia)'!$Y$2:$AE$18</definedName>
    <definedName name="Method">Games!#REF!</definedName>
    <definedName name="_xlnm.Print_Area" localSheetId="4">Bracket!$B$1:$AN$67</definedName>
    <definedName name="_xlnm.Print_Area" localSheetId="3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D55" i="3" s="1"/>
  <c r="E55" i="3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D46" i="3" s="1"/>
  <c r="E46" i="3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D52" i="3"/>
  <c r="E52" i="3" s="1"/>
  <c r="D53" i="3"/>
  <c r="E53" i="3" s="1"/>
  <c r="D60" i="3"/>
  <c r="E60" i="3" s="1"/>
  <c r="D61" i="3"/>
  <c r="E61" i="3" s="1"/>
  <c r="D62" i="3"/>
  <c r="E62" i="3" s="1"/>
  <c r="D64" i="3"/>
  <c r="E64" i="3" s="1"/>
  <c r="D65" i="3"/>
  <c r="E65" i="3" s="1"/>
  <c r="D50" i="3"/>
  <c r="E50" i="3" s="1"/>
  <c r="I13" i="2"/>
  <c r="G14" i="2"/>
  <c r="I14" i="2"/>
  <c r="G15" i="2"/>
  <c r="I15" i="2"/>
  <c r="G16" i="2"/>
  <c r="I16" i="2"/>
  <c r="G17" i="2"/>
  <c r="I17" i="2"/>
  <c r="G18" i="2"/>
  <c r="G13" i="2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56" i="3" l="1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K13" i="2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K12" i="2" s="1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K27" i="2" s="1"/>
  <c r="I27" i="2"/>
  <c r="G28" i="2"/>
  <c r="I28" i="2"/>
  <c r="G29" i="2"/>
  <c r="K29" i="2" s="1"/>
  <c r="I29" i="2"/>
  <c r="G30" i="2"/>
  <c r="K30" i="2" s="1"/>
  <c r="I30" i="2"/>
  <c r="M30" i="2" s="1"/>
  <c r="G31" i="2"/>
  <c r="I31" i="2"/>
  <c r="G32" i="2"/>
  <c r="I32" i="2"/>
  <c r="G33" i="2"/>
  <c r="I33" i="2"/>
  <c r="G34" i="2"/>
  <c r="K34" i="2" s="1"/>
  <c r="I34" i="2"/>
  <c r="M34" i="2" s="1"/>
  <c r="G35" i="2"/>
  <c r="K35" i="2" s="1"/>
  <c r="I35" i="2"/>
  <c r="G36" i="2"/>
  <c r="K36" i="2" s="1"/>
  <c r="I36" i="2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M18" i="2" l="1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<sst xmlns="http://schemas.openxmlformats.org/spreadsheetml/2006/main" count="1736" uniqueCount="1206">
  <si>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</si>
  <si>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</si>
  <si>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</si>
  <si>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</si>
  <si>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</si>
  <si>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</si>
  <si>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</si>
  <si>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</si>
  <si>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</si>
  <si>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</si>
  <si>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</si>
  <si>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</si>
  <si>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</si>
  <si>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</si>
  <si>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</si>
  <si>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</si>
  <si>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</si>
  <si>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</si>
  <si>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</si>
  <si>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</si>
  <si>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</si>
  <si>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</si>
  <si>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</si>
  <si>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</si>
  <si>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</si>
  <si>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</si>
  <si>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</si>
  <si>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</si>
  <si>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</si>
  <si>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</si>
  <si>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</si>
  <si>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</si>
  <si>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</si>
  <si>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</si>
  <si>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</si>
  <si>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</si>
  <si>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</si>
  <si>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</si>
  <si>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</si>
  <si>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</si>
  <si>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</si>
  <si>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</si>
  <si>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</si>
  <si>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</si>
  <si>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</si>
  <si>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</si>
  <si>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</si>
  <si>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</si>
  <si>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</si>
  <si>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</si>
  <si>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</si>
  <si>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</si>
  <si>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</si>
  <si>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</si>
  <si>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</si>
  <si>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</si>
  <si>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</si>
  <si>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</si>
  <si>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</si>
  <si>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</si>
  <si>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</si>
  <si>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</si>
  <si>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</si>
  <si>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</si>
  <si>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</si>
  <si>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</si>
  <si>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</si>
  <si>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</si>
  <si>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</si>
  <si>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</si>
  <si>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</si>
  <si>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</si>
  <si>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</si>
  <si>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</si>
  <si>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</si>
  <si>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</si>
  <si>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</si>
  <si>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</si>
  <si>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</si>
  <si>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</si>
  <si>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</si>
  <si>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</si>
  <si>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</si>
  <si>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</si>
  <si>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</si>
  <si>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</si>
  <si>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</si>
  <si>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</si>
  <si>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</si>
  <si>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</si>
  <si>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</si>
  <si>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</si>
  <si>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</si>
  <si>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</si>
  <si>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</si>
  <si>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</si>
  <si>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ACC</t>
  </si>
  <si>
    <t>31–3</t>
  </si>
  <si>
    <t>Automatic</t>
  </si>
  <si>
    <t>SEC</t>
  </si>
  <si>
    <t>25–8</t>
  </si>
  <si>
    <t>At Large</t>
  </si>
  <si>
    <t>Wisconsin</t>
  </si>
  <si>
    <t>Big Ten</t>
  </si>
  <si>
    <t>26–9</t>
  </si>
  <si>
    <t>Big 12</t>
  </si>
  <si>
    <t>22–12</t>
  </si>
  <si>
    <t>Oregon</t>
  </si>
  <si>
    <t>24–9</t>
  </si>
  <si>
    <t>Saint Mary's</t>
  </si>
  <si>
    <t>WCC</t>
  </si>
  <si>
    <t>28–5</t>
  </si>
  <si>
    <t>Mississippi State</t>
  </si>
  <si>
    <t>21–12</t>
  </si>
  <si>
    <t>19–14</t>
  </si>
  <si>
    <t>Vanderbilt</t>
  </si>
  <si>
    <t>20–12</t>
  </si>
  <si>
    <t>Atlantic 10</t>
  </si>
  <si>
    <t>28–6</t>
  </si>
  <si>
    <t>Liberty</t>
  </si>
  <si>
    <t>C-USA</t>
  </si>
  <si>
    <t>MAC</t>
  </si>
  <si>
    <t>Montana</t>
  </si>
  <si>
    <t>Big Sky</t>
  </si>
  <si>
    <t>25–9</t>
  </si>
  <si>
    <t>Robert Morris</t>
  </si>
  <si>
    <t>Horizon</t>
  </si>
  <si>
    <t>26–8</t>
  </si>
  <si>
    <t>School</t>
  </si>
  <si>
    <t>Conference</t>
  </si>
  <si>
    <t>Record</t>
  </si>
  <si>
    <t>Overall Seed</t>
  </si>
  <si>
    <t>Berth type</t>
  </si>
  <si>
    <t>Last bid</t>
  </si>
  <si>
    <t>Mount St. Mary's</t>
  </si>
  <si>
    <t>MAAC</t>
  </si>
  <si>
    <t>Florida</t>
  </si>
  <si>
    <t>30–4</t>
  </si>
  <si>
    <t>2024</t>
  </si>
  <si>
    <t>Big East</t>
  </si>
  <si>
    <t>2019</t>
  </si>
  <si>
    <t>Texas Tech</t>
  </si>
  <si>
    <t>Maryland</t>
  </si>
  <si>
    <t>2023</t>
  </si>
  <si>
    <t>Memphis</t>
  </si>
  <si>
    <t>29–5</t>
  </si>
  <si>
    <t>Missouri</t>
  </si>
  <si>
    <t>22–11</t>
  </si>
  <si>
    <t>Kansas</t>
  </si>
  <si>
    <t>23–10</t>
  </si>
  <si>
    <t>Oklahoma</t>
  </si>
  <si>
    <t>20–13</t>
  </si>
  <si>
    <t>2021</t>
  </si>
  <si>
    <t>Drake</t>
  </si>
  <si>
    <t>Missouri Valley</t>
  </si>
  <si>
    <t>30–3</t>
  </si>
  <si>
    <t>Mountain West</t>
  </si>
  <si>
    <t>Grand Canyon</t>
  </si>
  <si>
    <t>WAC</t>
  </si>
  <si>
    <t>26–7</t>
  </si>
  <si>
    <t>UNC Wilmington</t>
  </si>
  <si>
    <t>CAA</t>
  </si>
  <si>
    <t>27–7</t>
  </si>
  <si>
    <t>2017</t>
  </si>
  <si>
    <t>Omaha</t>
  </si>
  <si>
    <t>Summit</t>
  </si>
  <si>
    <t>Never</t>
  </si>
  <si>
    <t>Norfolk State</t>
  </si>
  <si>
    <t>MEAC</t>
  </si>
  <si>
    <t>24–10</t>
  </si>
  <si>
    <t>2022</t>
  </si>
  <si>
    <t>Michigan State</t>
  </si>
  <si>
    <t>27–6</t>
  </si>
  <si>
    <t>Iowa State</t>
  </si>
  <si>
    <t>Texas A&amp;M</t>
  </si>
  <si>
    <t>22–10</t>
  </si>
  <si>
    <t>Michigan</t>
  </si>
  <si>
    <t>Marquette</t>
  </si>
  <si>
    <t>Louisville</t>
  </si>
  <si>
    <t>New Mexico</t>
  </si>
  <si>
    <t>San Diego State</t>
  </si>
  <si>
    <t>North Carolina</t>
  </si>
  <si>
    <t>22–13</t>
  </si>
  <si>
    <t>UC San Diego</t>
  </si>
  <si>
    <t>Big West</t>
  </si>
  <si>
    <t>Yale</t>
  </si>
  <si>
    <t>Ivy</t>
  </si>
  <si>
    <t>22–7</t>
  </si>
  <si>
    <t>Lipscomb</t>
  </si>
  <si>
    <t>ASUN</t>
  </si>
  <si>
    <t>2018</t>
  </si>
  <si>
    <t>America East</t>
  </si>
  <si>
    <t>23–11</t>
  </si>
  <si>
    <t>SWAC</t>
  </si>
  <si>
    <t>19–15</t>
  </si>
  <si>
    <t>2011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</si>
  <si>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</si>
  <si>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</si>
  <si>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</si>
  <si>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</si>
  <si>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</si>
  <si>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</si>
  <si>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</si>
  <si>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</si>
  <si>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2015</t>
  </si>
  <si>
    <t>Utah State</t>
  </si>
  <si>
    <t>Texas</t>
  </si>
  <si>
    <t>Xavier</t>
  </si>
  <si>
    <t>McNeese</t>
  </si>
  <si>
    <t>Southland</t>
  </si>
  <si>
    <t>High Point</t>
  </si>
  <si>
    <t>Big South</t>
  </si>
  <si>
    <t>Troy</t>
  </si>
  <si>
    <t>Sun Belt</t>
  </si>
  <si>
    <t>Wofford</t>
  </si>
  <si>
    <t>Southern</t>
  </si>
  <si>
    <t>SIU Edwardsville</t>
  </si>
  <si>
    <t>Ohio Valley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</si>
  <si>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</si>
  <si>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</si>
  <si>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</si>
  <si>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</si>
  <si>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</si>
  <si>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</si>
  <si>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</si>
  <si>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</si>
  <si>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</si>
  <si>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</si>
  <si>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</si>
  <si>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</si>
  <si>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</si>
  <si>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</si>
  <si>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</si>
  <si>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</si>
  <si>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</si>
  <si>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</si>
  <si>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</si>
  <si>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</si>
  <si>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</si>
  <si>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</si>
  <si>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</si>
  <si>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</si>
  <si>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</si>
  <si>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</si>
  <si>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</si>
  <si>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</si>
  <si>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</si>
  <si>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</si>
  <si>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</si>
  <si>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</si>
  <si>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</si>
  <si>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</si>
  <si>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</si>
  <si>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</si>
  <si>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</si>
  <si>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</si>
  <si>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</si>
  <si>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</si>
  <si>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</si>
  <si>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</si>
  <si>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</si>
  <si>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</si>
  <si>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</si>
  <si>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</si>
  <si>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</si>
  <si>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</si>
  <si>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</si>
  <si>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</si>
  <si>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</si>
  <si>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</si>
  <si>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</si>
  <si>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</si>
  <si>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</si>
  <si>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</si>
  <si>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</si>
  <si>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</si>
  <si>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</si>
  <si>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</si>
  <si>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</si>
  <si>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</si>
  <si>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</si>
  <si>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</si>
  <si>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</si>
  <si>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</si>
  <si>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</si>
  <si>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</si>
  <si>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</si>
  <si>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</si>
  <si>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</si>
  <si>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</si>
  <si>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</si>
  <si>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</si>
  <si>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</si>
  <si>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</si>
  <si>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</si>
  <si>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</si>
  <si>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</si>
  <si>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</si>
  <si>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</si>
  <si>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</si>
  <si>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</si>
  <si>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</si>
  <si>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</si>
  <si>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</si>
  <si>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</si>
  <si>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</si>
  <si>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</si>
  <si>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</si>
  <si>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</si>
  <si>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</si>
  <si>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</si>
  <si>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</si>
  <si>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</si>
  <si>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</si>
  <si>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</si>
  <si>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</si>
  <si>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</si>
  <si>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</si>
  <si>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</si>
  <si>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</si>
  <si>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</si>
  <si>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</si>
  <si>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</si>
  <si>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</si>
  <si>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</si>
  <si>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</si>
  <si>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</si>
  <si>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</si>
  <si>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</si>
  <si>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</si>
  <si>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</si>
  <si>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</si>
  <si>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</si>
  <si>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</si>
  <si>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</si>
  <si>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</si>
  <si>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</si>
  <si>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</si>
  <si>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</si>
  <si>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</si>
  <si>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</si>
  <si>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</si>
  <si>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</si>
  <si>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</si>
  <si>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</si>
  <si>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</si>
  <si>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</si>
  <si>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</si>
  <si>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</si>
  <si>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</si>
  <si>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</si>
  <si>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</si>
  <si>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</si>
  <si>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</si>
  <si>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</si>
  <si>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</si>
  <si>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</si>
  <si>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</si>
  <si>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</si>
  <si>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</si>
  <si>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</si>
  <si>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</si>
  <si>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</si>
  <si>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</si>
  <si>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</si>
  <si>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</si>
  <si>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</si>
  <si>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</si>
  <si>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</si>
  <si>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</si>
  <si>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</si>
  <si>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</si>
  <si>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</si>
  <si>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</si>
  <si>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</si>
  <si>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</si>
  <si>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</si>
  <si>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</si>
  <si>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</si>
  <si>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</si>
  <si>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</si>
  <si>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</si>
  <si>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</si>
  <si>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</si>
  <si>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</si>
  <si>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</si>
  <si>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</si>
  <si>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</si>
  <si>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</si>
  <si>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</si>
  <si>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</si>
  <si>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</si>
  <si>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</si>
  <si>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</si>
  <si>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</si>
  <si>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</si>
  <si>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</si>
  <si>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</si>
  <si>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</si>
  <si>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</si>
  <si>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</si>
  <si>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</si>
  <si>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</si>
  <si>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</si>
  <si>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</si>
  <si>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</si>
  <si>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</si>
  <si>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</si>
  <si>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</si>
  <si>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</si>
  <si>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</si>
  <si>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</si>
  <si>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</si>
  <si>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</si>
  <si>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</si>
  <si>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</si>
  <si>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</si>
  <si>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</si>
  <si>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</si>
  <si>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</si>
  <si>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</si>
  <si>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</si>
  <si>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</si>
  <si>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</si>
  <si>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</si>
  <si>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</si>
  <si>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</si>
  <si>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</si>
  <si>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</si>
  <si>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</si>
  <si>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</si>
  <si>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</si>
  <si>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</si>
  <si>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</si>
  <si>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</si>
  <si>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</si>
  <si>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</si>
  <si>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</si>
  <si>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</si>
  <si>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</si>
  <si>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</si>
  <si>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</si>
  <si>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</si>
  <si>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</si>
  <si>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</si>
  <si>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</si>
  <si>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</si>
  <si>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</si>
  <si>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</si>
  <si>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</si>
  <si>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</si>
  <si>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</si>
  <si>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</si>
  <si>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</si>
  <si>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</si>
  <si>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</si>
  <si>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</si>
  <si>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</si>
  <si>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</si>
  <si>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</si>
  <si>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</si>
  <si>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</si>
  <si>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</si>
  <si>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</si>
  <si>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</si>
  <si>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</si>
  <si>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</si>
  <si>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</si>
  <si>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</si>
  <si>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</si>
  <si>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</si>
  <si>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</si>
  <si>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</si>
  <si>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</si>
  <si>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</si>
  <si>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</si>
  <si>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</si>
  <si>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</si>
  <si>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</si>
  <si>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</si>
  <si>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</si>
  <si>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</si>
  <si>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</si>
  <si>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</si>
  <si>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</si>
  <si>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</si>
  <si>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</si>
  <si>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</si>
  <si>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</si>
  <si>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</si>
  <si>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</si>
  <si>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</si>
  <si>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</si>
  <si>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</si>
  <si>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</si>
  <si>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</si>
  <si>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</si>
  <si>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</si>
  <si>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</si>
  <si>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</si>
  <si>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</si>
  <si>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</si>
  <si>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</si>
  <si>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</si>
  <si>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</si>
  <si>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</si>
  <si>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</si>
  <si>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</si>
  <si>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</si>
  <si>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</si>
  <si>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</si>
  <si>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</si>
  <si>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</si>
  <si>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</si>
  <si>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</si>
  <si>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</si>
  <si>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</si>
  <si>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</si>
  <si>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</si>
  <si>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</si>
  <si>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</si>
  <si>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</si>
  <si>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</si>
  <si>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</si>
  <si>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</si>
  <si>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</si>
  <si>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</si>
  <si>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</si>
  <si>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</si>
  <si>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</si>
  <si>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</si>
  <si>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</si>
  <si>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</si>
  <si>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</si>
  <si>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</si>
  <si>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</si>
  <si>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</si>
  <si>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</si>
  <si>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</si>
  <si>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</si>
  <si>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</si>
  <si>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</si>
  <si>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</si>
  <si>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</si>
  <si>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</si>
  <si>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</si>
  <si>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</si>
  <si>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</si>
  <si>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</si>
  <si>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</si>
  <si>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</si>
  <si>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</si>
  <si>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</si>
  <si>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</si>
  <si>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</si>
  <si>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</si>
  <si>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</si>
  <si>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</si>
  <si>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</si>
  <si>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</si>
  <si>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</si>
  <si>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</si>
  <si>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</si>
  <si>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</si>
  <si>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</si>
  <si>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</si>
  <si>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</si>
  <si>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</si>
  <si>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</si>
  <si>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</si>
  <si>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</si>
  <si>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</si>
  <si>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</si>
  <si>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</si>
  <si>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</si>
  <si>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</si>
  <si>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</si>
  <si>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</si>
  <si>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</si>
  <si>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</si>
  <si>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</si>
  <si>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</si>
  <si>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</si>
  <si>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</si>
  <si>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</si>
  <si>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</si>
  <si>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</si>
  <si>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</si>
  <si>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</si>
  <si>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</si>
  <si>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</si>
  <si>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</si>
  <si>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</si>
  <si>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</si>
  <si>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</si>
  <si>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</si>
  <si>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</si>
  <si>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</si>
  <si>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</si>
  <si>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</si>
  <si>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</si>
  <si>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</si>
  <si>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</si>
  <si>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</si>
  <si>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</si>
  <si>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</si>
  <si>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</si>
  <si>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</si>
  <si>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</si>
  <si>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</si>
  <si>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</si>
  <si>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</si>
  <si>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</si>
  <si>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</si>
  <si>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</si>
  <si>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</si>
  <si>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</si>
  <si>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</si>
  <si>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</si>
  <si>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</si>
  <si>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</si>
  <si>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</si>
  <si>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</si>
  <si>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</si>
  <si>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</si>
  <si>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</si>
  <si>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</si>
  <si>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</si>
  <si>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</si>
  <si>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</si>
  <si>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</si>
  <si>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</si>
  <si>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</si>
  <si>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</si>
  <si>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</si>
  <si>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</si>
  <si>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</si>
  <si>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</si>
  <si>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</si>
  <si>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</si>
  <si>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</si>
  <si>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</si>
  <si>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</si>
  <si>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</si>
  <si>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</si>
  <si>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</si>
  <si>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</si>
  <si>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</si>
  <si>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</si>
  <si>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</si>
  <si>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</si>
  <si>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</si>
  <si>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</si>
  <si>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</si>
  <si>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</si>
  <si>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</si>
  <si>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</si>
  <si>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</si>
  <si>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</si>
  <si>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</si>
  <si>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</si>
  <si>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</si>
  <si>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</si>
  <si>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</si>
  <si>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</si>
  <si>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</si>
  <si>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</si>
  <si>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</si>
  <si>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</si>
  <si>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</si>
  <si>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</si>
  <si>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</si>
  <si>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</si>
  <si>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</si>
  <si>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</si>
  <si>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</si>
  <si>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</si>
  <si>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</si>
  <si>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</si>
  <si>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</si>
  <si>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</si>
  <si>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</si>
  <si>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</si>
  <si>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</si>
  <si>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</si>
  <si>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</si>
  <si>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</si>
  <si>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</si>
  <si>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</si>
  <si>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</si>
  <si>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</si>
  <si>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</si>
  <si>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</si>
  <si>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</si>
  <si>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</si>
  <si>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</si>
  <si>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</si>
  <si>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</si>
  <si>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</si>
  <si>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</si>
  <si>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</si>
  <si>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</si>
  <si>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</si>
  <si>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</si>
  <si>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</si>
  <si>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</si>
  <si>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</si>
  <si>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</si>
  <si>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</si>
  <si>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</si>
  <si>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</si>
  <si>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</si>
  <si>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</si>
  <si>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</si>
  <si>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</si>
  <si>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</si>
  <si>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</si>
  <si>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</si>
  <si>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</si>
  <si>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</si>
  <si>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</si>
  <si>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</si>
  <si>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</si>
  <si>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</si>
  <si>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</si>
  <si>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</si>
  <si>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</si>
  <si>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</si>
  <si>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</si>
  <si>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</si>
  <si>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</si>
  <si>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</si>
  <si>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</si>
  <si>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</si>
  <si>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</si>
  <si>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</si>
  <si>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</si>
  <si>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</si>
  <si>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</si>
  <si>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</si>
  <si>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</si>
  <si>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</si>
  <si>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</si>
  <si>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</si>
  <si>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</si>
  <si>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</si>
  <si>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</si>
  <si>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</si>
  <si>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</si>
  <si>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</si>
  <si>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</si>
  <si>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</si>
  <si>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</si>
  <si>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</si>
  <si>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</si>
  <si>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</si>
  <si>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</si>
  <si>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</si>
  <si>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</si>
  <si>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</si>
  <si>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</si>
  <si>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</si>
  <si>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</si>
  <si>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</si>
  <si>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</si>
  <si>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</si>
  <si>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</si>
  <si>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</si>
  <si>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</si>
  <si>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</si>
  <si>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</si>
  <si>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</si>
  <si>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</si>
  <si>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</si>
  <si>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</si>
  <si>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</si>
  <si>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</si>
  <si>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</si>
  <si>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</si>
  <si>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</si>
  <si>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</si>
  <si>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</si>
  <si>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</si>
  <si>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</si>
  <si>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</si>
  <si>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</si>
  <si>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</si>
  <si>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</si>
  <si>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</si>
  <si>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</si>
  <si>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</si>
  <si>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</si>
  <si>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</si>
  <si>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</si>
  <si>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</si>
  <si>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</si>
  <si>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</si>
  <si>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</si>
  <si>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</si>
  <si>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</si>
  <si>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</si>
  <si>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</si>
  <si>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</si>
  <si>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</si>
  <si>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</si>
  <si>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</si>
  <si>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</si>
  <si>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</si>
  <si>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</si>
  <si>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</si>
  <si>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</si>
  <si>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</si>
  <si>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</si>
  <si>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</si>
  <si>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</si>
  <si>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</si>
  <si>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</si>
  <si>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</si>
  <si>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</si>
  <si>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</si>
  <si>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</si>
  <si>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</si>
  <si>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</si>
  <si>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</si>
  <si>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</si>
  <si>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</si>
  <si>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</si>
  <si>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</si>
  <si>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</si>
  <si>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</si>
  <si>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</si>
  <si>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</si>
  <si>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</si>
  <si>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</si>
  <si>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</si>
  <si>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</si>
  <si>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</si>
  <si>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</si>
  <si>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</si>
  <si>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</si>
  <si>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</si>
  <si>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</si>
  <si>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</si>
  <si>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</si>
  <si>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</si>
  <si>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</si>
  <si>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</si>
  <si>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</si>
  <si>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</si>
  <si>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</si>
  <si>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</si>
  <si>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</si>
  <si>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</si>
  <si>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</si>
  <si>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</si>
  <si>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</si>
  <si>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</si>
  <si>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</si>
  <si>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</si>
  <si>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</si>
  <si>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</si>
  <si>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</si>
  <si>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</si>
  <si>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</si>
  <si>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</si>
  <si>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</si>
  <si>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</si>
  <si>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</si>
  <si>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</si>
  <si>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</si>
  <si>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</si>
  <si>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</si>
  <si>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</si>
  <si>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</si>
  <si>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</si>
  <si>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</si>
  <si>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</si>
  <si>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</si>
  <si>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</si>
  <si>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</si>
  <si>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</si>
  <si>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</si>
  <si>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</si>
  <si>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</si>
  <si>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</si>
  <si>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</si>
  <si>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</si>
  <si>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</si>
  <si>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</si>
  <si>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</si>
  <si>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</si>
  <si>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</si>
  <si>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</si>
  <si>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</si>
  <si>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</si>
  <si>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</si>
  <si>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</si>
  <si>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</si>
  <si>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</si>
  <si>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</si>
  <si>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</si>
  <si>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</si>
  <si>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</si>
  <si>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</si>
  <si>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</si>
  <si>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</si>
  <si>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</si>
  <si>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</si>
  <si>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</si>
  <si>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</si>
  <si>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</si>
  <si>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</si>
  <si>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</si>
  <si>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</si>
  <si>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</si>
  <si>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</si>
  <si>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</si>
  <si>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</si>
  <si>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</si>
  <si>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</si>
  <si>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</si>
  <si>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</si>
  <si>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</si>
  <si>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</si>
  <si>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</si>
  <si>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</si>
  <si>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</si>
  <si>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</si>
  <si>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</si>
  <si>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</si>
  <si>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</si>
  <si>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</si>
  <si>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</si>
  <si>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</si>
  <si>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</si>
  <si>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</si>
  <si>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</si>
  <si>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</si>
  <si>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</si>
  <si>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</si>
  <si>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</si>
  <si>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</si>
  <si>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</si>
  <si>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</si>
  <si>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</si>
  <si>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</si>
  <si>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</si>
  <si>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</si>
  <si>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</si>
  <si>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</si>
  <si>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</si>
  <si>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</si>
  <si>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</si>
  <si>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</si>
  <si>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</si>
  <si>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</si>
  <si>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</si>
  <si>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</si>
  <si>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</si>
  <si>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</si>
  <si>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</si>
  <si>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</si>
  <si>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</si>
  <si>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</si>
  <si>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</si>
  <si>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</si>
  <si>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</si>
  <si>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</si>
  <si>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</si>
  <si>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</si>
  <si>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</si>
  <si>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</si>
  <si>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</si>
  <si>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</si>
  <si>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</si>
  <si>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</si>
  <si>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</si>
  <si>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</si>
  <si>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</si>
  <si>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</si>
  <si>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</si>
  <si>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</si>
  <si>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</si>
  <si>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</si>
  <si>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</si>
  <si>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</si>
  <si>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</si>
  <si>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</si>
  <si>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</si>
  <si>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</si>
  <si>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</si>
  <si>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</si>
  <si>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</si>
  <si>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</si>
  <si>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</si>
  <si>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</si>
  <si>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</si>
  <si>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</si>
  <si>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</si>
  <si>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</si>
  <si>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</si>
  <si>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</si>
  <si>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</si>
  <si>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</si>
  <si>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</si>
  <si>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</si>
  <si>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</si>
  <si>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</si>
  <si>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</si>
  <si>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</si>
  <si>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</si>
  <si>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</si>
  <si>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</si>
  <si>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</si>
  <si>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</si>
  <si>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</si>
  <si>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</si>
  <si>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</si>
  <si>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</si>
  <si>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</si>
  <si>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</si>
  <si>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</si>
  <si>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</si>
  <si>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</si>
  <si>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</si>
  <si>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</si>
  <si>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</si>
  <si>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</si>
  <si>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</si>
  <si>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</si>
  <si>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</si>
  <si>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</si>
  <si>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</si>
  <si>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</si>
  <si>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</si>
  <si>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</si>
  <si>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</si>
  <si>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</si>
  <si>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</si>
  <si>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</si>
  <si>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</si>
  <si>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</si>
  <si>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</si>
  <si>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</si>
  <si>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</si>
  <si>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</si>
  <si>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</si>
  <si>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</si>
  <si>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</si>
  <si>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</si>
  <si>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</si>
  <si>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</si>
  <si>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</si>
  <si>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</si>
  <si>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</si>
  <si>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</si>
  <si>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</si>
  <si>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</si>
  <si>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</si>
  <si>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</si>
  <si>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</si>
  <si>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</si>
  <si>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</si>
  <si>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</si>
  <si>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</si>
  <si>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</si>
  <si>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</si>
  <si>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</si>
  <si>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</si>
  <si>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</si>
  <si>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</si>
  <si>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</si>
  <si>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</si>
  <si>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</si>
  <si>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</si>
  <si>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</si>
  <si>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</si>
  <si>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</si>
  <si>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</si>
  <si>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</si>
  <si>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</si>
  <si>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</si>
  <si>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</si>
  <si>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</si>
  <si>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</si>
  <si>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</si>
  <si>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</si>
  <si>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</si>
  <si>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</si>
  <si>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</si>
  <si>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</si>
  <si>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</si>
  <si>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</si>
  <si>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</si>
  <si>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</si>
  <si>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</si>
  <si>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</si>
  <si>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</si>
  <si>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</si>
  <si>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</si>
  <si>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</si>
  <si>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</si>
  <si>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</si>
  <si>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</si>
  <si>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</si>
  <si>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</si>
  <si>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</si>
  <si>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</si>
  <si>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</si>
  <si>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</si>
  <si>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</si>
  <si>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</si>
  <si>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</si>
  <si>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</si>
  <si>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</si>
  <si>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</si>
  <si>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</si>
  <si>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</si>
  <si>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</si>
  <si>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</si>
  <si>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</si>
  <si>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</si>
  <si>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</si>
  <si>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</si>
  <si>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</si>
  <si>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</si>
  <si>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</si>
  <si>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</si>
  <si>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</si>
  <si>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</si>
  <si>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</si>
  <si>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</si>
  <si>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</si>
  <si>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</si>
  <si>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</si>
  <si>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</si>
  <si>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</si>
  <si>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</si>
  <si>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</si>
  <si>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</si>
  <si>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</si>
  <si>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</si>
  <si>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</si>
  <si>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</si>
  <si>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</si>
  <si>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</si>
  <si>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</si>
  <si>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</si>
  <si>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</si>
  <si>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</si>
  <si>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</si>
  <si>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</si>
  <si>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</si>
  <si>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</si>
  <si>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</si>
  <si>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</si>
  <si>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</si>
  <si>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</si>
  <si>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</si>
  <si>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</si>
  <si>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</si>
  <si>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</si>
  <si>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</si>
  <si>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</si>
  <si>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</si>
  <si>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</si>
  <si>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</si>
  <si>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</si>
  <si>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</si>
  <si>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</si>
  <si>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</si>
  <si>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</si>
  <si>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</si>
  <si>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</si>
  <si>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</si>
  <si>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</si>
  <si>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</si>
  <si>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</si>
  <si>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</si>
  <si>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</si>
  <si>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</si>
  <si>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</si>
  <si>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</si>
  <si>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</si>
  <si>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</si>
  <si>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</si>
  <si>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</si>
  <si>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</si>
  <si>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</si>
  <si>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</si>
  <si>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</si>
  <si>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</si>
  <si>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</si>
  <si>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</si>
  <si>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</si>
  <si>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</si>
  <si>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</si>
  <si>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</si>
  <si>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</si>
  <si>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</si>
  <si>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</si>
  <si>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</si>
  <si>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</si>
  <si>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</si>
  <si>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</si>
  <si>
    <t>Connecticut prevailed thanks to balanced scoring and efficient long-range shooting from Karaban, Ball, and Stewart, complemented by stronger rebounding and tighter ball handling that frustrated Kansas’s spread attack.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</si>
</sst>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8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6" fillId="0" borderId="0" xfId="1" applyNumberFormat="1" applyAlignment="1" applyProtection="1"/>
    <xf numFmtId="0" fontId="0" fillId="0" borderId="0" xfId="0" applyAlignment="1">
      <alignment horizont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9" fillId="6" borderId="0" xfId="0" applyFont="1" applyFill="1" applyAlignment="1">
      <alignment horizontal="left" vertical="top" wrapText="1"/>
    </xf>
    <xf numFmtId="0" fontId="14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left"/>
    </xf>
    <xf numFmtId="0" fontId="39" fillId="7" borderId="0" xfId="0" applyFont="1" applyFill="1" applyAlignment="1">
      <alignment horizontal="center" vertic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20" fillId="6" borderId="0" xfId="0" applyFont="1" applyFill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52" fillId="3" borderId="0" xfId="0" applyFont="1" applyFill="1" applyBorder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</cellXfs>
  <cellStyles count="2">
    <cellStyle name="Hyperlink" xfId="1" builtinId="8"/>
    <cellStyle name="Normal" xfId="0" builtinId="0" customBuiltin="1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0/07/relationships/rdRichValueWebImage" Target="richData/rdRichValueWebImag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611811-7C4A-44E0-BB0A-18676E9326EF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D1DEF85-4567-4735-B7D2-F09242746983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A5CCEE-21D7-4B4A-B0AD-18931BBEFB5C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A402D87C-7A50-43D7-8E04-31E5D13B57D8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boston-university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bowling-green-stat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26"/>
    <tableColumn id="3" xr3:uid="{714CBA45-7DDA-43B9-86A4-4C5947403F44}" uniqueName="3" name="Link" queryTableFieldId="3" dataDxfId="25"/>
    <tableColumn id="4" xr3:uid="{51A37069-17DD-4524-B091-9E772D95E297}" uniqueName="4" name="GameLogs" queryTableFieldId="4" dataDxfId="24"/>
    <tableColumn id="6" xr3:uid="{16FD7BE5-C80E-4178-848D-B547195018E8}" uniqueName="6" name="PartialLink" queryTableFieldId="6" dataDxfId="23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04BF28-E481-4E05-9471-9CAE17FD270F}" name="East_Regional_–_Prudential_Center__Newark__NJ__2" displayName="East_Regional_–_Prudential_Center__Newark__NJ__2" ref="A2:G18" tableType="queryTable" totalsRowShown="0">
  <autoFilter ref="A2:G18" xr:uid="{F804BF28-E481-4E05-9471-9CAE17FD27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BBD60AC-189D-432E-9CE0-69F6240D4349}" uniqueName="1" name="Seed" queryTableFieldId="1" dataDxfId="22"/>
    <tableColumn id="2" xr3:uid="{78DE4A05-C498-4D0B-9F40-C17FA7BD54F2}" uniqueName="2" name="School" queryTableFieldId="2" dataDxfId="21"/>
    <tableColumn id="3" xr3:uid="{7CC09B42-A5D6-4135-BCC7-6821F6B80932}" uniqueName="3" name="Conference" queryTableFieldId="3" dataDxfId="20"/>
    <tableColumn id="4" xr3:uid="{62F57258-CDB4-4674-B30B-DA4A2823A8F7}" uniqueName="4" name="Record" queryTableFieldId="4" dataDxfId="19"/>
    <tableColumn id="5" xr3:uid="{5B44D440-C6BE-40A2-856A-E7606A828AF9}" uniqueName="5" name="Overall Seed" queryTableFieldId="5"/>
    <tableColumn id="6" xr3:uid="{6E408D58-4E81-4D2A-8D4C-7C9D52504CB1}" uniqueName="6" name="Berth type" queryTableFieldId="6" dataDxfId="18"/>
    <tableColumn id="7" xr3:uid="{9DEE30B4-9DB3-4022-A432-63C8240991D3}" uniqueName="7" name="Last bi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876A87-912F-4DAE-8EDF-C3875E88C215}" name="West_Regional_–_Chase_Center__San_Francisco__CA" displayName="West_Regional_–_Chase_Center__San_Francisco__CA" ref="I2:O18" tableType="queryTable" totalsRowShown="0">
  <autoFilter ref="I2:O18" xr:uid="{CC876A87-912F-4DAE-8EDF-C3875E88C2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EA5DD3D-74E5-4229-BE2B-777D3B84C443}" uniqueName="1" name="Seed" queryTableFieldId="1" dataDxfId="17"/>
    <tableColumn id="2" xr3:uid="{318C6D88-4C71-4065-9166-754DBB06CDF3}" uniqueName="2" name="School" queryTableFieldId="2" dataDxfId="16"/>
    <tableColumn id="3" xr3:uid="{8782A040-6A72-4EF0-9E3B-D04CB05B9B1F}" uniqueName="3" name="Conference" queryTableFieldId="3" dataDxfId="15"/>
    <tableColumn id="4" xr3:uid="{77811D70-5737-4156-904E-3CFA942ADE37}" uniqueName="4" name="Record" queryTableFieldId="4" dataDxfId="14"/>
    <tableColumn id="5" xr3:uid="{EB8CFD1B-4455-4102-B38D-54D8839ACEF5}" uniqueName="5" name="Overall Seed" queryTableFieldId="5"/>
    <tableColumn id="6" xr3:uid="{00852EED-943F-4E6D-BFED-C311AD702E03}" uniqueName="6" name="Berth type" queryTableFieldId="6" dataDxfId="13"/>
    <tableColumn id="7" xr3:uid="{CE863DF9-440E-4510-8B3C-221536233193}" uniqueName="7" name="Last bid" queryTableFieldId="7" dataDxf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4E988E-3190-4106-99BE-94D25B0323CB}" name="South_Regional_–_State_Farm_Arena__Atlanta__GA" displayName="South_Regional_–_State_Farm_Arena__Atlanta__GA" ref="Q2:W18" tableType="queryTable" totalsRowShown="0">
  <autoFilter ref="Q2:W18" xr:uid="{0C4E988E-3190-4106-99BE-94D25B0323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3E8A5DA-E387-40E9-AD6D-C8EAD2DF1A85}" uniqueName="1" name="Seed" queryTableFieldId="1" dataDxfId="11"/>
    <tableColumn id="2" xr3:uid="{E6E08EB4-9BEE-4909-976A-99D0799700B3}" uniqueName="2" name="School" queryTableFieldId="2" dataDxfId="10"/>
    <tableColumn id="3" xr3:uid="{7B46D560-8AE0-4BC2-83FB-631D0FC66B2A}" uniqueName="3" name="Conference" queryTableFieldId="3" dataDxfId="9"/>
    <tableColumn id="4" xr3:uid="{EFA36807-02A1-45D7-8F0A-ECC542E768AE}" uniqueName="4" name="Record" queryTableFieldId="4" dataDxfId="8"/>
    <tableColumn id="5" xr3:uid="{4EC922CE-001E-4B7F-A2EC-07B513BA8EEA}" uniqueName="5" name="Overall Seed" queryTableFieldId="5"/>
    <tableColumn id="6" xr3:uid="{459A801E-FBA0-4A19-9BB3-B5177440D4A4}" uniqueName="6" name="Berth type" queryTableFieldId="6" dataDxfId="7"/>
    <tableColumn id="7" xr3:uid="{4643D0FD-05E4-4698-81A2-A70E1313C7C3}" uniqueName="7" name="Last bid" queryTableFieldId="7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9091C6-4A63-440D-9075-939BBF4564CC}" name="Midwest_Regional_–_Lucas_Oil_Stadium__Indianapolis__IN" displayName="Midwest_Regional_–_Lucas_Oil_Stadium__Indianapolis__IN" ref="Y2:AE18" tableType="queryTable" totalsRowShown="0">
  <autoFilter ref="Y2:AE18" xr:uid="{009091C6-4A63-440D-9075-939BBF4564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C316DDC-A3EA-41A6-BA53-31579CE37AB0}" uniqueName="1" name="Seed" queryTableFieldId="1" dataDxfId="5"/>
    <tableColumn id="2" xr3:uid="{FD047E89-58A0-4620-9E73-146177F30828}" uniqueName="2" name="School" queryTableFieldId="2" dataDxfId="4"/>
    <tableColumn id="3" xr3:uid="{BF61A592-AD1A-4F02-A80D-E2C9CC48EA52}" uniqueName="3" name="Conference" queryTableFieldId="3" dataDxfId="3"/>
    <tableColumn id="4" xr3:uid="{5E058945-3CBA-4D3A-A9D2-C8743F065EFC}" uniqueName="4" name="Record" queryTableFieldId="4" dataDxfId="2"/>
    <tableColumn id="5" xr3:uid="{377C40F8-0DB9-4EE1-9D40-BDD673824BCA}" uniqueName="5" name="Overall Seed" queryTableFieldId="5"/>
    <tableColumn id="6" xr3:uid="{460BEB55-810E-41E3-89CD-3779FD85F1E5}" uniqueName="6" name="Berth type" queryTableFieldId="6" dataDxfId="1"/>
    <tableColumn id="7" xr3:uid="{775CB71F-5F81-4263-A2EF-9D3FCD30A5E1}" uniqueName="7" name="Last bid" queryTableFieldId="7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32" tableBorderDxfId="31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0" dataCellStyle="Normal"/>
    <tableColumn id="3" xr3:uid="{4CDAB027-D970-460D-AAC2-EB0B9485FD8C}" name="Region" dataDxfId="29" dataCellStyle="Normal"/>
    <tableColumn id="2" xr3:uid="{E218ED8F-68F8-429A-9939-575EF5D8461D}" name="Team" dataCellStyle="Normal"/>
    <tableColumn id="5" xr3:uid="{5B5B6B66-69E6-43F4-9B60-841171B24FC7}" name="Hyperlink Name" dataDxfId="28">
      <calculatedColumnFormula>_xlfn.XLOOKUP(Teams[[#This Row],[Team]],Team_Links[School],Team_Links[PartialLink],,0,1)</calculatedColumnFormula>
    </tableColumn>
    <tableColumn id="4" xr3:uid="{5DE08296-6B22-41D3-9B0D-54A014588C20}" name="Logo" dataDxfId="27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B52" workbookViewId="0">
      <selection activeCell="B2" sqref="B2:B65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218</v>
      </c>
      <c r="B1" t="s">
        <v>128</v>
      </c>
      <c r="C1" t="s">
        <v>219</v>
      </c>
      <c r="D1" t="s">
        <v>220</v>
      </c>
      <c r="E1" t="s">
        <v>1203</v>
      </c>
    </row>
    <row r="2" spans="1:5" x14ac:dyDescent="0.25">
      <c r="A2">
        <v>0</v>
      </c>
      <c r="B2" t="s">
        <v>29</v>
      </c>
      <c r="C2" t="s">
        <v>221</v>
      </c>
      <c r="D2" t="s">
        <v>222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223</v>
      </c>
      <c r="D3" t="s">
        <v>224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225</v>
      </c>
      <c r="D4" t="s">
        <v>226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227</v>
      </c>
      <c r="D5" t="s">
        <v>228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229</v>
      </c>
      <c r="D6" t="s">
        <v>230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231</v>
      </c>
      <c r="D7" t="s">
        <v>232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233</v>
      </c>
      <c r="D8" t="s">
        <v>234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235</v>
      </c>
      <c r="D9" t="s">
        <v>236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237</v>
      </c>
      <c r="D10" t="s">
        <v>238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239</v>
      </c>
      <c r="D11" t="s">
        <v>240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241</v>
      </c>
      <c r="D12" t="s">
        <v>242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243</v>
      </c>
      <c r="D13" t="s">
        <v>244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245</v>
      </c>
      <c r="D14" t="s">
        <v>246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247</v>
      </c>
      <c r="D15" t="s">
        <v>248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249</v>
      </c>
      <c r="D16" t="s">
        <v>250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251</v>
      </c>
      <c r="D17" t="s">
        <v>252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253</v>
      </c>
      <c r="D18" t="s">
        <v>254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255</v>
      </c>
      <c r="D19" t="s">
        <v>256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257</v>
      </c>
      <c r="D20" t="s">
        <v>258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259</v>
      </c>
      <c r="D21" t="s">
        <v>260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261</v>
      </c>
      <c r="D22" t="s">
        <v>262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263</v>
      </c>
      <c r="D23" t="s">
        <v>264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265</v>
      </c>
      <c r="D24" t="s">
        <v>266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267</v>
      </c>
      <c r="D25" t="s">
        <v>268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269</v>
      </c>
      <c r="D26" t="s">
        <v>270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271</v>
      </c>
      <c r="D27" t="s">
        <v>272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273</v>
      </c>
      <c r="D28" t="s">
        <v>274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275</v>
      </c>
      <c r="D29" t="s">
        <v>276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277</v>
      </c>
      <c r="D30" t="s">
        <v>278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279</v>
      </c>
      <c r="D31" t="s">
        <v>280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281</v>
      </c>
      <c r="D32" t="s">
        <v>282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283</v>
      </c>
      <c r="D33" t="s">
        <v>284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285</v>
      </c>
      <c r="D34" t="s">
        <v>286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287</v>
      </c>
      <c r="D35" t="s">
        <v>288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289</v>
      </c>
      <c r="D36" t="s">
        <v>290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291</v>
      </c>
      <c r="D37" t="s">
        <v>292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293</v>
      </c>
      <c r="D38" t="s">
        <v>294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295</v>
      </c>
      <c r="D39" t="s">
        <v>296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297</v>
      </c>
      <c r="D40" t="s">
        <v>298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299</v>
      </c>
      <c r="D41" t="s">
        <v>300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301</v>
      </c>
      <c r="D42" t="s">
        <v>302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303</v>
      </c>
      <c r="D43" t="s">
        <v>304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305</v>
      </c>
      <c r="D44" t="s">
        <v>306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307</v>
      </c>
      <c r="D45" t="s">
        <v>308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309</v>
      </c>
      <c r="D46" t="s">
        <v>310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311</v>
      </c>
      <c r="D47" t="s">
        <v>312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313</v>
      </c>
      <c r="D48" t="s">
        <v>314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315</v>
      </c>
      <c r="D49" t="s">
        <v>316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317</v>
      </c>
      <c r="D50" t="s">
        <v>318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319</v>
      </c>
      <c r="D51" t="s">
        <v>320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321</v>
      </c>
      <c r="D52" t="s">
        <v>322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323</v>
      </c>
      <c r="D53" t="s">
        <v>324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325</v>
      </c>
      <c r="D54" t="s">
        <v>326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327</v>
      </c>
      <c r="D55" t="s">
        <v>328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329</v>
      </c>
      <c r="D56" t="s">
        <v>330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331</v>
      </c>
      <c r="D57" t="s">
        <v>332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333</v>
      </c>
      <c r="D58" t="s">
        <v>334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335</v>
      </c>
      <c r="D59" t="s">
        <v>336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337</v>
      </c>
      <c r="D60" t="s">
        <v>338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339</v>
      </c>
      <c r="D61" t="s">
        <v>340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341</v>
      </c>
      <c r="D62" t="s">
        <v>342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343</v>
      </c>
      <c r="D63" t="s">
        <v>344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345</v>
      </c>
      <c r="D64" t="s">
        <v>346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347</v>
      </c>
      <c r="D65" t="s">
        <v>348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349</v>
      </c>
      <c r="C66" t="s">
        <v>350</v>
      </c>
      <c r="D66" t="s">
        <v>351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352</v>
      </c>
      <c r="C67" t="s">
        <v>353</v>
      </c>
      <c r="D67" t="s">
        <v>354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355</v>
      </c>
      <c r="C68" t="s">
        <v>356</v>
      </c>
      <c r="D68" t="s">
        <v>357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358</v>
      </c>
      <c r="C69" t="s">
        <v>359</v>
      </c>
      <c r="D69" t="s">
        <v>360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361</v>
      </c>
      <c r="C70" t="s">
        <v>362</v>
      </c>
      <c r="D70" t="s">
        <v>363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364</v>
      </c>
      <c r="C71" t="s">
        <v>365</v>
      </c>
      <c r="D71" t="s">
        <v>366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367</v>
      </c>
      <c r="C72" t="s">
        <v>368</v>
      </c>
      <c r="D72" t="s">
        <v>369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153</v>
      </c>
      <c r="C73" t="s">
        <v>370</v>
      </c>
      <c r="D73" t="s">
        <v>371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372</v>
      </c>
      <c r="C74" t="s">
        <v>373</v>
      </c>
      <c r="D74" t="s">
        <v>374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375</v>
      </c>
      <c r="D75" t="s">
        <v>376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377</v>
      </c>
      <c r="C76" t="s">
        <v>378</v>
      </c>
      <c r="D76" t="s">
        <v>379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380</v>
      </c>
      <c r="C77" t="s">
        <v>381</v>
      </c>
      <c r="D77" t="s">
        <v>382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383</v>
      </c>
      <c r="C78" t="s">
        <v>384</v>
      </c>
      <c r="D78" t="s">
        <v>385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386</v>
      </c>
      <c r="C79" t="s">
        <v>387</v>
      </c>
      <c r="D79" t="s">
        <v>388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389</v>
      </c>
      <c r="C80" t="s">
        <v>390</v>
      </c>
      <c r="D80" t="s">
        <v>391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392</v>
      </c>
      <c r="C81" t="s">
        <v>393</v>
      </c>
      <c r="D81" t="s">
        <v>394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395</v>
      </c>
      <c r="C82" t="s">
        <v>396</v>
      </c>
      <c r="D82" t="s">
        <v>397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398</v>
      </c>
      <c r="C83" t="s">
        <v>399</v>
      </c>
      <c r="D83" t="s">
        <v>400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401</v>
      </c>
      <c r="C84" t="s">
        <v>402</v>
      </c>
      <c r="D84" t="s">
        <v>403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404</v>
      </c>
      <c r="C85" t="s">
        <v>405</v>
      </c>
      <c r="D85" t="s">
        <v>406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407</v>
      </c>
      <c r="C86" t="s">
        <v>408</v>
      </c>
      <c r="D86" t="s">
        <v>409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410</v>
      </c>
      <c r="C87" t="s">
        <v>411</v>
      </c>
      <c r="D87" t="s">
        <v>412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136</v>
      </c>
      <c r="C88" t="s">
        <v>413</v>
      </c>
      <c r="D88" t="s">
        <v>414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415</v>
      </c>
      <c r="C89" t="s">
        <v>416</v>
      </c>
      <c r="D89" t="s">
        <v>417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418</v>
      </c>
      <c r="C90" t="s">
        <v>419</v>
      </c>
      <c r="D90" t="s">
        <v>420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421</v>
      </c>
      <c r="C91" t="s">
        <v>422</v>
      </c>
      <c r="D91" t="s">
        <v>423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424</v>
      </c>
      <c r="C92" t="s">
        <v>425</v>
      </c>
      <c r="D92" t="s">
        <v>426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427</v>
      </c>
      <c r="C93" t="s">
        <v>428</v>
      </c>
      <c r="D93" t="s">
        <v>429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430</v>
      </c>
      <c r="C94" t="s">
        <v>431</v>
      </c>
      <c r="D94" t="s">
        <v>432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433</v>
      </c>
      <c r="C95" t="s">
        <v>434</v>
      </c>
      <c r="D95" t="s">
        <v>435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436</v>
      </c>
      <c r="C96" t="s">
        <v>437</v>
      </c>
      <c r="D96" t="s">
        <v>438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439</v>
      </c>
      <c r="C97" t="s">
        <v>440</v>
      </c>
      <c r="D97" t="s">
        <v>441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442</v>
      </c>
      <c r="C98" t="s">
        <v>443</v>
      </c>
      <c r="D98" t="s">
        <v>444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445</v>
      </c>
      <c r="C99" t="s">
        <v>446</v>
      </c>
      <c r="D99" t="s">
        <v>447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448</v>
      </c>
      <c r="C100" t="s">
        <v>449</v>
      </c>
      <c r="D100" t="s">
        <v>450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203</v>
      </c>
      <c r="C101" t="s">
        <v>451</v>
      </c>
      <c r="D101" t="s">
        <v>452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453</v>
      </c>
      <c r="C102" t="s">
        <v>454</v>
      </c>
      <c r="D102" t="s">
        <v>455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456</v>
      </c>
      <c r="C103" t="s">
        <v>457</v>
      </c>
      <c r="D103" t="s">
        <v>458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459</v>
      </c>
      <c r="C104" t="s">
        <v>460</v>
      </c>
      <c r="D104" t="s">
        <v>461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202</v>
      </c>
      <c r="C105" t="s">
        <v>462</v>
      </c>
      <c r="D105" t="s">
        <v>463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464</v>
      </c>
      <c r="C106" t="s">
        <v>465</v>
      </c>
      <c r="D106" t="s">
        <v>466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157</v>
      </c>
      <c r="C107" t="s">
        <v>467</v>
      </c>
      <c r="D107" t="s">
        <v>468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469</v>
      </c>
      <c r="C108" t="s">
        <v>470</v>
      </c>
      <c r="D108" t="s">
        <v>471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472</v>
      </c>
      <c r="C109" t="s">
        <v>473</v>
      </c>
      <c r="D109" t="s">
        <v>474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475</v>
      </c>
      <c r="C110" t="s">
        <v>476</v>
      </c>
      <c r="D110" t="s">
        <v>477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478</v>
      </c>
      <c r="C111" t="s">
        <v>479</v>
      </c>
      <c r="D111" t="s">
        <v>480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210</v>
      </c>
      <c r="C112" t="s">
        <v>481</v>
      </c>
      <c r="D112" t="s">
        <v>482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483</v>
      </c>
      <c r="C113" t="s">
        <v>484</v>
      </c>
      <c r="D113" t="s">
        <v>485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486</v>
      </c>
      <c r="C114" t="s">
        <v>487</v>
      </c>
      <c r="D114" t="s">
        <v>488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196</v>
      </c>
      <c r="C115" t="s">
        <v>489</v>
      </c>
      <c r="D115" t="s">
        <v>490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491</v>
      </c>
      <c r="C116" t="s">
        <v>492</v>
      </c>
      <c r="D116" t="s">
        <v>493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494</v>
      </c>
      <c r="C117" t="s">
        <v>495</v>
      </c>
      <c r="D117" t="s">
        <v>496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497</v>
      </c>
      <c r="C118" t="s">
        <v>498</v>
      </c>
      <c r="D118" t="s">
        <v>499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500</v>
      </c>
      <c r="C119" t="s">
        <v>501</v>
      </c>
      <c r="D119" t="s">
        <v>502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200</v>
      </c>
      <c r="C120" t="s">
        <v>503</v>
      </c>
      <c r="D120" t="s">
        <v>504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505</v>
      </c>
      <c r="C121" t="s">
        <v>506</v>
      </c>
      <c r="D121" t="s">
        <v>507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508</v>
      </c>
      <c r="C122" t="s">
        <v>509</v>
      </c>
      <c r="D122" t="s">
        <v>510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511</v>
      </c>
      <c r="C123" t="s">
        <v>512</v>
      </c>
      <c r="D123" t="s">
        <v>513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514</v>
      </c>
      <c r="C124" t="s">
        <v>515</v>
      </c>
      <c r="D124" t="s">
        <v>516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517</v>
      </c>
      <c r="C125" t="s">
        <v>518</v>
      </c>
      <c r="D125" t="s">
        <v>519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520</v>
      </c>
      <c r="C126" t="s">
        <v>521</v>
      </c>
      <c r="D126" t="s">
        <v>522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523</v>
      </c>
      <c r="C127" t="s">
        <v>524</v>
      </c>
      <c r="D127" t="s">
        <v>525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173</v>
      </c>
      <c r="C128" t="s">
        <v>526</v>
      </c>
      <c r="D128" t="s">
        <v>527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528</v>
      </c>
      <c r="C129" t="s">
        <v>529</v>
      </c>
      <c r="D129" t="s">
        <v>530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531</v>
      </c>
      <c r="C130" t="s">
        <v>532</v>
      </c>
      <c r="D130" t="s">
        <v>533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534</v>
      </c>
      <c r="C131" t="s">
        <v>535</v>
      </c>
      <c r="D131" t="s">
        <v>536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537</v>
      </c>
      <c r="C132" t="s">
        <v>538</v>
      </c>
      <c r="D132" t="s">
        <v>539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540</v>
      </c>
      <c r="C133" t="s">
        <v>541</v>
      </c>
      <c r="D133" t="s">
        <v>542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148</v>
      </c>
      <c r="C134" t="s">
        <v>543</v>
      </c>
      <c r="D134" t="s">
        <v>544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545</v>
      </c>
      <c r="C135" t="s">
        <v>546</v>
      </c>
      <c r="D135" t="s">
        <v>547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548</v>
      </c>
      <c r="C136" t="s">
        <v>549</v>
      </c>
      <c r="D136" t="s">
        <v>550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551</v>
      </c>
      <c r="C137" t="s">
        <v>552</v>
      </c>
      <c r="D137" t="s">
        <v>553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554</v>
      </c>
      <c r="C138" t="s">
        <v>555</v>
      </c>
      <c r="D138" t="s">
        <v>556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198</v>
      </c>
      <c r="C139" t="s">
        <v>557</v>
      </c>
      <c r="D139" t="s">
        <v>558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559</v>
      </c>
      <c r="C140" t="s">
        <v>560</v>
      </c>
      <c r="D140" t="s">
        <v>561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562</v>
      </c>
      <c r="C141" t="s">
        <v>563</v>
      </c>
      <c r="D141" t="s">
        <v>564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565</v>
      </c>
      <c r="C142" t="s">
        <v>566</v>
      </c>
      <c r="D142" t="s">
        <v>567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568</v>
      </c>
      <c r="C143" t="s">
        <v>569</v>
      </c>
      <c r="D143" t="s">
        <v>570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571</v>
      </c>
      <c r="C144" t="s">
        <v>572</v>
      </c>
      <c r="D144" t="s">
        <v>573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119</v>
      </c>
      <c r="C145" t="s">
        <v>574</v>
      </c>
      <c r="D145" t="s">
        <v>575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576</v>
      </c>
      <c r="C146" t="s">
        <v>577</v>
      </c>
      <c r="D146" t="s">
        <v>578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188</v>
      </c>
      <c r="C147" t="s">
        <v>579</v>
      </c>
      <c r="D147" t="s">
        <v>580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581</v>
      </c>
      <c r="C148" t="s">
        <v>582</v>
      </c>
      <c r="D148" t="s">
        <v>583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584</v>
      </c>
      <c r="C149" t="s">
        <v>585</v>
      </c>
      <c r="D149" t="s">
        <v>586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587</v>
      </c>
      <c r="C150" t="s">
        <v>588</v>
      </c>
      <c r="D150" t="s">
        <v>589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590</v>
      </c>
      <c r="C151" t="s">
        <v>591</v>
      </c>
      <c r="D151" t="s">
        <v>592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593</v>
      </c>
      <c r="C152" t="s">
        <v>594</v>
      </c>
      <c r="D152" t="s">
        <v>595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596</v>
      </c>
      <c r="C153" t="s">
        <v>597</v>
      </c>
      <c r="D153" t="s">
        <v>598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599</v>
      </c>
      <c r="C154" t="s">
        <v>600</v>
      </c>
      <c r="D154" t="s">
        <v>601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602</v>
      </c>
      <c r="C155" t="s">
        <v>603</v>
      </c>
      <c r="D155" t="s">
        <v>604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178</v>
      </c>
      <c r="C156" t="s">
        <v>605</v>
      </c>
      <c r="D156" t="s">
        <v>606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607</v>
      </c>
      <c r="C157" t="s">
        <v>608</v>
      </c>
      <c r="D157" t="s">
        <v>609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610</v>
      </c>
      <c r="C158" t="s">
        <v>611</v>
      </c>
      <c r="D158" t="s">
        <v>612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613</v>
      </c>
      <c r="C159" t="s">
        <v>614</v>
      </c>
      <c r="D159" t="s">
        <v>615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616</v>
      </c>
      <c r="C160" t="s">
        <v>617</v>
      </c>
      <c r="D160" t="s">
        <v>618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619</v>
      </c>
      <c r="C161" t="s">
        <v>620</v>
      </c>
      <c r="D161" t="s">
        <v>621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622</v>
      </c>
      <c r="C162" t="s">
        <v>623</v>
      </c>
      <c r="D162" t="s">
        <v>624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177</v>
      </c>
      <c r="C163" t="s">
        <v>625</v>
      </c>
      <c r="D163" t="s">
        <v>626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627</v>
      </c>
      <c r="C164" t="s">
        <v>628</v>
      </c>
      <c r="D164" t="s">
        <v>629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142</v>
      </c>
      <c r="C165" t="s">
        <v>630</v>
      </c>
      <c r="D165" t="s">
        <v>631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632</v>
      </c>
      <c r="C166" t="s">
        <v>633</v>
      </c>
      <c r="D166" t="s">
        <v>634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635</v>
      </c>
      <c r="C167" t="s">
        <v>636</v>
      </c>
      <c r="D167" t="s">
        <v>637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638</v>
      </c>
      <c r="C168" t="s">
        <v>639</v>
      </c>
      <c r="D168" t="s">
        <v>640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641</v>
      </c>
      <c r="C169" t="s">
        <v>642</v>
      </c>
      <c r="D169" t="s">
        <v>643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644</v>
      </c>
      <c r="C170" t="s">
        <v>645</v>
      </c>
      <c r="D170" t="s">
        <v>646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144</v>
      </c>
      <c r="C171" t="s">
        <v>647</v>
      </c>
      <c r="D171" t="s">
        <v>648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649</v>
      </c>
      <c r="C172" t="s">
        <v>650</v>
      </c>
      <c r="D172" t="s">
        <v>651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652</v>
      </c>
      <c r="C173" t="s">
        <v>653</v>
      </c>
      <c r="D173" t="s">
        <v>654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655</v>
      </c>
      <c r="C174" t="s">
        <v>656</v>
      </c>
      <c r="D174" t="s">
        <v>657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658</v>
      </c>
      <c r="C175" t="s">
        <v>659</v>
      </c>
      <c r="D175" t="s">
        <v>660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661</v>
      </c>
      <c r="C176" t="s">
        <v>662</v>
      </c>
      <c r="D176" t="s">
        <v>663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176</v>
      </c>
      <c r="C177" t="s">
        <v>664</v>
      </c>
      <c r="D177" t="s">
        <v>665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171</v>
      </c>
      <c r="C178" t="s">
        <v>666</v>
      </c>
      <c r="D178" t="s">
        <v>667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668</v>
      </c>
      <c r="C179" t="s">
        <v>669</v>
      </c>
      <c r="D179" t="s">
        <v>670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671</v>
      </c>
      <c r="C180" t="s">
        <v>672</v>
      </c>
      <c r="D180" t="s">
        <v>673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674</v>
      </c>
      <c r="C181" t="s">
        <v>675</v>
      </c>
      <c r="D181" t="s">
        <v>676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677</v>
      </c>
      <c r="C182" t="s">
        <v>678</v>
      </c>
      <c r="D182" t="s">
        <v>679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112</v>
      </c>
      <c r="C183" t="s">
        <v>680</v>
      </c>
      <c r="D183" t="s">
        <v>681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682</v>
      </c>
      <c r="C184" t="s">
        <v>683</v>
      </c>
      <c r="D184" t="s">
        <v>684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146</v>
      </c>
      <c r="C185" s="222" t="s">
        <v>685</v>
      </c>
      <c r="D185" t="s">
        <v>686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687</v>
      </c>
      <c r="C186" t="s">
        <v>688</v>
      </c>
      <c r="D186" t="s">
        <v>689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690</v>
      </c>
      <c r="C187" t="s">
        <v>691</v>
      </c>
      <c r="D187" t="s">
        <v>692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122</v>
      </c>
      <c r="C188" t="s">
        <v>693</v>
      </c>
      <c r="D188" t="s">
        <v>694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695</v>
      </c>
      <c r="C189" t="s">
        <v>696</v>
      </c>
      <c r="D189" t="s">
        <v>697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698</v>
      </c>
      <c r="C190" t="s">
        <v>699</v>
      </c>
      <c r="D190" t="s">
        <v>700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701</v>
      </c>
      <c r="C191" t="s">
        <v>702</v>
      </c>
      <c r="D191" t="s">
        <v>703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134</v>
      </c>
      <c r="C192" t="s">
        <v>704</v>
      </c>
      <c r="D192" t="s">
        <v>705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706</v>
      </c>
      <c r="C193" t="s">
        <v>707</v>
      </c>
      <c r="D193" t="s">
        <v>708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709</v>
      </c>
      <c r="C194" t="s">
        <v>710</v>
      </c>
      <c r="D194" t="s">
        <v>711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712</v>
      </c>
      <c r="C195" t="s">
        <v>713</v>
      </c>
      <c r="D195" t="s">
        <v>714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715</v>
      </c>
      <c r="C196" t="s">
        <v>716</v>
      </c>
      <c r="D196" t="s">
        <v>717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718</v>
      </c>
      <c r="C197" t="s">
        <v>719</v>
      </c>
      <c r="D197" t="s">
        <v>720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721</v>
      </c>
      <c r="C198" t="s">
        <v>722</v>
      </c>
      <c r="D198" t="s">
        <v>723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724</v>
      </c>
      <c r="C199" t="s">
        <v>725</v>
      </c>
      <c r="D199" t="s">
        <v>726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727</v>
      </c>
      <c r="C200" t="s">
        <v>728</v>
      </c>
      <c r="D200" t="s">
        <v>729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179</v>
      </c>
      <c r="C201" t="s">
        <v>730</v>
      </c>
      <c r="D201" t="s">
        <v>731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732</v>
      </c>
      <c r="C202" t="s">
        <v>733</v>
      </c>
      <c r="D202" t="s">
        <v>734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735</v>
      </c>
      <c r="C203" t="s">
        <v>736</v>
      </c>
      <c r="D203" t="s">
        <v>737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738</v>
      </c>
      <c r="C204" t="s">
        <v>739</v>
      </c>
      <c r="D204" t="s">
        <v>740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741</v>
      </c>
      <c r="C205" t="s">
        <v>742</v>
      </c>
      <c r="D205" t="s">
        <v>743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744</v>
      </c>
      <c r="C206" t="s">
        <v>745</v>
      </c>
      <c r="D206" t="s">
        <v>746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167</v>
      </c>
      <c r="C207" t="s">
        <v>747</v>
      </c>
      <c r="D207" t="s">
        <v>748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749</v>
      </c>
      <c r="C208" t="s">
        <v>750</v>
      </c>
      <c r="D208" t="s">
        <v>751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181</v>
      </c>
      <c r="C209" t="s">
        <v>752</v>
      </c>
      <c r="D209" t="s">
        <v>753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754</v>
      </c>
      <c r="C210" t="s">
        <v>755</v>
      </c>
      <c r="D210" t="s">
        <v>756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757</v>
      </c>
      <c r="C211" t="s">
        <v>758</v>
      </c>
      <c r="D211" t="s">
        <v>759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760</v>
      </c>
      <c r="C212" t="s">
        <v>761</v>
      </c>
      <c r="D212" t="s">
        <v>762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763</v>
      </c>
      <c r="C213" t="s">
        <v>764</v>
      </c>
      <c r="D213" t="s">
        <v>765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766</v>
      </c>
      <c r="C214" t="s">
        <v>767</v>
      </c>
      <c r="D214" t="s">
        <v>768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769</v>
      </c>
      <c r="C215" t="s">
        <v>770</v>
      </c>
      <c r="D215" t="s">
        <v>771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772</v>
      </c>
      <c r="C216" t="s">
        <v>773</v>
      </c>
      <c r="D216" t="s">
        <v>774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775</v>
      </c>
      <c r="C217" t="s">
        <v>776</v>
      </c>
      <c r="D217" t="s">
        <v>777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778</v>
      </c>
      <c r="C218" t="s">
        <v>779</v>
      </c>
      <c r="D218" t="s">
        <v>780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781</v>
      </c>
      <c r="C219" t="s">
        <v>782</v>
      </c>
      <c r="D219" t="s">
        <v>783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784</v>
      </c>
      <c r="C220" t="s">
        <v>785</v>
      </c>
      <c r="D220" t="s">
        <v>786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787</v>
      </c>
      <c r="C221" t="s">
        <v>788</v>
      </c>
      <c r="D221" t="s">
        <v>789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790</v>
      </c>
      <c r="C222" t="s">
        <v>791</v>
      </c>
      <c r="D222" t="s">
        <v>792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793</v>
      </c>
      <c r="C223" t="s">
        <v>794</v>
      </c>
      <c r="D223" t="s">
        <v>795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796</v>
      </c>
      <c r="C224" t="s">
        <v>797</v>
      </c>
      <c r="D224" t="s">
        <v>798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799</v>
      </c>
      <c r="C225" t="s">
        <v>800</v>
      </c>
      <c r="D225" t="s">
        <v>801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802</v>
      </c>
      <c r="C226" t="s">
        <v>803</v>
      </c>
      <c r="D226" t="s">
        <v>804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805</v>
      </c>
      <c r="C227" t="s">
        <v>806</v>
      </c>
      <c r="D227" t="s">
        <v>807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150</v>
      </c>
      <c r="C228" t="s">
        <v>808</v>
      </c>
      <c r="D228" t="s">
        <v>809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810</v>
      </c>
      <c r="C229" t="s">
        <v>811</v>
      </c>
      <c r="D229" t="s">
        <v>812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813</v>
      </c>
      <c r="C230" t="s">
        <v>814</v>
      </c>
      <c r="D230" t="s">
        <v>815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164</v>
      </c>
      <c r="C231" t="s">
        <v>816</v>
      </c>
      <c r="D231" t="s">
        <v>817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818</v>
      </c>
      <c r="C232" t="s">
        <v>819</v>
      </c>
      <c r="D232" t="s">
        <v>820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107</v>
      </c>
      <c r="C233" t="s">
        <v>821</v>
      </c>
      <c r="D233" t="s">
        <v>822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823</v>
      </c>
      <c r="C234" t="s">
        <v>824</v>
      </c>
      <c r="D234" t="s">
        <v>825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826</v>
      </c>
      <c r="C235" t="s">
        <v>827</v>
      </c>
      <c r="D235" t="s">
        <v>828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829</v>
      </c>
      <c r="C236" t="s">
        <v>830</v>
      </c>
      <c r="D236" t="s">
        <v>831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832</v>
      </c>
      <c r="C237" t="s">
        <v>833</v>
      </c>
      <c r="D237" t="s">
        <v>834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835</v>
      </c>
      <c r="C238" t="s">
        <v>836</v>
      </c>
      <c r="D238" t="s">
        <v>837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838</v>
      </c>
      <c r="C239" t="s">
        <v>839</v>
      </c>
      <c r="D239" t="s">
        <v>840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841</v>
      </c>
      <c r="C240" t="s">
        <v>842</v>
      </c>
      <c r="D240" t="s">
        <v>843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844</v>
      </c>
      <c r="C241" t="s">
        <v>845</v>
      </c>
      <c r="D241" t="s">
        <v>846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847</v>
      </c>
      <c r="C242" t="s">
        <v>848</v>
      </c>
      <c r="D242" t="s">
        <v>849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850</v>
      </c>
      <c r="C243" t="s">
        <v>851</v>
      </c>
      <c r="D243" t="s">
        <v>852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853</v>
      </c>
      <c r="C244" t="s">
        <v>854</v>
      </c>
      <c r="D244" t="s">
        <v>855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856</v>
      </c>
      <c r="C245" t="s">
        <v>857</v>
      </c>
      <c r="D245" t="s">
        <v>858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199</v>
      </c>
      <c r="C246" t="s">
        <v>859</v>
      </c>
      <c r="D246" t="s">
        <v>860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861</v>
      </c>
      <c r="C247" t="s">
        <v>862</v>
      </c>
      <c r="D247" t="s">
        <v>863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864</v>
      </c>
      <c r="C248" t="s">
        <v>865</v>
      </c>
      <c r="D248" t="s">
        <v>866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867</v>
      </c>
      <c r="C249" t="s">
        <v>868</v>
      </c>
      <c r="D249" t="s">
        <v>869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870</v>
      </c>
      <c r="C250" t="s">
        <v>871</v>
      </c>
      <c r="D250" t="s">
        <v>872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873</v>
      </c>
      <c r="C251" t="s">
        <v>874</v>
      </c>
      <c r="D251" t="s">
        <v>875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876</v>
      </c>
      <c r="C252" t="s">
        <v>877</v>
      </c>
      <c r="D252" t="s">
        <v>878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879</v>
      </c>
      <c r="C253" t="s">
        <v>880</v>
      </c>
      <c r="D253" t="s">
        <v>881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882</v>
      </c>
      <c r="C254" t="s">
        <v>883</v>
      </c>
      <c r="D254" t="s">
        <v>884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125</v>
      </c>
      <c r="C255" t="s">
        <v>885</v>
      </c>
      <c r="D255" t="s">
        <v>886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887</v>
      </c>
      <c r="C256" t="s">
        <v>888</v>
      </c>
      <c r="D256" t="s">
        <v>889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890</v>
      </c>
      <c r="C257" t="s">
        <v>891</v>
      </c>
      <c r="D257" t="s">
        <v>892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893</v>
      </c>
      <c r="C258" t="s">
        <v>894</v>
      </c>
      <c r="D258" t="s">
        <v>895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896</v>
      </c>
      <c r="C259" t="s">
        <v>897</v>
      </c>
      <c r="D259" t="s">
        <v>898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899</v>
      </c>
      <c r="C260" t="s">
        <v>900</v>
      </c>
      <c r="D260" t="s">
        <v>901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902</v>
      </c>
      <c r="C261" t="s">
        <v>903</v>
      </c>
      <c r="D261" t="s">
        <v>904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905</v>
      </c>
      <c r="C262" t="s">
        <v>906</v>
      </c>
      <c r="D262" t="s">
        <v>907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908</v>
      </c>
      <c r="C263" t="s">
        <v>909</v>
      </c>
      <c r="D263" t="s">
        <v>910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911</v>
      </c>
      <c r="C264" t="s">
        <v>912</v>
      </c>
      <c r="D264" t="s">
        <v>913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914</v>
      </c>
      <c r="C265" t="s">
        <v>915</v>
      </c>
      <c r="D265" t="s">
        <v>916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917</v>
      </c>
      <c r="C266" t="s">
        <v>918</v>
      </c>
      <c r="D266" t="s">
        <v>919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180</v>
      </c>
      <c r="C267" t="s">
        <v>920</v>
      </c>
      <c r="D267" t="s">
        <v>921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922</v>
      </c>
      <c r="C268" t="s">
        <v>923</v>
      </c>
      <c r="D268" t="s">
        <v>924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925</v>
      </c>
      <c r="C269" t="s">
        <v>926</v>
      </c>
      <c r="D269" t="s">
        <v>927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928</v>
      </c>
      <c r="C270" t="s">
        <v>929</v>
      </c>
      <c r="D270" t="s">
        <v>930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931</v>
      </c>
      <c r="C271" t="s">
        <v>932</v>
      </c>
      <c r="D271" t="s">
        <v>933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934</v>
      </c>
      <c r="C272" t="s">
        <v>935</v>
      </c>
      <c r="D272" t="s">
        <v>936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937</v>
      </c>
      <c r="C273" t="s">
        <v>938</v>
      </c>
      <c r="D273" t="s">
        <v>939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940</v>
      </c>
      <c r="C274" t="s">
        <v>941</v>
      </c>
      <c r="D274" t="s">
        <v>942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943</v>
      </c>
      <c r="C275" t="s">
        <v>944</v>
      </c>
      <c r="D275" t="s">
        <v>945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946</v>
      </c>
      <c r="C276" t="s">
        <v>947</v>
      </c>
      <c r="D276" t="s">
        <v>948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949</v>
      </c>
      <c r="C277" t="s">
        <v>950</v>
      </c>
      <c r="D277" t="s">
        <v>951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952</v>
      </c>
      <c r="C278" t="s">
        <v>953</v>
      </c>
      <c r="D278" t="s">
        <v>954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955</v>
      </c>
      <c r="C279" t="s">
        <v>956</v>
      </c>
      <c r="D279" t="s">
        <v>957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958</v>
      </c>
      <c r="C280" t="s">
        <v>959</v>
      </c>
      <c r="D280" t="s">
        <v>960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961</v>
      </c>
      <c r="C281" t="s">
        <v>962</v>
      </c>
      <c r="D281" t="s">
        <v>963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964</v>
      </c>
      <c r="C282" t="s">
        <v>965</v>
      </c>
      <c r="D282" t="s">
        <v>966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215</v>
      </c>
      <c r="C283" t="s">
        <v>967</v>
      </c>
      <c r="D283" t="s">
        <v>968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969</v>
      </c>
      <c r="C284" t="s">
        <v>970</v>
      </c>
      <c r="D284" t="s">
        <v>971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972</v>
      </c>
      <c r="C285" t="s">
        <v>973</v>
      </c>
      <c r="D285" t="s">
        <v>974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216</v>
      </c>
      <c r="C286" t="s">
        <v>975</v>
      </c>
      <c r="D286" t="s">
        <v>976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977</v>
      </c>
      <c r="C287" t="s">
        <v>978</v>
      </c>
      <c r="D287" t="s">
        <v>979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980</v>
      </c>
      <c r="C288" t="s">
        <v>981</v>
      </c>
      <c r="D288" t="s">
        <v>982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983</v>
      </c>
      <c r="C289" t="s">
        <v>984</v>
      </c>
      <c r="D289" t="s">
        <v>985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986</v>
      </c>
      <c r="C290" t="s">
        <v>987</v>
      </c>
      <c r="D290" t="s">
        <v>988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989</v>
      </c>
      <c r="C291" t="s">
        <v>990</v>
      </c>
      <c r="D291" t="s">
        <v>991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992</v>
      </c>
      <c r="C292" t="s">
        <v>993</v>
      </c>
      <c r="D292" t="s">
        <v>994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995</v>
      </c>
      <c r="C293" t="s">
        <v>996</v>
      </c>
      <c r="D293" t="s">
        <v>997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998</v>
      </c>
      <c r="C294" t="s">
        <v>999</v>
      </c>
      <c r="D294" t="s">
        <v>1000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1001</v>
      </c>
      <c r="C295" t="s">
        <v>1002</v>
      </c>
      <c r="D295" t="s">
        <v>1003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1004</v>
      </c>
      <c r="C296" t="s">
        <v>1005</v>
      </c>
      <c r="D296" t="s">
        <v>1006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1007</v>
      </c>
      <c r="C297" t="s">
        <v>1008</v>
      </c>
      <c r="D297" t="s">
        <v>1009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1010</v>
      </c>
      <c r="C298" t="s">
        <v>1011</v>
      </c>
      <c r="D298" t="s">
        <v>1012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1013</v>
      </c>
      <c r="C299" t="s">
        <v>1014</v>
      </c>
      <c r="D299" t="s">
        <v>1015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1016</v>
      </c>
      <c r="C300" t="s">
        <v>1017</v>
      </c>
      <c r="D300" t="s">
        <v>1018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1019</v>
      </c>
      <c r="C301" t="s">
        <v>1020</v>
      </c>
      <c r="D301" t="s">
        <v>1021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1022</v>
      </c>
      <c r="C302" t="s">
        <v>1023</v>
      </c>
      <c r="D302" t="s">
        <v>1024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197</v>
      </c>
      <c r="C303" t="s">
        <v>1025</v>
      </c>
      <c r="D303" t="s">
        <v>1026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1027</v>
      </c>
      <c r="C304" t="s">
        <v>1028</v>
      </c>
      <c r="D304" t="s">
        <v>1029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1030</v>
      </c>
      <c r="C305" t="s">
        <v>1031</v>
      </c>
      <c r="D305" t="s">
        <v>1032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1033</v>
      </c>
      <c r="C306" t="s">
        <v>1034</v>
      </c>
      <c r="D306" t="s">
        <v>1035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206</v>
      </c>
      <c r="C307" t="s">
        <v>1036</v>
      </c>
      <c r="D307" t="s">
        <v>1037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174</v>
      </c>
      <c r="C308" t="s">
        <v>1038</v>
      </c>
      <c r="D308" t="s">
        <v>1039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1040</v>
      </c>
      <c r="C309" t="s">
        <v>1041</v>
      </c>
      <c r="D309" t="s">
        <v>1042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1043</v>
      </c>
      <c r="C310" t="s">
        <v>1044</v>
      </c>
      <c r="D310" t="s">
        <v>1045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1046</v>
      </c>
      <c r="C311" t="s">
        <v>1047</v>
      </c>
      <c r="D311" t="s">
        <v>1048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141</v>
      </c>
      <c r="C312" t="s">
        <v>1049</v>
      </c>
      <c r="D312" t="s">
        <v>1050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1051</v>
      </c>
      <c r="C313" t="s">
        <v>1052</v>
      </c>
      <c r="D313" t="s">
        <v>1053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1054</v>
      </c>
      <c r="C314" t="s">
        <v>1055</v>
      </c>
      <c r="D314" t="s">
        <v>1056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1057</v>
      </c>
      <c r="C315" t="s">
        <v>1058</v>
      </c>
      <c r="D315" t="s">
        <v>1059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1060</v>
      </c>
      <c r="C316" t="s">
        <v>1061</v>
      </c>
      <c r="D316" t="s">
        <v>1062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212</v>
      </c>
      <c r="C317" t="s">
        <v>1063</v>
      </c>
      <c r="D317" t="s">
        <v>1064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1065</v>
      </c>
      <c r="C318" t="s">
        <v>1066</v>
      </c>
      <c r="D318" t="s">
        <v>1067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1068</v>
      </c>
      <c r="C319" t="s">
        <v>1069</v>
      </c>
      <c r="D319" t="s">
        <v>1070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1071</v>
      </c>
      <c r="C320" t="s">
        <v>1072</v>
      </c>
      <c r="D320" t="s">
        <v>1073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1074</v>
      </c>
      <c r="C321" t="s">
        <v>1075</v>
      </c>
      <c r="D321" t="s">
        <v>1076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1077</v>
      </c>
      <c r="C322" t="s">
        <v>1078</v>
      </c>
      <c r="D322" t="s">
        <v>1079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1080</v>
      </c>
      <c r="C323" t="s">
        <v>1081</v>
      </c>
      <c r="D323" t="s">
        <v>1082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183</v>
      </c>
      <c r="C324" t="s">
        <v>1083</v>
      </c>
      <c r="D324" t="s">
        <v>1084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1085</v>
      </c>
      <c r="C325" t="s">
        <v>1086</v>
      </c>
      <c r="D325" t="s">
        <v>1087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1088</v>
      </c>
      <c r="C326" t="s">
        <v>1089</v>
      </c>
      <c r="D326" t="s">
        <v>1090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201</v>
      </c>
      <c r="C327" t="s">
        <v>1091</v>
      </c>
      <c r="D327" t="s">
        <v>1092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1093</v>
      </c>
      <c r="C328" t="s">
        <v>1094</v>
      </c>
      <c r="D328" t="s">
        <v>1095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1096</v>
      </c>
      <c r="C329" t="s">
        <v>1097</v>
      </c>
      <c r="D329" t="s">
        <v>1098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160</v>
      </c>
      <c r="C330" t="s">
        <v>1099</v>
      </c>
      <c r="D330" t="s">
        <v>1100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1101</v>
      </c>
      <c r="C331" t="s">
        <v>1102</v>
      </c>
      <c r="D331" t="s">
        <v>1103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1104</v>
      </c>
      <c r="C332" t="s">
        <v>1105</v>
      </c>
      <c r="D332" t="s">
        <v>1106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205</v>
      </c>
      <c r="C333" t="s">
        <v>1107</v>
      </c>
      <c r="D333" t="s">
        <v>1108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1109</v>
      </c>
      <c r="C334" t="s">
        <v>1110</v>
      </c>
      <c r="D334" t="s">
        <v>1111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1112</v>
      </c>
      <c r="C335" t="s">
        <v>1113</v>
      </c>
      <c r="D335" t="s">
        <v>1114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1115</v>
      </c>
      <c r="C336" t="s">
        <v>1116</v>
      </c>
      <c r="D336" t="s">
        <v>1117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1118</v>
      </c>
      <c r="C337" t="s">
        <v>1119</v>
      </c>
      <c r="D337" t="s">
        <v>1120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1121</v>
      </c>
      <c r="C338" t="s">
        <v>1122</v>
      </c>
      <c r="D338" t="s">
        <v>1123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115</v>
      </c>
      <c r="C339" t="s">
        <v>1124</v>
      </c>
      <c r="D339" t="s">
        <v>1125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1126</v>
      </c>
      <c r="C340" t="s">
        <v>1127</v>
      </c>
      <c r="D340" t="s">
        <v>1128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1129</v>
      </c>
      <c r="C341" t="s">
        <v>1130</v>
      </c>
      <c r="D341" t="s">
        <v>1131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1132</v>
      </c>
      <c r="C342" t="s">
        <v>1133</v>
      </c>
      <c r="D342" t="s">
        <v>1134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1135</v>
      </c>
      <c r="C343" t="s">
        <v>1136</v>
      </c>
      <c r="D343" t="s">
        <v>1137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1138</v>
      </c>
      <c r="C344" t="s">
        <v>1139</v>
      </c>
      <c r="D344" t="s">
        <v>1140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1141</v>
      </c>
      <c r="C345" t="s">
        <v>1142</v>
      </c>
      <c r="D345" t="s">
        <v>1143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1144</v>
      </c>
      <c r="C346" t="s">
        <v>1145</v>
      </c>
      <c r="D346" t="s">
        <v>1146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1147</v>
      </c>
      <c r="C347" t="s">
        <v>1148</v>
      </c>
      <c r="D347" t="s">
        <v>1149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1150</v>
      </c>
      <c r="C348" t="s">
        <v>1151</v>
      </c>
      <c r="D348" t="s">
        <v>1152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1153</v>
      </c>
      <c r="C349" t="s">
        <v>1154</v>
      </c>
      <c r="D349" t="s">
        <v>1155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1156</v>
      </c>
      <c r="C350" t="s">
        <v>1157</v>
      </c>
      <c r="D350" t="s">
        <v>1158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1159</v>
      </c>
      <c r="C351" t="s">
        <v>1160</v>
      </c>
      <c r="D351" t="s">
        <v>1161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1162</v>
      </c>
      <c r="C352" t="s">
        <v>1163</v>
      </c>
      <c r="D352" t="s">
        <v>1164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1165</v>
      </c>
      <c r="C353" t="s">
        <v>1166</v>
      </c>
      <c r="D353" t="s">
        <v>1167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1168</v>
      </c>
      <c r="C354" t="s">
        <v>1169</v>
      </c>
      <c r="D354" t="s">
        <v>1170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1171</v>
      </c>
      <c r="C355" t="s">
        <v>1172</v>
      </c>
      <c r="D355" t="s">
        <v>1173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1174</v>
      </c>
      <c r="C356" t="s">
        <v>1175</v>
      </c>
      <c r="D356" t="s">
        <v>1176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1177</v>
      </c>
      <c r="C357" t="s">
        <v>1178</v>
      </c>
      <c r="D357" t="s">
        <v>1179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1180</v>
      </c>
      <c r="C358" t="s">
        <v>1181</v>
      </c>
      <c r="D358" t="s">
        <v>1182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1183</v>
      </c>
      <c r="C359" t="s">
        <v>1184</v>
      </c>
      <c r="D359" t="s">
        <v>1185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102</v>
      </c>
      <c r="C360" t="s">
        <v>1186</v>
      </c>
      <c r="D360" t="s">
        <v>1187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214</v>
      </c>
      <c r="C361" t="s">
        <v>1188</v>
      </c>
      <c r="D361" t="s">
        <v>1189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1190</v>
      </c>
      <c r="C362" t="s">
        <v>1191</v>
      </c>
      <c r="D362" t="s">
        <v>1192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1193</v>
      </c>
      <c r="C363" t="s">
        <v>1194</v>
      </c>
      <c r="D363" t="s">
        <v>1195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207</v>
      </c>
      <c r="C364" t="s">
        <v>1196</v>
      </c>
      <c r="D364" t="s">
        <v>1197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185</v>
      </c>
      <c r="C365" t="s">
        <v>1198</v>
      </c>
      <c r="D365" t="s">
        <v>1199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1200</v>
      </c>
      <c r="C366" t="s">
        <v>1201</v>
      </c>
      <c r="D366" t="s">
        <v>1202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BC59-1C97-4935-8EF5-1DBF88D9CB44}">
  <sheetPr>
    <tabColor rgb="FFF6E7D8"/>
  </sheetPr>
  <dimension ref="A1:AE23"/>
  <sheetViews>
    <sheetView zoomScale="70" zoomScaleNormal="70" workbookViewId="0">
      <selection activeCell="K24" sqref="K24"/>
    </sheetView>
  </sheetViews>
  <sheetFormatPr defaultRowHeight="13.2" x14ac:dyDescent="0.25"/>
  <cols>
    <col min="1" max="1" width="5.6640625" bestFit="1" customWidth="1"/>
    <col min="2" max="2" width="22.33203125" bestFit="1" customWidth="1"/>
    <col min="3" max="3" width="11.5546875" bestFit="1" customWidth="1"/>
    <col min="4" max="4" width="7.5546875" bestFit="1" customWidth="1"/>
    <col min="5" max="5" width="12.44140625" bestFit="1" customWidth="1"/>
    <col min="6" max="6" width="10.21875" bestFit="1" customWidth="1"/>
    <col min="7" max="7" width="8.21875" bestFit="1" customWidth="1"/>
    <col min="8" max="8" width="2.77734375" customWidth="1"/>
    <col min="9" max="9" width="5.6640625" bestFit="1" customWidth="1"/>
    <col min="10" max="10" width="15.77734375" bestFit="1" customWidth="1"/>
    <col min="11" max="11" width="14.109375" bestFit="1" customWidth="1"/>
    <col min="12" max="12" width="7.5546875" bestFit="1" customWidth="1"/>
    <col min="13" max="13" width="12.44140625" bestFit="1" customWidth="1"/>
    <col min="14" max="14" width="10.21875" bestFit="1" customWidth="1"/>
    <col min="15" max="15" width="8.21875" bestFit="1" customWidth="1"/>
    <col min="16" max="16" width="2.77734375" customWidth="1"/>
    <col min="17" max="17" width="5.6640625" bestFit="1" customWidth="1"/>
    <col min="18" max="18" width="13.77734375" bestFit="1" customWidth="1"/>
    <col min="19" max="19" width="13.88671875" bestFit="1" customWidth="1"/>
    <col min="20" max="20" width="7.5546875" bestFit="1" customWidth="1"/>
    <col min="21" max="21" width="12.44140625" bestFit="1" customWidth="1"/>
    <col min="22" max="22" width="10.21875" bestFit="1" customWidth="1"/>
    <col min="23" max="23" width="8.21875" bestFit="1" customWidth="1"/>
    <col min="24" max="24" width="2.77734375" customWidth="1"/>
    <col min="25" max="25" width="5.6640625" bestFit="1" customWidth="1"/>
    <col min="26" max="26" width="16" bestFit="1" customWidth="1"/>
    <col min="27" max="27" width="13.88671875" bestFit="1" customWidth="1"/>
    <col min="28" max="28" width="7.5546875" bestFit="1" customWidth="1"/>
    <col min="29" max="29" width="12.44140625" bestFit="1" customWidth="1"/>
    <col min="30" max="30" width="10.21875" bestFit="1" customWidth="1"/>
    <col min="31" max="31" width="8.21875" bestFit="1" customWidth="1"/>
  </cols>
  <sheetData>
    <row r="1" spans="1:31" ht="27.6" customHeight="1" x14ac:dyDescent="0.25">
      <c r="A1" s="223" t="s">
        <v>3</v>
      </c>
      <c r="B1" s="223"/>
      <c r="C1" s="223"/>
      <c r="D1" s="223"/>
      <c r="E1" s="223"/>
      <c r="F1" s="223"/>
      <c r="G1" s="223"/>
      <c r="I1" s="223" t="s">
        <v>4</v>
      </c>
      <c r="J1" s="223"/>
      <c r="K1" s="223"/>
      <c r="L1" s="223"/>
      <c r="M1" s="223"/>
      <c r="N1" s="223"/>
      <c r="O1" s="223"/>
      <c r="Q1" s="223" t="s">
        <v>15</v>
      </c>
      <c r="R1" s="223"/>
      <c r="S1" s="223"/>
      <c r="T1" s="223"/>
      <c r="U1" s="223"/>
      <c r="V1" s="223"/>
      <c r="W1" s="223"/>
      <c r="Y1" s="223" t="s">
        <v>14</v>
      </c>
      <c r="Z1" s="223"/>
      <c r="AA1" s="223"/>
      <c r="AB1" s="223"/>
      <c r="AC1" s="223"/>
      <c r="AD1" s="223"/>
      <c r="AE1" s="223"/>
    </row>
    <row r="2" spans="1:31" x14ac:dyDescent="0.25">
      <c r="A2" t="s">
        <v>21</v>
      </c>
      <c r="B2" t="s">
        <v>128</v>
      </c>
      <c r="C2" t="s">
        <v>129</v>
      </c>
      <c r="D2" t="s">
        <v>130</v>
      </c>
      <c r="E2" t="s">
        <v>131</v>
      </c>
      <c r="F2" t="s">
        <v>132</v>
      </c>
      <c r="G2" t="s">
        <v>133</v>
      </c>
      <c r="I2" t="s">
        <v>21</v>
      </c>
      <c r="J2" t="s">
        <v>128</v>
      </c>
      <c r="K2" t="s">
        <v>129</v>
      </c>
      <c r="L2" t="s">
        <v>130</v>
      </c>
      <c r="M2" t="s">
        <v>131</v>
      </c>
      <c r="N2" t="s">
        <v>132</v>
      </c>
      <c r="O2" t="s">
        <v>133</v>
      </c>
      <c r="Q2" t="s">
        <v>21</v>
      </c>
      <c r="R2" t="s">
        <v>128</v>
      </c>
      <c r="S2" t="s">
        <v>129</v>
      </c>
      <c r="T2" t="s">
        <v>130</v>
      </c>
      <c r="U2" t="s">
        <v>131</v>
      </c>
      <c r="V2" t="s">
        <v>132</v>
      </c>
      <c r="W2" t="s">
        <v>133</v>
      </c>
      <c r="Y2" t="s">
        <v>21</v>
      </c>
      <c r="Z2" t="s">
        <v>128</v>
      </c>
      <c r="AA2" t="s">
        <v>129</v>
      </c>
      <c r="AB2" t="s">
        <v>130</v>
      </c>
      <c r="AC2" t="s">
        <v>131</v>
      </c>
      <c r="AD2" t="s">
        <v>132</v>
      </c>
      <c r="AE2" t="s">
        <v>133</v>
      </c>
    </row>
    <row r="3" spans="1:31" x14ac:dyDescent="0.25">
      <c r="A3" s="221">
        <v>1</v>
      </c>
      <c r="B3" t="s">
        <v>95</v>
      </c>
      <c r="C3" t="s">
        <v>96</v>
      </c>
      <c r="D3" t="s">
        <v>97</v>
      </c>
      <c r="E3">
        <v>2</v>
      </c>
      <c r="F3" t="s">
        <v>98</v>
      </c>
      <c r="G3">
        <v>2024</v>
      </c>
      <c r="I3" s="221">
        <v>1</v>
      </c>
      <c r="J3" t="s">
        <v>136</v>
      </c>
      <c r="K3" t="s">
        <v>99</v>
      </c>
      <c r="L3" t="s">
        <v>137</v>
      </c>
      <c r="M3">
        <v>4</v>
      </c>
      <c r="N3" t="s">
        <v>98</v>
      </c>
      <c r="O3" t="s">
        <v>138</v>
      </c>
      <c r="Q3" s="221">
        <v>1</v>
      </c>
      <c r="R3" t="s">
        <v>45</v>
      </c>
      <c r="S3" t="s">
        <v>99</v>
      </c>
      <c r="T3" t="s">
        <v>111</v>
      </c>
      <c r="U3">
        <v>1</v>
      </c>
      <c r="V3" t="s">
        <v>101</v>
      </c>
      <c r="W3" t="s">
        <v>138</v>
      </c>
      <c r="Y3" s="221">
        <v>1</v>
      </c>
      <c r="Z3" t="s">
        <v>196</v>
      </c>
      <c r="AA3" t="s">
        <v>105</v>
      </c>
      <c r="AB3" t="s">
        <v>137</v>
      </c>
      <c r="AC3">
        <v>3</v>
      </c>
      <c r="AD3" t="s">
        <v>98</v>
      </c>
      <c r="AE3" t="s">
        <v>138</v>
      </c>
    </row>
    <row r="4" spans="1:31" x14ac:dyDescent="0.25">
      <c r="A4" s="221">
        <v>2</v>
      </c>
      <c r="B4" t="s">
        <v>32</v>
      </c>
      <c r="C4" t="s">
        <v>99</v>
      </c>
      <c r="D4" t="s">
        <v>100</v>
      </c>
      <c r="E4">
        <v>6</v>
      </c>
      <c r="F4" t="s">
        <v>101</v>
      </c>
      <c r="G4">
        <v>2024</v>
      </c>
      <c r="I4" s="221">
        <v>2</v>
      </c>
      <c r="J4" t="s">
        <v>992</v>
      </c>
      <c r="K4" t="s">
        <v>139</v>
      </c>
      <c r="L4" t="s">
        <v>137</v>
      </c>
      <c r="M4">
        <v>8</v>
      </c>
      <c r="N4" t="s">
        <v>98</v>
      </c>
      <c r="O4" t="s">
        <v>140</v>
      </c>
      <c r="Q4" s="221">
        <v>2</v>
      </c>
      <c r="R4" t="s">
        <v>171</v>
      </c>
      <c r="S4" t="s">
        <v>103</v>
      </c>
      <c r="T4" t="s">
        <v>172</v>
      </c>
      <c r="U4">
        <v>7</v>
      </c>
      <c r="V4" t="s">
        <v>101</v>
      </c>
      <c r="W4" t="s">
        <v>138</v>
      </c>
      <c r="Y4" s="221">
        <v>2</v>
      </c>
      <c r="Z4" t="s">
        <v>197</v>
      </c>
      <c r="AA4" t="s">
        <v>99</v>
      </c>
      <c r="AB4" t="s">
        <v>162</v>
      </c>
      <c r="AC4">
        <v>5</v>
      </c>
      <c r="AD4" t="s">
        <v>101</v>
      </c>
      <c r="AE4" t="s">
        <v>138</v>
      </c>
    </row>
    <row r="5" spans="1:31" x14ac:dyDescent="0.25">
      <c r="A5" s="221">
        <v>3</v>
      </c>
      <c r="B5" t="s">
        <v>102</v>
      </c>
      <c r="C5" t="s">
        <v>103</v>
      </c>
      <c r="D5" t="s">
        <v>104</v>
      </c>
      <c r="E5">
        <v>12</v>
      </c>
      <c r="F5" t="s">
        <v>101</v>
      </c>
      <c r="G5">
        <v>2024</v>
      </c>
      <c r="I5" s="221">
        <v>3</v>
      </c>
      <c r="J5" t="s">
        <v>141</v>
      </c>
      <c r="K5" t="s">
        <v>105</v>
      </c>
      <c r="L5" t="s">
        <v>100</v>
      </c>
      <c r="M5">
        <v>9</v>
      </c>
      <c r="N5" t="s">
        <v>101</v>
      </c>
      <c r="O5" t="s">
        <v>138</v>
      </c>
      <c r="Q5" s="221">
        <v>3</v>
      </c>
      <c r="R5" t="s">
        <v>173</v>
      </c>
      <c r="S5" t="s">
        <v>105</v>
      </c>
      <c r="T5" t="s">
        <v>108</v>
      </c>
      <c r="U5">
        <v>10</v>
      </c>
      <c r="V5" t="s">
        <v>101</v>
      </c>
      <c r="W5" t="s">
        <v>138</v>
      </c>
      <c r="Y5" s="221">
        <v>3</v>
      </c>
      <c r="Z5" t="s">
        <v>198</v>
      </c>
      <c r="AA5" t="s">
        <v>99</v>
      </c>
      <c r="AB5" t="s">
        <v>147</v>
      </c>
      <c r="AC5">
        <v>11</v>
      </c>
      <c r="AD5" t="s">
        <v>101</v>
      </c>
      <c r="AE5" t="s">
        <v>138</v>
      </c>
    </row>
    <row r="6" spans="1:31" x14ac:dyDescent="0.25">
      <c r="A6" s="221">
        <v>4</v>
      </c>
      <c r="B6" t="s">
        <v>39</v>
      </c>
      <c r="C6" t="s">
        <v>105</v>
      </c>
      <c r="D6" t="s">
        <v>106</v>
      </c>
      <c r="E6">
        <v>16</v>
      </c>
      <c r="F6" t="s">
        <v>101</v>
      </c>
      <c r="G6">
        <v>2024</v>
      </c>
      <c r="I6" s="221">
        <v>4</v>
      </c>
      <c r="J6" t="s">
        <v>142</v>
      </c>
      <c r="K6" t="s">
        <v>103</v>
      </c>
      <c r="L6" t="s">
        <v>100</v>
      </c>
      <c r="M6">
        <v>15</v>
      </c>
      <c r="N6" t="s">
        <v>101</v>
      </c>
      <c r="O6" t="s">
        <v>143</v>
      </c>
      <c r="Q6" s="221">
        <v>4</v>
      </c>
      <c r="R6" t="s">
        <v>174</v>
      </c>
      <c r="S6" t="s">
        <v>99</v>
      </c>
      <c r="T6" t="s">
        <v>175</v>
      </c>
      <c r="U6">
        <v>13</v>
      </c>
      <c r="V6" t="s">
        <v>101</v>
      </c>
      <c r="W6" t="s">
        <v>138</v>
      </c>
      <c r="Y6" s="221">
        <v>4</v>
      </c>
      <c r="Z6" t="s">
        <v>199</v>
      </c>
      <c r="AA6" t="s">
        <v>103</v>
      </c>
      <c r="AB6" t="s">
        <v>147</v>
      </c>
      <c r="AC6">
        <v>14</v>
      </c>
      <c r="AD6" t="s">
        <v>101</v>
      </c>
      <c r="AE6" t="s">
        <v>138</v>
      </c>
    </row>
    <row r="7" spans="1:31" x14ac:dyDescent="0.25">
      <c r="A7" s="221">
        <v>5</v>
      </c>
      <c r="B7" t="s">
        <v>107</v>
      </c>
      <c r="C7" t="s">
        <v>103</v>
      </c>
      <c r="D7" t="s">
        <v>108</v>
      </c>
      <c r="E7">
        <v>19</v>
      </c>
      <c r="F7" t="s">
        <v>101</v>
      </c>
      <c r="G7">
        <v>2024</v>
      </c>
      <c r="I7" s="221">
        <v>5</v>
      </c>
      <c r="J7" t="s">
        <v>144</v>
      </c>
      <c r="K7" t="s">
        <v>37</v>
      </c>
      <c r="L7" t="s">
        <v>145</v>
      </c>
      <c r="M7">
        <v>20</v>
      </c>
      <c r="N7" t="s">
        <v>98</v>
      </c>
      <c r="O7" t="s">
        <v>143</v>
      </c>
      <c r="Q7" s="221">
        <v>5</v>
      </c>
      <c r="R7" t="s">
        <v>176</v>
      </c>
      <c r="S7" t="s">
        <v>103</v>
      </c>
      <c r="T7" t="s">
        <v>124</v>
      </c>
      <c r="U7">
        <v>17</v>
      </c>
      <c r="V7" t="s">
        <v>98</v>
      </c>
      <c r="W7" t="s">
        <v>170</v>
      </c>
      <c r="Y7" s="221">
        <v>5</v>
      </c>
      <c r="Z7" t="s">
        <v>80</v>
      </c>
      <c r="AA7" t="s">
        <v>96</v>
      </c>
      <c r="AB7" t="s">
        <v>172</v>
      </c>
      <c r="AC7">
        <v>18</v>
      </c>
      <c r="AD7" t="s">
        <v>101</v>
      </c>
      <c r="AE7" t="s">
        <v>138</v>
      </c>
    </row>
    <row r="8" spans="1:31" x14ac:dyDescent="0.25">
      <c r="A8" s="221">
        <v>6</v>
      </c>
      <c r="B8" t="s">
        <v>58</v>
      </c>
      <c r="C8" t="s">
        <v>105</v>
      </c>
      <c r="D8" t="s">
        <v>108</v>
      </c>
      <c r="E8">
        <v>21</v>
      </c>
      <c r="F8" t="s">
        <v>101</v>
      </c>
      <c r="G8">
        <v>2024</v>
      </c>
      <c r="I8" s="221">
        <v>6</v>
      </c>
      <c r="J8" t="s">
        <v>146</v>
      </c>
      <c r="K8" t="s">
        <v>99</v>
      </c>
      <c r="L8" t="s">
        <v>147</v>
      </c>
      <c r="M8">
        <v>23</v>
      </c>
      <c r="N8" t="s">
        <v>101</v>
      </c>
      <c r="O8" t="s">
        <v>143</v>
      </c>
      <c r="Q8" s="221">
        <v>6</v>
      </c>
      <c r="R8" t="s">
        <v>677</v>
      </c>
      <c r="S8" t="s">
        <v>99</v>
      </c>
      <c r="T8" t="s">
        <v>147</v>
      </c>
      <c r="U8">
        <v>24</v>
      </c>
      <c r="V8" t="s">
        <v>101</v>
      </c>
      <c r="W8" t="s">
        <v>140</v>
      </c>
      <c r="Y8" s="221">
        <v>6</v>
      </c>
      <c r="Z8" t="s">
        <v>200</v>
      </c>
      <c r="AA8" t="s">
        <v>103</v>
      </c>
      <c r="AB8" t="s">
        <v>113</v>
      </c>
      <c r="AC8">
        <v>22</v>
      </c>
      <c r="AD8" t="s">
        <v>101</v>
      </c>
      <c r="AE8" t="s">
        <v>138</v>
      </c>
    </row>
    <row r="9" spans="1:31" x14ac:dyDescent="0.25">
      <c r="A9" s="221">
        <v>7</v>
      </c>
      <c r="B9" t="s">
        <v>109</v>
      </c>
      <c r="C9" t="s">
        <v>110</v>
      </c>
      <c r="D9" t="s">
        <v>111</v>
      </c>
      <c r="E9">
        <v>27</v>
      </c>
      <c r="F9" t="s">
        <v>101</v>
      </c>
      <c r="G9">
        <v>2024</v>
      </c>
      <c r="I9" s="221">
        <v>7</v>
      </c>
      <c r="J9" t="s">
        <v>148</v>
      </c>
      <c r="K9" t="s">
        <v>105</v>
      </c>
      <c r="L9" t="s">
        <v>113</v>
      </c>
      <c r="M9">
        <v>28</v>
      </c>
      <c r="N9" t="s">
        <v>101</v>
      </c>
      <c r="O9" t="s">
        <v>138</v>
      </c>
      <c r="Q9" s="221">
        <v>7</v>
      </c>
      <c r="R9" t="s">
        <v>177</v>
      </c>
      <c r="S9" t="s">
        <v>139</v>
      </c>
      <c r="T9" t="s">
        <v>149</v>
      </c>
      <c r="U9">
        <v>26</v>
      </c>
      <c r="V9" t="s">
        <v>101</v>
      </c>
      <c r="W9" t="s">
        <v>138</v>
      </c>
      <c r="Y9" s="221">
        <v>7</v>
      </c>
      <c r="Z9" t="s">
        <v>201</v>
      </c>
      <c r="AA9" t="s">
        <v>103</v>
      </c>
      <c r="AB9" t="s">
        <v>175</v>
      </c>
      <c r="AC9">
        <v>25</v>
      </c>
      <c r="AD9" t="s">
        <v>101</v>
      </c>
      <c r="AE9" t="s">
        <v>143</v>
      </c>
    </row>
    <row r="10" spans="1:31" x14ac:dyDescent="0.25">
      <c r="A10" s="221">
        <v>8</v>
      </c>
      <c r="B10" t="s">
        <v>112</v>
      </c>
      <c r="C10" t="s">
        <v>99</v>
      </c>
      <c r="D10" t="s">
        <v>113</v>
      </c>
      <c r="E10">
        <v>32</v>
      </c>
      <c r="F10" t="s">
        <v>101</v>
      </c>
      <c r="G10">
        <v>2024</v>
      </c>
      <c r="I10" s="221">
        <v>8</v>
      </c>
      <c r="J10" t="s">
        <v>88</v>
      </c>
      <c r="K10" t="s">
        <v>139</v>
      </c>
      <c r="L10" t="s">
        <v>149</v>
      </c>
      <c r="M10">
        <v>31</v>
      </c>
      <c r="N10" t="s">
        <v>101</v>
      </c>
      <c r="O10" t="s">
        <v>138</v>
      </c>
      <c r="Q10" s="221">
        <v>8</v>
      </c>
      <c r="R10" t="s">
        <v>178</v>
      </c>
      <c r="S10" t="s">
        <v>96</v>
      </c>
      <c r="T10" t="s">
        <v>162</v>
      </c>
      <c r="U10">
        <v>29</v>
      </c>
      <c r="V10" t="s">
        <v>101</v>
      </c>
      <c r="W10" t="s">
        <v>140</v>
      </c>
      <c r="Y10" s="221">
        <v>8</v>
      </c>
      <c r="Z10" t="s">
        <v>202</v>
      </c>
      <c r="AA10" t="s">
        <v>110</v>
      </c>
      <c r="AB10" t="s">
        <v>100</v>
      </c>
      <c r="AC10">
        <v>30</v>
      </c>
      <c r="AD10" t="s">
        <v>98</v>
      </c>
      <c r="AE10" t="s">
        <v>138</v>
      </c>
    </row>
    <row r="11" spans="1:31" x14ac:dyDescent="0.25">
      <c r="A11" s="221">
        <v>9</v>
      </c>
      <c r="B11" t="s">
        <v>48</v>
      </c>
      <c r="C11" t="s">
        <v>105</v>
      </c>
      <c r="D11" t="s">
        <v>114</v>
      </c>
      <c r="E11">
        <v>35</v>
      </c>
      <c r="F11" t="s">
        <v>101</v>
      </c>
      <c r="G11">
        <v>2024</v>
      </c>
      <c r="I11" s="221">
        <v>9</v>
      </c>
      <c r="J11" t="s">
        <v>150</v>
      </c>
      <c r="K11" t="s">
        <v>99</v>
      </c>
      <c r="L11" t="s">
        <v>151</v>
      </c>
      <c r="M11">
        <v>36</v>
      </c>
      <c r="N11" t="s">
        <v>101</v>
      </c>
      <c r="O11" t="s">
        <v>152</v>
      </c>
      <c r="Q11" s="221">
        <v>9</v>
      </c>
      <c r="R11" t="s">
        <v>91</v>
      </c>
      <c r="S11" t="s">
        <v>139</v>
      </c>
      <c r="T11" t="s">
        <v>169</v>
      </c>
      <c r="U11">
        <v>33</v>
      </c>
      <c r="V11" t="s">
        <v>101</v>
      </c>
      <c r="W11" t="s">
        <v>138</v>
      </c>
      <c r="Y11" s="221">
        <v>9</v>
      </c>
      <c r="Z11" t="s">
        <v>203</v>
      </c>
      <c r="AA11" t="s">
        <v>99</v>
      </c>
      <c r="AB11" t="s">
        <v>116</v>
      </c>
      <c r="AC11">
        <v>34</v>
      </c>
      <c r="AD11" t="s">
        <v>101</v>
      </c>
      <c r="AE11" t="s">
        <v>204</v>
      </c>
    </row>
    <row r="12" spans="1:31" x14ac:dyDescent="0.25">
      <c r="A12" s="221">
        <v>10</v>
      </c>
      <c r="B12" t="s">
        <v>115</v>
      </c>
      <c r="C12" t="s">
        <v>99</v>
      </c>
      <c r="D12" t="s">
        <v>116</v>
      </c>
      <c r="E12">
        <v>39</v>
      </c>
      <c r="F12" t="s">
        <v>101</v>
      </c>
      <c r="G12">
        <v>2017</v>
      </c>
      <c r="I12" s="221">
        <v>10</v>
      </c>
      <c r="J12" t="s">
        <v>41</v>
      </c>
      <c r="K12" t="s">
        <v>99</v>
      </c>
      <c r="L12" t="s">
        <v>151</v>
      </c>
      <c r="M12">
        <v>37</v>
      </c>
      <c r="N12" t="s">
        <v>101</v>
      </c>
      <c r="O12" t="s">
        <v>143</v>
      </c>
      <c r="Q12" s="221">
        <v>10</v>
      </c>
      <c r="R12" t="s">
        <v>179</v>
      </c>
      <c r="S12" t="s">
        <v>156</v>
      </c>
      <c r="T12" t="s">
        <v>159</v>
      </c>
      <c r="U12">
        <v>38</v>
      </c>
      <c r="V12" t="s">
        <v>101</v>
      </c>
      <c r="W12" t="s">
        <v>138</v>
      </c>
      <c r="Y12" s="221">
        <v>10</v>
      </c>
      <c r="Z12" t="s">
        <v>205</v>
      </c>
      <c r="AA12" t="s">
        <v>156</v>
      </c>
      <c r="AB12" t="s">
        <v>159</v>
      </c>
      <c r="AC12">
        <v>40</v>
      </c>
      <c r="AD12" t="s">
        <v>101</v>
      </c>
      <c r="AE12" t="s">
        <v>138</v>
      </c>
    </row>
    <row r="13" spans="1:31" x14ac:dyDescent="0.25">
      <c r="A13" s="221">
        <v>11</v>
      </c>
      <c r="B13" t="s">
        <v>1135</v>
      </c>
      <c r="C13" t="s">
        <v>117</v>
      </c>
      <c r="D13" t="s">
        <v>118</v>
      </c>
      <c r="E13">
        <v>45</v>
      </c>
      <c r="F13" t="s">
        <v>98</v>
      </c>
      <c r="G13">
        <v>2023</v>
      </c>
      <c r="I13" s="221">
        <v>11</v>
      </c>
      <c r="J13" t="s">
        <v>153</v>
      </c>
      <c r="K13" t="s">
        <v>154</v>
      </c>
      <c r="L13" t="s">
        <v>155</v>
      </c>
      <c r="M13">
        <v>44</v>
      </c>
      <c r="N13" t="s">
        <v>98</v>
      </c>
      <c r="O13" t="s">
        <v>138</v>
      </c>
      <c r="Q13" s="221">
        <v>11</v>
      </c>
      <c r="R13" t="s">
        <v>181</v>
      </c>
      <c r="S13" t="s">
        <v>96</v>
      </c>
      <c r="T13" t="s">
        <v>182</v>
      </c>
      <c r="U13">
        <v>46</v>
      </c>
      <c r="V13" t="s">
        <v>101</v>
      </c>
      <c r="W13" t="s">
        <v>138</v>
      </c>
      <c r="Y13" s="221">
        <v>11</v>
      </c>
      <c r="Z13" t="s">
        <v>206</v>
      </c>
      <c r="AA13" t="s">
        <v>99</v>
      </c>
      <c r="AB13" t="s">
        <v>194</v>
      </c>
      <c r="AC13">
        <v>41</v>
      </c>
      <c r="AD13" t="s">
        <v>101</v>
      </c>
      <c r="AE13" t="s">
        <v>138</v>
      </c>
    </row>
    <row r="14" spans="1:31" x14ac:dyDescent="0.25">
      <c r="A14" s="221">
        <v>12</v>
      </c>
      <c r="B14" t="s">
        <v>119</v>
      </c>
      <c r="C14" t="s">
        <v>120</v>
      </c>
      <c r="D14" t="s">
        <v>118</v>
      </c>
      <c r="E14">
        <v>50</v>
      </c>
      <c r="F14" t="s">
        <v>98</v>
      </c>
      <c r="G14">
        <v>2021</v>
      </c>
      <c r="I14" s="221">
        <v>12</v>
      </c>
      <c r="J14" t="s">
        <v>86</v>
      </c>
      <c r="K14" t="s">
        <v>156</v>
      </c>
      <c r="L14" t="s">
        <v>124</v>
      </c>
      <c r="M14">
        <v>48</v>
      </c>
      <c r="N14" t="s">
        <v>98</v>
      </c>
      <c r="O14" t="s">
        <v>138</v>
      </c>
      <c r="Q14" s="221">
        <v>12</v>
      </c>
      <c r="R14" t="s">
        <v>183</v>
      </c>
      <c r="S14" t="s">
        <v>184</v>
      </c>
      <c r="T14" t="s">
        <v>137</v>
      </c>
      <c r="U14">
        <v>47</v>
      </c>
      <c r="V14" t="s">
        <v>98</v>
      </c>
      <c r="W14" t="s">
        <v>166</v>
      </c>
      <c r="Y14" s="221">
        <v>12</v>
      </c>
      <c r="Z14" t="s">
        <v>208</v>
      </c>
      <c r="AA14" t="s">
        <v>209</v>
      </c>
      <c r="AB14" t="s">
        <v>172</v>
      </c>
      <c r="AC14">
        <v>49</v>
      </c>
      <c r="AD14" t="s">
        <v>98</v>
      </c>
      <c r="AE14" t="s">
        <v>138</v>
      </c>
    </row>
    <row r="15" spans="1:31" x14ac:dyDescent="0.25">
      <c r="A15" s="221">
        <v>13</v>
      </c>
      <c r="B15" t="s">
        <v>31</v>
      </c>
      <c r="C15" t="s">
        <v>121</v>
      </c>
      <c r="D15" t="s">
        <v>118</v>
      </c>
      <c r="E15">
        <v>53</v>
      </c>
      <c r="F15" t="s">
        <v>98</v>
      </c>
      <c r="G15">
        <v>2024</v>
      </c>
      <c r="I15" s="221">
        <v>13</v>
      </c>
      <c r="J15" t="s">
        <v>157</v>
      </c>
      <c r="K15" t="s">
        <v>158</v>
      </c>
      <c r="L15" t="s">
        <v>159</v>
      </c>
      <c r="M15">
        <v>54</v>
      </c>
      <c r="N15" t="s">
        <v>98</v>
      </c>
      <c r="O15" t="s">
        <v>138</v>
      </c>
      <c r="Q15" s="221">
        <v>13</v>
      </c>
      <c r="R15" t="s">
        <v>185</v>
      </c>
      <c r="S15" t="s">
        <v>186</v>
      </c>
      <c r="T15" t="s">
        <v>187</v>
      </c>
      <c r="U15">
        <v>51</v>
      </c>
      <c r="V15" t="s">
        <v>98</v>
      </c>
      <c r="W15" t="s">
        <v>138</v>
      </c>
      <c r="Y15" s="221">
        <v>13</v>
      </c>
      <c r="Z15" t="s">
        <v>210</v>
      </c>
      <c r="AA15" t="s">
        <v>211</v>
      </c>
      <c r="AB15" t="s">
        <v>145</v>
      </c>
      <c r="AC15">
        <v>52</v>
      </c>
      <c r="AD15" t="s">
        <v>98</v>
      </c>
      <c r="AE15" t="s">
        <v>166</v>
      </c>
    </row>
    <row r="16" spans="1:31" x14ac:dyDescent="0.25">
      <c r="A16" s="221">
        <v>14</v>
      </c>
      <c r="B16" t="s">
        <v>122</v>
      </c>
      <c r="C16" t="s">
        <v>123</v>
      </c>
      <c r="D16" t="s">
        <v>124</v>
      </c>
      <c r="E16">
        <v>58</v>
      </c>
      <c r="F16" t="s">
        <v>98</v>
      </c>
      <c r="G16">
        <v>2019</v>
      </c>
      <c r="I16" s="221">
        <v>14</v>
      </c>
      <c r="J16" t="s">
        <v>160</v>
      </c>
      <c r="K16" t="s">
        <v>161</v>
      </c>
      <c r="L16" t="s">
        <v>162</v>
      </c>
      <c r="M16">
        <v>57</v>
      </c>
      <c r="N16" t="s">
        <v>98</v>
      </c>
      <c r="O16" t="s">
        <v>163</v>
      </c>
      <c r="Q16" s="221">
        <v>14</v>
      </c>
      <c r="R16" t="s">
        <v>188</v>
      </c>
      <c r="S16" t="s">
        <v>189</v>
      </c>
      <c r="T16" t="s">
        <v>124</v>
      </c>
      <c r="U16">
        <v>55</v>
      </c>
      <c r="V16" t="s">
        <v>98</v>
      </c>
      <c r="W16" t="s">
        <v>190</v>
      </c>
      <c r="Y16" s="221">
        <v>14</v>
      </c>
      <c r="Z16" t="s">
        <v>212</v>
      </c>
      <c r="AA16" t="s">
        <v>213</v>
      </c>
      <c r="AB16" t="s">
        <v>149</v>
      </c>
      <c r="AC16">
        <v>56</v>
      </c>
      <c r="AD16" t="s">
        <v>98</v>
      </c>
      <c r="AE16" t="s">
        <v>163</v>
      </c>
    </row>
    <row r="17" spans="1:31" x14ac:dyDescent="0.25">
      <c r="A17" s="221">
        <v>15</v>
      </c>
      <c r="B17" t="s">
        <v>125</v>
      </c>
      <c r="C17" t="s">
        <v>126</v>
      </c>
      <c r="D17" t="s">
        <v>127</v>
      </c>
      <c r="E17">
        <v>59</v>
      </c>
      <c r="F17" t="s">
        <v>98</v>
      </c>
      <c r="G17">
        <v>2015</v>
      </c>
      <c r="I17" s="221">
        <v>15</v>
      </c>
      <c r="J17" t="s">
        <v>164</v>
      </c>
      <c r="K17" t="s">
        <v>165</v>
      </c>
      <c r="L17" t="s">
        <v>106</v>
      </c>
      <c r="M17">
        <v>61</v>
      </c>
      <c r="N17" t="s">
        <v>98</v>
      </c>
      <c r="O17" t="s">
        <v>166</v>
      </c>
      <c r="Q17" s="221">
        <v>15</v>
      </c>
      <c r="R17" t="s">
        <v>60</v>
      </c>
      <c r="S17" t="s">
        <v>191</v>
      </c>
      <c r="T17" t="s">
        <v>192</v>
      </c>
      <c r="U17">
        <v>62</v>
      </c>
      <c r="V17" t="s">
        <v>98</v>
      </c>
      <c r="W17" t="s">
        <v>170</v>
      </c>
      <c r="Y17" s="221">
        <v>15</v>
      </c>
      <c r="Z17" t="s">
        <v>214</v>
      </c>
      <c r="AA17" t="s">
        <v>215</v>
      </c>
      <c r="AB17" t="s">
        <v>194</v>
      </c>
      <c r="AC17">
        <v>60</v>
      </c>
      <c r="AD17" t="s">
        <v>98</v>
      </c>
      <c r="AE17" t="s">
        <v>140</v>
      </c>
    </row>
    <row r="18" spans="1:31" x14ac:dyDescent="0.25">
      <c r="A18" s="221">
        <v>16</v>
      </c>
      <c r="B18" t="s">
        <v>134</v>
      </c>
      <c r="C18" t="s">
        <v>135</v>
      </c>
      <c r="D18" t="s">
        <v>106</v>
      </c>
      <c r="E18">
        <v>66</v>
      </c>
      <c r="F18" t="s">
        <v>98</v>
      </c>
      <c r="G18">
        <v>2021</v>
      </c>
      <c r="I18" s="221">
        <v>16</v>
      </c>
      <c r="J18" t="s">
        <v>167</v>
      </c>
      <c r="K18" t="s">
        <v>168</v>
      </c>
      <c r="L18" t="s">
        <v>169</v>
      </c>
      <c r="M18">
        <v>63</v>
      </c>
      <c r="N18" t="s">
        <v>98</v>
      </c>
      <c r="O18" t="s">
        <v>170</v>
      </c>
      <c r="Q18" s="221">
        <v>16</v>
      </c>
      <c r="R18" t="s">
        <v>34</v>
      </c>
      <c r="S18" t="s">
        <v>193</v>
      </c>
      <c r="T18" t="s">
        <v>194</v>
      </c>
      <c r="U18">
        <v>67</v>
      </c>
      <c r="V18" t="s">
        <v>98</v>
      </c>
      <c r="W18" t="s">
        <v>195</v>
      </c>
      <c r="Y18" s="221">
        <v>16</v>
      </c>
      <c r="Z18" t="s">
        <v>216</v>
      </c>
      <c r="AA18" t="s">
        <v>217</v>
      </c>
      <c r="AB18" t="s">
        <v>147</v>
      </c>
      <c r="AC18">
        <v>64</v>
      </c>
      <c r="AD18" t="s">
        <v>98</v>
      </c>
      <c r="AE18" t="s">
        <v>166</v>
      </c>
    </row>
    <row r="23" spans="1:31" x14ac:dyDescent="0.25">
      <c r="Q23" s="220"/>
    </row>
  </sheetData>
  <mergeCells count="4">
    <mergeCell ref="A1:G1"/>
    <mergeCell ref="I1:O1"/>
    <mergeCell ref="Q1:W1"/>
    <mergeCell ref="Y1:AE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workbookViewId="0">
      <pane ySplit="1" topLeftCell="A2" activePane="bottomLeft" state="frozen"/>
      <selection pane="bottomLeft" activeCell="C2" sqref="C2:C65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55</v>
      </c>
      <c r="D28" t="str">
        <f>_xlfn.XLOOKUP(Teams[[#This Row],[Team]],Team_Links[School],Team_Links[PartialLink],,0,1)</f>
        <v>boston-university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56</v>
      </c>
      <c r="D29" t="str">
        <f>_xlfn.XLOOKUP(Teams[[#This Row],[Team]],Team_Links[School],Team_Links[PartialLink],,0,1)</f>
        <v>bowling-green-state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abSelected="1" topLeftCell="E1" zoomScale="90" zoomScaleNormal="90" workbookViewId="0">
      <pane ySplit="4" topLeftCell="A5" activePane="bottomLeft" state="frozen"/>
      <selection activeCell="E1" sqref="E1"/>
      <selection pane="bottomLeft" activeCell="Q9" sqref="Q9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27" t="s">
        <v>10</v>
      </c>
      <c r="F3" s="224" t="s">
        <v>21</v>
      </c>
      <c r="G3" s="229" t="s">
        <v>93</v>
      </c>
      <c r="H3" s="229"/>
      <c r="I3" s="229"/>
      <c r="J3" s="224" t="s">
        <v>21</v>
      </c>
      <c r="K3" s="224" t="s">
        <v>24</v>
      </c>
      <c r="L3" s="224"/>
      <c r="M3" s="224" t="s">
        <v>25</v>
      </c>
      <c r="N3" s="224"/>
      <c r="O3" s="224" t="s">
        <v>8</v>
      </c>
      <c r="P3" s="201"/>
      <c r="Q3" s="283" t="s">
        <v>94</v>
      </c>
    </row>
    <row r="4" spans="1:19" ht="14.4" thickBot="1" x14ac:dyDescent="0.3">
      <c r="A4" s="217"/>
      <c r="B4" s="218"/>
      <c r="C4" s="218"/>
      <c r="D4" s="219"/>
      <c r="E4" s="228"/>
      <c r="F4" s="225"/>
      <c r="G4" s="230"/>
      <c r="H4" s="230"/>
      <c r="I4" s="230"/>
      <c r="J4" s="225"/>
      <c r="K4" s="225"/>
      <c r="L4" s="225"/>
      <c r="M4" s="225"/>
      <c r="N4" s="225"/>
      <c r="O4" s="225"/>
      <c r="P4" s="202"/>
      <c r="Q4" s="284"/>
    </row>
    <row r="5" spans="1:19" ht="24" customHeight="1" x14ac:dyDescent="0.25">
      <c r="A5" s="91" t="str">
        <f>G5</f>
        <v>Abilene Christian</v>
      </c>
      <c r="B5" s="91" t="str">
        <f t="shared" ref="B5:B36" si="0">I5</f>
        <v>Air Force</v>
      </c>
      <c r="C5" s="91" t="str">
        <f t="shared" ref="C5:C36" ca="1" si="1">IF(O5="","",IF(A5=O5,B5,A5))</f>
        <v>Abilene Christian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Abilene Christian</v>
      </c>
      <c r="H5" s="181" t="s">
        <v>9</v>
      </c>
      <c r="I5" s="132" t="str">
        <f>Teams!C3</f>
        <v>Air Force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117</v>
      </c>
      <c r="M5" s="84" t="e" vm="66">
        <f>_xlfn.XLOOKUP(I5,Teams!$C:$C,Teams!$E:$E,,0,1)</f>
        <v>#VALUE!</v>
      </c>
      <c r="N5" s="84">
        <f ca="1">RANDBETWEEN(90,120)</f>
        <v>117</v>
      </c>
      <c r="O5" s="194" t="str">
        <f t="shared" ref="O5:O36" ca="1" si="3">IF(L5&gt;N5,G5,I5)</f>
        <v>Air Force</v>
      </c>
      <c r="P5" s="209" t="e" vm="66">
        <f ca="1">_xlfn.XLOOKUP(O5,Teams!$C:$C,Teams!$E:$E,,0,1)</f>
        <v>#VALUE!</v>
      </c>
      <c r="Q5" s="286" t="s">
        <v>1205</v>
      </c>
      <c r="R5" s="6" t="b">
        <f ca="1"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Akron</v>
      </c>
      <c r="B6" s="91" t="str">
        <f t="shared" si="0"/>
        <v>Alabama</v>
      </c>
      <c r="C6" s="91" t="str">
        <f t="shared" ca="1" si="1"/>
        <v>Akron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Akron</v>
      </c>
      <c r="H6" s="176" t="s">
        <v>9</v>
      </c>
      <c r="I6" s="102" t="str">
        <f>Teams!C5</f>
        <v>Alabama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110</v>
      </c>
      <c r="M6" s="82" t="e" vm="68">
        <f>_xlfn.XLOOKUP(I6,Teams!$C:$C,Teams!$E:$E,,0,1)</f>
        <v>#VALUE!</v>
      </c>
      <c r="N6" s="82">
        <f t="shared" ca="1" si="5"/>
        <v>112</v>
      </c>
      <c r="O6" s="189" t="str">
        <f t="shared" ca="1" si="3"/>
        <v>Alabama</v>
      </c>
      <c r="P6" s="204" t="e" vm="68">
        <f ca="1">_xlfn.XLOOKUP(O6,Teams!$C:$C,Teams!$E:$E,,0,1)</f>
        <v>#VALUE!</v>
      </c>
      <c r="Q6" s="287" t="s">
        <v>1204</v>
      </c>
      <c r="R6" s="6" t="b">
        <f t="shared" ref="R6:R69" ca="1" si="6">IF(
O6=G6,
IF(F6&gt;J6,TRUE,FALSE),
IF(J6&gt;F6,TRUE,FALSE))</f>
        <v>1</v>
      </c>
      <c r="S6" s="98"/>
    </row>
    <row r="7" spans="1:19" ht="24" customHeight="1" x14ac:dyDescent="0.25">
      <c r="A7" s="91" t="str">
        <f t="shared" si="4"/>
        <v>Alabama A&amp;M</v>
      </c>
      <c r="B7" s="91" t="str">
        <f t="shared" si="0"/>
        <v>Alabama State</v>
      </c>
      <c r="C7" s="91" t="str">
        <f t="shared" ca="1" si="1"/>
        <v>Alabama State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Alabama A&amp;M</v>
      </c>
      <c r="H7" s="176" t="s">
        <v>9</v>
      </c>
      <c r="I7" s="102" t="str">
        <f>Teams[[#This Row],[Team]]</f>
        <v>Alabama State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106</v>
      </c>
      <c r="M7" s="82" t="e" vm="70">
        <f>_xlfn.XLOOKUP(I7,Teams!$C:$C,Teams!$E:$E,,0,1)</f>
        <v>#VALUE!</v>
      </c>
      <c r="N7" s="82">
        <f t="shared" ca="1" si="5"/>
        <v>98</v>
      </c>
      <c r="O7" s="189" t="str">
        <f t="shared" ca="1" si="3"/>
        <v>Alabama A&amp;M</v>
      </c>
      <c r="P7" s="204" t="e" vm="69">
        <f ca="1">_xlfn.XLOOKUP(O7,Teams!$C:$C,Teams!$E:$E,,0,1)</f>
        <v>#VALUE!</v>
      </c>
      <c r="Q7" s="287" t="s">
        <v>1204</v>
      </c>
      <c r="R7" s="6" t="b">
        <f t="shared" ca="1" si="6"/>
        <v>0</v>
      </c>
      <c r="S7" s="98"/>
    </row>
    <row r="8" spans="1:19" ht="24" customHeight="1" x14ac:dyDescent="0.25">
      <c r="A8" s="91" t="str">
        <f t="shared" si="4"/>
        <v>Albany (NY)</v>
      </c>
      <c r="B8" s="91" t="str">
        <f t="shared" si="0"/>
        <v>Alcorn State</v>
      </c>
      <c r="C8" s="91" t="str">
        <f t="shared" ca="1" si="1"/>
        <v>Albany (NY)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Albany (NY)</v>
      </c>
      <c r="H8" s="176" t="s">
        <v>9</v>
      </c>
      <c r="I8" s="102" t="str">
        <f>Teams!C9</f>
        <v>Alcorn State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106</v>
      </c>
      <c r="M8" s="82" t="e" vm="72">
        <f>_xlfn.XLOOKUP(I8,Teams!$C:$C,Teams!$E:$E,,0,1)</f>
        <v>#VALUE!</v>
      </c>
      <c r="N8" s="82">
        <f t="shared" ca="1" si="5"/>
        <v>118</v>
      </c>
      <c r="O8" s="189" t="str">
        <f t="shared" ca="1" si="3"/>
        <v>Alcorn State</v>
      </c>
      <c r="P8" s="204" t="e" vm="72">
        <f ca="1">_xlfn.XLOOKUP(O8,Teams!$C:$C,Teams!$E:$E,,0,1)</f>
        <v>#VALUE!</v>
      </c>
      <c r="Q8" s="287" t="s">
        <v>1204</v>
      </c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American</v>
      </c>
      <c r="B9" s="91" t="str">
        <f t="shared" si="0"/>
        <v>Appalachian State</v>
      </c>
      <c r="C9" s="91" t="str">
        <f t="shared" ca="1" si="1"/>
        <v>Appalachian State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American</v>
      </c>
      <c r="H9" s="176" t="s">
        <v>9</v>
      </c>
      <c r="I9" s="102" t="str">
        <f>Teams!C11</f>
        <v>Appalachian State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106</v>
      </c>
      <c r="M9" s="82" t="e" vm="74">
        <f>_xlfn.XLOOKUP(I9,Teams!$C:$C,Teams!$E:$E,,0,1)</f>
        <v>#VALUE!</v>
      </c>
      <c r="N9" s="82">
        <f t="shared" ca="1" si="5"/>
        <v>93</v>
      </c>
      <c r="O9" s="189" t="str">
        <f t="shared" ca="1" si="3"/>
        <v>American</v>
      </c>
      <c r="P9" s="204" t="e" vm="73">
        <f ca="1">_xlfn.XLOOKUP(O9,Teams!$C:$C,Teams!$E:$E,,0,1)</f>
        <v>#VALUE!</v>
      </c>
      <c r="Q9" s="287" t="s">
        <v>1204</v>
      </c>
      <c r="R9" s="6" t="b">
        <f t="shared" ca="1" si="6"/>
        <v>0</v>
      </c>
      <c r="S9" s="98"/>
    </row>
    <row r="10" spans="1:19" ht="24" customHeight="1" x14ac:dyDescent="0.25">
      <c r="A10" s="91" t="str">
        <f t="shared" si="4"/>
        <v>Arizona</v>
      </c>
      <c r="B10" s="91" t="str">
        <f t="shared" si="0"/>
        <v>Arizona State</v>
      </c>
      <c r="C10" s="91" t="str">
        <f t="shared" ca="1" si="1"/>
        <v>Arizona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Arizona</v>
      </c>
      <c r="H10" s="176" t="s">
        <v>9</v>
      </c>
      <c r="I10" s="102" t="str">
        <f>Teams!C13</f>
        <v>Arizona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100</v>
      </c>
      <c r="M10" s="82" t="e" vm="76">
        <f>_xlfn.XLOOKUP(I10,Teams!$C:$C,Teams!$E:$E,,0,1)</f>
        <v>#VALUE!</v>
      </c>
      <c r="N10" s="82">
        <f t="shared" ca="1" si="5"/>
        <v>118</v>
      </c>
      <c r="O10" s="189" t="str">
        <f t="shared" ca="1" si="3"/>
        <v>Arizona State</v>
      </c>
      <c r="P10" s="204" t="e" vm="76">
        <f ca="1">_xlfn.XLOOKUP(O10,Teams!$C:$C,Teams!$E:$E,,0,1)</f>
        <v>#VALUE!</v>
      </c>
      <c r="Q10" s="287" t="s">
        <v>1204</v>
      </c>
      <c r="R10" s="6" t="b">
        <f t="shared" ca="1" si="6"/>
        <v>1</v>
      </c>
      <c r="S10" s="98"/>
    </row>
    <row r="11" spans="1:19" ht="24" customHeight="1" x14ac:dyDescent="0.25">
      <c r="A11" s="91" t="str">
        <f t="shared" si="4"/>
        <v>Arkansas</v>
      </c>
      <c r="B11" s="91" t="str">
        <f t="shared" si="0"/>
        <v>Arkansas State</v>
      </c>
      <c r="C11" s="91" t="str">
        <f t="shared" ca="1" si="1"/>
        <v>Arkansas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Arkansas</v>
      </c>
      <c r="H11" s="176" t="s">
        <v>9</v>
      </c>
      <c r="I11" s="102" t="str">
        <f>Teams!C15</f>
        <v>Arkansas State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101</v>
      </c>
      <c r="M11" s="82" t="e" vm="78">
        <f>_xlfn.XLOOKUP(I11,Teams!$C:$C,Teams!$E:$E,,0,1)</f>
        <v>#VALUE!</v>
      </c>
      <c r="N11" s="82">
        <f t="shared" ca="1" si="5"/>
        <v>110</v>
      </c>
      <c r="O11" s="189" t="str">
        <f t="shared" ca="1" si="3"/>
        <v>Arkansas State</v>
      </c>
      <c r="P11" s="204" t="e" vm="78">
        <f ca="1">_xlfn.XLOOKUP(O11,Teams!$C:$C,Teams!$E:$E,,0,1)</f>
        <v>#VALUE!</v>
      </c>
      <c r="Q11" s="287" t="s">
        <v>1204</v>
      </c>
      <c r="R11" s="6" t="b">
        <f t="shared" ca="1" si="6"/>
        <v>1</v>
      </c>
      <c r="S11" s="98"/>
    </row>
    <row r="12" spans="1:19" ht="24" customHeight="1" thickBot="1" x14ac:dyDescent="0.3">
      <c r="A12" s="91" t="str">
        <f t="shared" si="4"/>
        <v>Arkansas-Pine Bluff</v>
      </c>
      <c r="B12" s="91" t="str">
        <f t="shared" si="0"/>
        <v>Army</v>
      </c>
      <c r="C12" s="91" t="str">
        <f t="shared" ca="1" si="1"/>
        <v>Arkansas-Pine Bluff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Arkansas-Pine Bluff</v>
      </c>
      <c r="H12" s="177" t="s">
        <v>9</v>
      </c>
      <c r="I12" s="107" t="str">
        <f>Teams!C17</f>
        <v>Army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94</v>
      </c>
      <c r="M12" s="109" t="e" vm="80">
        <f>_xlfn.XLOOKUP(I12,Teams!$C:$C,Teams!$E:$E,,0,1)</f>
        <v>#VALUE!</v>
      </c>
      <c r="N12" s="109">
        <f t="shared" ca="1" si="5"/>
        <v>109</v>
      </c>
      <c r="O12" s="190" t="str">
        <f t="shared" ca="1" si="3"/>
        <v>Army</v>
      </c>
      <c r="P12" s="205" t="e" vm="80">
        <f ca="1">_xlfn.XLOOKUP(O12,Teams!$C:$C,Teams!$E:$E,,0,1)</f>
        <v>#VALUE!</v>
      </c>
      <c r="Q12" s="288" t="s">
        <v>1204</v>
      </c>
      <c r="R12" s="6" t="b">
        <f t="shared" ca="1" si="6"/>
        <v>1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ca="1" si="1"/>
        <v>Austin Peay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Auburn</v>
      </c>
      <c r="H13" s="285" t="s">
        <v>9</v>
      </c>
      <c r="I13" s="113" t="str">
        <f>Teams!C19</f>
        <v>Austin Peay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118</v>
      </c>
      <c r="M13" s="115" t="e" vm="82">
        <f>_xlfn.XLOOKUP(I13,Teams!$C:$C,Teams!$E:$E,,0,1)</f>
        <v>#VALUE!</v>
      </c>
      <c r="N13" s="115">
        <f t="shared" ca="1" si="5"/>
        <v>104</v>
      </c>
      <c r="O13" s="191" t="str">
        <f t="shared" ca="1" si="3"/>
        <v>Auburn</v>
      </c>
      <c r="P13" s="206" t="e" vm="81">
        <f ca="1">_xlfn.XLOOKUP(O13,Teams!$C:$C,Teams!$E:$E,,0,1)</f>
        <v>#VALUE!</v>
      </c>
      <c r="Q13" s="289" t="s">
        <v>1204</v>
      </c>
      <c r="R13" s="6" t="b">
        <f t="shared" ca="1" si="6"/>
        <v>0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ca="1" si="1"/>
        <v>Ball State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Ball State</v>
      </c>
      <c r="H14" s="178" t="s">
        <v>9</v>
      </c>
      <c r="I14" s="119" t="str">
        <f>Teams!C21</f>
        <v>Baylor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91</v>
      </c>
      <c r="M14" s="83" t="e" vm="84">
        <f>_xlfn.XLOOKUP(I14,Teams!$C:$C,Teams!$E:$E,,0,1)</f>
        <v>#VALUE!</v>
      </c>
      <c r="N14" s="83">
        <f t="shared" ca="1" si="5"/>
        <v>92</v>
      </c>
      <c r="O14" s="192" t="str">
        <f t="shared" ca="1" si="3"/>
        <v>Baylor</v>
      </c>
      <c r="P14" s="207" t="e" vm="84">
        <f ca="1">_xlfn.XLOOKUP(O14,Teams!$C:$C,Teams!$E:$E,,0,1)</f>
        <v>#VALUE!</v>
      </c>
      <c r="Q14" s="290" t="s">
        <v>1204</v>
      </c>
      <c r="R14" s="6" t="b">
        <f t="shared" ca="1" si="6"/>
        <v>1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ca="1" si="1"/>
        <v>Bellarmine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Bellarmine</v>
      </c>
      <c r="H15" s="178" t="s">
        <v>9</v>
      </c>
      <c r="I15" s="119" t="str">
        <f>Teams!C23</f>
        <v>Belmont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99</v>
      </c>
      <c r="M15" s="83" t="e" vm="86">
        <f>_xlfn.XLOOKUP(I15,Teams!$C:$C,Teams!$E:$E,,0,1)</f>
        <v>#VALUE!</v>
      </c>
      <c r="N15" s="83">
        <f t="shared" ca="1" si="5"/>
        <v>109</v>
      </c>
      <c r="O15" s="192" t="str">
        <f t="shared" ca="1" si="3"/>
        <v>Belmont</v>
      </c>
      <c r="P15" s="207" t="e" vm="86">
        <f ca="1">_xlfn.XLOOKUP(O15,Teams!$C:$C,Teams!$E:$E,,0,1)</f>
        <v>#VALUE!</v>
      </c>
      <c r="Q15" s="290" t="s">
        <v>1204</v>
      </c>
      <c r="R15" s="6" t="b">
        <f t="shared" ca="1" si="6"/>
        <v>1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ca="1" si="1"/>
        <v>Bethune-Cookman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Bethune-Cookman</v>
      </c>
      <c r="H16" s="178" t="s">
        <v>9</v>
      </c>
      <c r="I16" s="119" t="str">
        <f>Teams!C25</f>
        <v>Binghamton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101</v>
      </c>
      <c r="M16" s="83" t="e" vm="88">
        <f>_xlfn.XLOOKUP(I16,Teams!$C:$C,Teams!$E:$E,,0,1)</f>
        <v>#VALUE!</v>
      </c>
      <c r="N16" s="83">
        <f t="shared" ca="1" si="5"/>
        <v>103</v>
      </c>
      <c r="O16" s="192" t="str">
        <f t="shared" ca="1" si="3"/>
        <v>Binghamton</v>
      </c>
      <c r="P16" s="207" t="e" vm="88">
        <f ca="1">_xlfn.XLOOKUP(O16,Teams!$C:$C,Teams!$E:$E,,0,1)</f>
        <v>#VALUE!</v>
      </c>
      <c r="Q16" s="290" t="s">
        <v>1204</v>
      </c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ca="1" si="1"/>
        <v>Boston College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Boise State</v>
      </c>
      <c r="H17" s="178" t="s">
        <v>9</v>
      </c>
      <c r="I17" s="119" t="str">
        <f>Teams!C27</f>
        <v>Boston College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117</v>
      </c>
      <c r="M17" s="83" t="e" vm="90">
        <f>_xlfn.XLOOKUP(I17,Teams!$C:$C,Teams!$E:$E,,0,1)</f>
        <v>#VALUE!</v>
      </c>
      <c r="N17" s="83">
        <f t="shared" ca="1" si="5"/>
        <v>95</v>
      </c>
      <c r="O17" s="192" t="str">
        <f t="shared" ca="1" si="3"/>
        <v>Boise State</v>
      </c>
      <c r="P17" s="207" t="e" vm="89">
        <f ca="1">_xlfn.XLOOKUP(O17,Teams!$C:$C,Teams!$E:$E,,0,1)</f>
        <v>#VALUE!</v>
      </c>
      <c r="Q17" s="290" t="s">
        <v>1204</v>
      </c>
      <c r="R17" s="6" t="b">
        <f t="shared" ca="1" si="6"/>
        <v>0</v>
      </c>
      <c r="S17" s="98"/>
    </row>
    <row r="18" spans="1:19" ht="24" customHeight="1" x14ac:dyDescent="0.25">
      <c r="A18" s="91" t="str">
        <f t="shared" si="4"/>
        <v>Boston University</v>
      </c>
      <c r="B18" s="91" t="str">
        <f t="shared" si="0"/>
        <v>Bowling Green</v>
      </c>
      <c r="C18" s="91" t="str">
        <f t="shared" ca="1" si="1"/>
        <v>Boston University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Boston University</v>
      </c>
      <c r="H18" s="178" t="s">
        <v>9</v>
      </c>
      <c r="I18" s="119" t="str">
        <f>Teams!C29</f>
        <v>Bowling Green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92</v>
      </c>
      <c r="M18" s="83" t="e" vm="92">
        <f>_xlfn.XLOOKUP(I18,Teams!$C:$C,Teams!$E:$E,,0,1)</f>
        <v>#VALUE!</v>
      </c>
      <c r="N18" s="83">
        <f t="shared" ca="1" si="5"/>
        <v>96</v>
      </c>
      <c r="O18" s="192" t="str">
        <f t="shared" ca="1" si="3"/>
        <v>Bowling Green</v>
      </c>
      <c r="P18" s="207" t="e" vm="92">
        <f ca="1">_xlfn.XLOOKUP(O18,Teams!$C:$C,Teams!$E:$E,,0,1)</f>
        <v>#VALUE!</v>
      </c>
      <c r="Q18" s="290" t="s">
        <v>1204</v>
      </c>
      <c r="R18" s="6" t="b">
        <f t="shared" ca="1" si="6"/>
        <v>1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ca="1" si="1"/>
        <v>Bradley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Bradley</v>
      </c>
      <c r="H19" s="178" t="s">
        <v>9</v>
      </c>
      <c r="I19" s="119" t="str">
        <f>Teams!C31</f>
        <v>Brigham Young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93</v>
      </c>
      <c r="M19" s="83" t="e" vm="94">
        <f>_xlfn.XLOOKUP(I19,Teams!$C:$C,Teams!$E:$E,,0,1)</f>
        <v>#VALUE!</v>
      </c>
      <c r="N19" s="83">
        <f t="shared" ca="1" si="5"/>
        <v>105</v>
      </c>
      <c r="O19" s="192" t="str">
        <f t="shared" ca="1" si="3"/>
        <v>Brigham Young</v>
      </c>
      <c r="P19" s="207" t="e" vm="94">
        <f ca="1">_xlfn.XLOOKUP(O19,Teams!$C:$C,Teams!$E:$E,,0,1)</f>
        <v>#VALUE!</v>
      </c>
      <c r="Q19" s="290" t="s">
        <v>1204</v>
      </c>
      <c r="R19" s="6" t="b">
        <f t="shared" ca="1" si="6"/>
        <v>1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ca="1" si="1"/>
        <v>Bryant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Brown</v>
      </c>
      <c r="H20" s="179" t="s">
        <v>9</v>
      </c>
      <c r="I20" s="124" t="str">
        <f>Teams!C33</f>
        <v>Bryant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114</v>
      </c>
      <c r="M20" s="126" t="e" vm="96">
        <f>_xlfn.XLOOKUP(I20,Teams!$C:$C,Teams!$E:$E,,0,1)</f>
        <v>#VALUE!</v>
      </c>
      <c r="N20" s="126">
        <f t="shared" ca="1" si="5"/>
        <v>101</v>
      </c>
      <c r="O20" s="193" t="str">
        <f t="shared" ca="1" si="3"/>
        <v>Brown</v>
      </c>
      <c r="P20" s="208" t="e" vm="95">
        <f ca="1">_xlfn.XLOOKUP(O20,Teams!$C:$C,Teams!$E:$E,,0,1)</f>
        <v>#VALUE!</v>
      </c>
      <c r="Q20" s="291" t="s">
        <v>1204</v>
      </c>
      <c r="R20" s="6" t="b">
        <f t="shared" ca="1" si="6"/>
        <v>0</v>
      </c>
      <c r="S20" s="98"/>
    </row>
    <row r="21" spans="1:19" ht="24" customHeight="1" x14ac:dyDescent="0.25">
      <c r="A21" s="91" t="str">
        <f t="shared" ref="A21:A36" si="7">G21</f>
        <v>Bucknell</v>
      </c>
      <c r="B21" s="91" t="str">
        <f t="shared" si="0"/>
        <v>Buffalo</v>
      </c>
      <c r="C21" s="91" t="str">
        <f t="shared" ca="1" si="1"/>
        <v>Bucknell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Bucknell</v>
      </c>
      <c r="H21" s="175" t="s">
        <v>9</v>
      </c>
      <c r="I21" s="95" t="str">
        <f>Teams!C35</f>
        <v>Buffalo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109</v>
      </c>
      <c r="M21" s="97" t="e" vm="98">
        <f>_xlfn.XLOOKUP(I21,Teams!$C:$C,Teams!$E:$E,,0,1)</f>
        <v>#VALUE!</v>
      </c>
      <c r="N21" s="97">
        <f t="shared" ca="1" si="5"/>
        <v>114</v>
      </c>
      <c r="O21" s="188" t="str">
        <f t="shared" ca="1" si="3"/>
        <v>Buffalo</v>
      </c>
      <c r="P21" s="203" t="e" vm="98">
        <f ca="1">_xlfn.XLOOKUP(O21,Teams!$C:$C,Teams!$E:$E,,0,1)</f>
        <v>#VALUE!</v>
      </c>
      <c r="Q21" s="292" t="s">
        <v>1204</v>
      </c>
      <c r="R21" s="6" t="b">
        <f t="shared" ca="1" si="6"/>
        <v>1</v>
      </c>
      <c r="S21" s="98"/>
    </row>
    <row r="22" spans="1:19" ht="24" customHeight="1" x14ac:dyDescent="0.25">
      <c r="A22" s="91" t="str">
        <f t="shared" si="7"/>
        <v>Butler</v>
      </c>
      <c r="B22" s="91" t="str">
        <f t="shared" si="0"/>
        <v>Cal Poly</v>
      </c>
      <c r="C22" s="91" t="str">
        <f t="shared" ca="1" si="1"/>
        <v>Cal Poly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Butler</v>
      </c>
      <c r="H22" s="176" t="s">
        <v>9</v>
      </c>
      <c r="I22" s="102" t="str">
        <f>Teams!C37</f>
        <v>Cal Poly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109</v>
      </c>
      <c r="M22" s="82" t="e" vm="100">
        <f>_xlfn.XLOOKUP(I22,Teams!$C:$C,Teams!$E:$E,,0,1)</f>
        <v>#VALUE!</v>
      </c>
      <c r="N22" s="82">
        <f t="shared" ca="1" si="5"/>
        <v>105</v>
      </c>
      <c r="O22" s="189" t="str">
        <f t="shared" ca="1" si="3"/>
        <v>Butler</v>
      </c>
      <c r="P22" s="204" t="e" vm="99">
        <f ca="1">_xlfn.XLOOKUP(O22,Teams!$C:$C,Teams!$E:$E,,0,1)</f>
        <v>#VALUE!</v>
      </c>
      <c r="Q22" s="287" t="s">
        <v>1204</v>
      </c>
      <c r="R22" s="6" t="b">
        <f t="shared" ca="1" si="6"/>
        <v>0</v>
      </c>
      <c r="S22" s="98"/>
    </row>
    <row r="23" spans="1:19" ht="24" customHeight="1" x14ac:dyDescent="0.25">
      <c r="A23" s="91" t="str">
        <f t="shared" si="7"/>
        <v>Cal State Bakersfield</v>
      </c>
      <c r="B23" s="91" t="str">
        <f t="shared" si="0"/>
        <v>Cal State Fullerton</v>
      </c>
      <c r="C23" s="91" t="str">
        <f t="shared" ca="1" si="1"/>
        <v>Cal State Bakersfield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Cal State Bakersfield</v>
      </c>
      <c r="H23" s="176" t="s">
        <v>9</v>
      </c>
      <c r="I23" s="102" t="str">
        <f>Teams!C39</f>
        <v>Cal State Fullerton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95</v>
      </c>
      <c r="M23" s="82" t="e" vm="102">
        <f>_xlfn.XLOOKUP(I23,Teams!$C:$C,Teams!$E:$E,,0,1)</f>
        <v>#VALUE!</v>
      </c>
      <c r="N23" s="82">
        <f t="shared" ca="1" si="5"/>
        <v>107</v>
      </c>
      <c r="O23" s="189" t="str">
        <f t="shared" ca="1" si="3"/>
        <v>Cal State Fullerton</v>
      </c>
      <c r="P23" s="204" t="e" vm="102">
        <f ca="1">_xlfn.XLOOKUP(O23,Teams!$C:$C,Teams!$E:$E,,0,1)</f>
        <v>#VALUE!</v>
      </c>
      <c r="Q23" s="287" t="s">
        <v>1204</v>
      </c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Cal State Northridge</v>
      </c>
      <c r="B24" s="91" t="str">
        <f t="shared" si="0"/>
        <v>California</v>
      </c>
      <c r="C24" s="91" t="str">
        <f t="shared" ca="1" si="1"/>
        <v>California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Cal State Northridge</v>
      </c>
      <c r="H24" s="176" t="s">
        <v>9</v>
      </c>
      <c r="I24" s="102" t="str">
        <f>Teams!C41</f>
        <v>California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108</v>
      </c>
      <c r="M24" s="82" t="e" vm="104">
        <f>_xlfn.XLOOKUP(I24,Teams!$C:$C,Teams!$E:$E,,0,1)</f>
        <v>#VALUE!</v>
      </c>
      <c r="N24" s="82">
        <f t="shared" ca="1" si="5"/>
        <v>105</v>
      </c>
      <c r="O24" s="189" t="str">
        <f t="shared" ca="1" si="3"/>
        <v>Cal State Northridge</v>
      </c>
      <c r="P24" s="204" t="e" vm="103">
        <f ca="1">_xlfn.XLOOKUP(O24,Teams!$C:$C,Teams!$E:$E,,0,1)</f>
        <v>#VALUE!</v>
      </c>
      <c r="Q24" s="287" t="s">
        <v>1204</v>
      </c>
      <c r="R24" s="6" t="b">
        <f t="shared" ca="1" si="6"/>
        <v>0</v>
      </c>
      <c r="S24" s="98"/>
    </row>
    <row r="25" spans="1:19" ht="24" customHeight="1" x14ac:dyDescent="0.25">
      <c r="A25" s="91" t="str">
        <f t="shared" si="7"/>
        <v>California Baptist</v>
      </c>
      <c r="B25" s="91" t="str">
        <f t="shared" si="0"/>
        <v>Campbell</v>
      </c>
      <c r="C25" s="91" t="str">
        <f t="shared" ca="1" si="1"/>
        <v>California Baptist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California Baptist</v>
      </c>
      <c r="H25" s="176" t="s">
        <v>9</v>
      </c>
      <c r="I25" s="102" t="str">
        <f>Teams!C43</f>
        <v>Campbell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91</v>
      </c>
      <c r="M25" s="82" t="e" vm="106">
        <f>_xlfn.XLOOKUP(I25,Teams!$C:$C,Teams!$E:$E,,0,1)</f>
        <v>#VALUE!</v>
      </c>
      <c r="N25" s="82">
        <f t="shared" ca="1" si="5"/>
        <v>101</v>
      </c>
      <c r="O25" s="189" t="str">
        <f t="shared" ca="1" si="3"/>
        <v>Campbell</v>
      </c>
      <c r="P25" s="204" t="e" vm="106">
        <f ca="1">_xlfn.XLOOKUP(O25,Teams!$C:$C,Teams!$E:$E,,0,1)</f>
        <v>#VALUE!</v>
      </c>
      <c r="Q25" s="287" t="s">
        <v>1204</v>
      </c>
      <c r="R25" s="6" t="b">
        <f t="shared" ca="1" si="6"/>
        <v>1</v>
      </c>
      <c r="S25" s="98"/>
    </row>
    <row r="26" spans="1:19" ht="24" customHeight="1" x14ac:dyDescent="0.25">
      <c r="A26" s="91" t="str">
        <f t="shared" si="7"/>
        <v>Canisius</v>
      </c>
      <c r="B26" s="91" t="str">
        <f t="shared" si="0"/>
        <v>Central Arkansas</v>
      </c>
      <c r="C26" s="91" t="str">
        <f t="shared" ca="1" si="1"/>
        <v>Canisius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Canisius</v>
      </c>
      <c r="H26" s="176" t="s">
        <v>9</v>
      </c>
      <c r="I26" s="102" t="str">
        <f>Teams!C45</f>
        <v>Central Arkansas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112</v>
      </c>
      <c r="M26" s="82" t="e" vm="108">
        <f>_xlfn.XLOOKUP(I26,Teams!$C:$C,Teams!$E:$E,,0,1)</f>
        <v>#VALUE!</v>
      </c>
      <c r="N26" s="82">
        <f t="shared" ca="1" si="5"/>
        <v>113</v>
      </c>
      <c r="O26" s="189" t="str">
        <f t="shared" ca="1" si="3"/>
        <v>Central Arkansas</v>
      </c>
      <c r="P26" s="204" t="e" vm="108">
        <f ca="1">_xlfn.XLOOKUP(O26,Teams!$C:$C,Teams!$E:$E,,0,1)</f>
        <v>#VALUE!</v>
      </c>
      <c r="Q26" s="287" t="s">
        <v>1204</v>
      </c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Central Connecticut State</v>
      </c>
      <c r="B27" s="91" t="str">
        <f t="shared" si="0"/>
        <v>Central Michigan</v>
      </c>
      <c r="C27" s="91" t="str">
        <f t="shared" ca="1" si="1"/>
        <v>Central Michigan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Central Connecticut State</v>
      </c>
      <c r="H27" s="176" t="s">
        <v>9</v>
      </c>
      <c r="I27" s="102" t="str">
        <f>Teams!C47</f>
        <v>Central Michigan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109</v>
      </c>
      <c r="M27" s="82" t="e" vm="110">
        <f>_xlfn.XLOOKUP(I27,Teams!$C:$C,Teams!$E:$E,,0,1)</f>
        <v>#VALUE!</v>
      </c>
      <c r="N27" s="82">
        <f t="shared" ca="1" si="5"/>
        <v>93</v>
      </c>
      <c r="O27" s="189" t="str">
        <f t="shared" ca="1" si="3"/>
        <v>Central Connecticut State</v>
      </c>
      <c r="P27" s="204" t="e" vm="109">
        <f ca="1">_xlfn.XLOOKUP(O27,Teams!$C:$C,Teams!$E:$E,,0,1)</f>
        <v>#VALUE!</v>
      </c>
      <c r="Q27" s="287" t="s">
        <v>1204</v>
      </c>
      <c r="R27" s="6" t="b">
        <f t="shared" ca="1" si="6"/>
        <v>0</v>
      </c>
      <c r="S27" s="98"/>
    </row>
    <row r="28" spans="1:19" ht="24" customHeight="1" thickBot="1" x14ac:dyDescent="0.3">
      <c r="A28" s="91" t="str">
        <f t="shared" si="7"/>
        <v>Charleston Southern</v>
      </c>
      <c r="B28" s="91" t="str">
        <f t="shared" si="0"/>
        <v>Charlotte</v>
      </c>
      <c r="C28" s="91" t="str">
        <f t="shared" ca="1" si="1"/>
        <v>Charleston Southern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Charleston Southern</v>
      </c>
      <c r="H28" s="177" t="s">
        <v>9</v>
      </c>
      <c r="I28" s="107" t="str">
        <f>Teams!C49</f>
        <v>Charlotte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104</v>
      </c>
      <c r="M28" s="109" t="e" vm="112">
        <f>_xlfn.XLOOKUP(I28,Teams!$C:$C,Teams!$E:$E,,0,1)</f>
        <v>#VALUE!</v>
      </c>
      <c r="N28" s="109">
        <f t="shared" ca="1" si="5"/>
        <v>120</v>
      </c>
      <c r="O28" s="190" t="str">
        <f t="shared" ca="1" si="3"/>
        <v>Charlotte</v>
      </c>
      <c r="P28" s="205" t="e" vm="112">
        <f ca="1">_xlfn.XLOOKUP(O28,Teams!$C:$C,Teams!$E:$E,,0,1)</f>
        <v>#VALUE!</v>
      </c>
      <c r="Q28" s="288" t="s">
        <v>1204</v>
      </c>
      <c r="R28" s="6" t="b">
        <f t="shared" ca="1" si="6"/>
        <v>1</v>
      </c>
      <c r="S28" s="98"/>
    </row>
    <row r="29" spans="1:19" ht="24" customHeight="1" x14ac:dyDescent="0.25">
      <c r="A29" s="91" t="str">
        <f t="shared" si="7"/>
        <v>Chattanooga</v>
      </c>
      <c r="B29" s="91" t="str">
        <f t="shared" si="0"/>
        <v>Chicago State</v>
      </c>
      <c r="C29" s="91" t="str">
        <f t="shared" ca="1" si="1"/>
        <v>Chattanooga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Chattanooga</v>
      </c>
      <c r="H29" s="180" t="s">
        <v>9</v>
      </c>
      <c r="I29" s="128" t="str">
        <f>Teams!C51</f>
        <v>Chicago State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90</v>
      </c>
      <c r="M29" s="115" t="e" vm="114">
        <f>_xlfn.XLOOKUP(I29,Teams!$C:$C,Teams!$E:$E,,0,1)</f>
        <v>#VALUE!</v>
      </c>
      <c r="N29" s="115">
        <f t="shared" ca="1" si="5"/>
        <v>97</v>
      </c>
      <c r="O29" s="191" t="str">
        <f t="shared" ca="1" si="3"/>
        <v>Chicago State</v>
      </c>
      <c r="P29" s="206" t="e" vm="114">
        <f ca="1">_xlfn.XLOOKUP(O29,Teams!$C:$C,Teams!$E:$E,,0,1)</f>
        <v>#VALUE!</v>
      </c>
      <c r="Q29" s="289" t="s">
        <v>1204</v>
      </c>
      <c r="R29" s="6" t="b">
        <f t="shared" ca="1" si="6"/>
        <v>1</v>
      </c>
      <c r="S29" s="98"/>
    </row>
    <row r="30" spans="1:19" ht="24" customHeight="1" x14ac:dyDescent="0.25">
      <c r="A30" s="91" t="str">
        <f t="shared" si="7"/>
        <v>Cincinnati</v>
      </c>
      <c r="B30" s="91" t="str">
        <f t="shared" si="0"/>
        <v>Clemson</v>
      </c>
      <c r="C30" s="91" t="str">
        <f t="shared" ca="1" si="1"/>
        <v>Cincinnati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Cincinnati</v>
      </c>
      <c r="H30" s="178" t="s">
        <v>9</v>
      </c>
      <c r="I30" s="119" t="str">
        <f>Teams!C53</f>
        <v>Clemson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116</v>
      </c>
      <c r="M30" s="83" t="e" vm="116">
        <f>_xlfn.XLOOKUP(I30,Teams!$C:$C,Teams!$E:$E,,0,1)</f>
        <v>#VALUE!</v>
      </c>
      <c r="N30" s="83">
        <f t="shared" ca="1" si="5"/>
        <v>120</v>
      </c>
      <c r="O30" s="192" t="str">
        <f t="shared" ca="1" si="3"/>
        <v>Clemson</v>
      </c>
      <c r="P30" s="207" t="e" vm="116">
        <f ca="1">_xlfn.XLOOKUP(O30,Teams!$C:$C,Teams!$E:$E,,0,1)</f>
        <v>#VALUE!</v>
      </c>
      <c r="Q30" s="290" t="s">
        <v>1204</v>
      </c>
      <c r="R30" s="6" t="b">
        <f t="shared" ca="1" si="6"/>
        <v>1</v>
      </c>
      <c r="S30" s="98"/>
    </row>
    <row r="31" spans="1:19" ht="24" customHeight="1" x14ac:dyDescent="0.25">
      <c r="A31" s="91" t="str">
        <f t="shared" si="7"/>
        <v>Cleveland State</v>
      </c>
      <c r="B31" s="91" t="str">
        <f t="shared" si="0"/>
        <v>Coastal Carolina</v>
      </c>
      <c r="C31" s="91" t="str">
        <f t="shared" ca="1" si="1"/>
        <v>Cleveland State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Cleveland State</v>
      </c>
      <c r="H31" s="178" t="s">
        <v>9</v>
      </c>
      <c r="I31" s="119" t="str">
        <f>Teams!C55</f>
        <v>Coastal Carolina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100</v>
      </c>
      <c r="M31" s="83" t="e" vm="118">
        <f>_xlfn.XLOOKUP(I31,Teams!$C:$C,Teams!$E:$E,,0,1)</f>
        <v>#VALUE!</v>
      </c>
      <c r="N31" s="83">
        <f t="shared" ca="1" si="5"/>
        <v>106</v>
      </c>
      <c r="O31" s="192" t="str">
        <f t="shared" ca="1" si="3"/>
        <v>Coastal Carolina</v>
      </c>
      <c r="P31" s="207" t="e" vm="118">
        <f ca="1">_xlfn.XLOOKUP(O31,Teams!$C:$C,Teams!$E:$E,,0,1)</f>
        <v>#VALUE!</v>
      </c>
      <c r="Q31" s="290" t="s">
        <v>1204</v>
      </c>
      <c r="R31" s="6" t="b">
        <f t="shared" ca="1" si="6"/>
        <v>1</v>
      </c>
      <c r="S31" s="98"/>
    </row>
    <row r="32" spans="1:19" ht="24" customHeight="1" x14ac:dyDescent="0.25">
      <c r="A32" s="91" t="str">
        <f t="shared" si="7"/>
        <v>Colgate</v>
      </c>
      <c r="B32" s="91" t="str">
        <f t="shared" si="0"/>
        <v>College of Charleston</v>
      </c>
      <c r="C32" s="91" t="str">
        <f t="shared" ca="1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Colgate</v>
      </c>
      <c r="H32" s="178" t="s">
        <v>9</v>
      </c>
      <c r="I32" s="119" t="str">
        <f>Teams!C57</f>
        <v>College of Charleston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98</v>
      </c>
      <c r="M32" s="83" t="e" vm="120">
        <f>_xlfn.XLOOKUP(I32,Teams!$C:$C,Teams!$E:$E,,0,1)</f>
        <v>#VALUE!</v>
      </c>
      <c r="N32" s="83">
        <f t="shared" ca="1" si="5"/>
        <v>93</v>
      </c>
      <c r="O32" s="192" t="str">
        <f t="shared" ca="1" si="3"/>
        <v>Colgate</v>
      </c>
      <c r="P32" s="207" t="e" vm="119">
        <f ca="1">_xlfn.XLOOKUP(O32,Teams!$C:$C,Teams!$E:$E,,0,1)</f>
        <v>#VALUE!</v>
      </c>
      <c r="Q32" s="290" t="s">
        <v>1204</v>
      </c>
      <c r="R32" s="6" t="b">
        <f t="shared" ca="1" si="6"/>
        <v>0</v>
      </c>
      <c r="S32" s="98"/>
    </row>
    <row r="33" spans="1:19" ht="24" customHeight="1" x14ac:dyDescent="0.25">
      <c r="A33" s="91" t="str">
        <f t="shared" si="7"/>
        <v>Colorado</v>
      </c>
      <c r="B33" s="91" t="str">
        <f t="shared" si="0"/>
        <v>Colorado State</v>
      </c>
      <c r="C33" s="91" t="str">
        <f t="shared" ca="1" si="1"/>
        <v>Colorado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Colorado</v>
      </c>
      <c r="H33" s="178" t="s">
        <v>9</v>
      </c>
      <c r="I33" s="119" t="str">
        <f>Teams!C59</f>
        <v>Colorado State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104</v>
      </c>
      <c r="M33" s="83" t="e" vm="122">
        <f>_xlfn.XLOOKUP(I33,Teams!$C:$C,Teams!$E:$E,,0,1)</f>
        <v>#VALUE!</v>
      </c>
      <c r="N33" s="83">
        <f t="shared" ca="1" si="5"/>
        <v>120</v>
      </c>
      <c r="O33" s="192" t="str">
        <f t="shared" ca="1" si="3"/>
        <v>Colorado State</v>
      </c>
      <c r="P33" s="207" t="e" vm="122">
        <f ca="1">_xlfn.XLOOKUP(O33,Teams!$C:$C,Teams!$E:$E,,0,1)</f>
        <v>#VALUE!</v>
      </c>
      <c r="Q33" s="290" t="s">
        <v>1204</v>
      </c>
      <c r="R33" s="6" t="b">
        <f t="shared" ca="1" si="6"/>
        <v>1</v>
      </c>
      <c r="S33" s="98"/>
    </row>
    <row r="34" spans="1:19" ht="24" customHeight="1" x14ac:dyDescent="0.25">
      <c r="A34" s="91" t="str">
        <f t="shared" si="7"/>
        <v>Columbia</v>
      </c>
      <c r="B34" s="91" t="str">
        <f t="shared" si="0"/>
        <v>Connecticut</v>
      </c>
      <c r="C34" s="91" t="str">
        <f t="shared" ca="1" si="1"/>
        <v>Connecticut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Columbia</v>
      </c>
      <c r="H34" s="178" t="s">
        <v>9</v>
      </c>
      <c r="I34" s="119" t="str">
        <f>Teams!C61</f>
        <v>Connecticut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119</v>
      </c>
      <c r="M34" s="83" t="e" vm="124">
        <f>_xlfn.XLOOKUP(I34,Teams!$C:$C,Teams!$E:$E,,0,1)</f>
        <v>#VALUE!</v>
      </c>
      <c r="N34" s="83">
        <f t="shared" ca="1" si="5"/>
        <v>96</v>
      </c>
      <c r="O34" s="192" t="str">
        <f t="shared" ca="1" si="3"/>
        <v>Columbia</v>
      </c>
      <c r="P34" s="207" t="e" vm="123">
        <f ca="1">_xlfn.XLOOKUP(O34,Teams!$C:$C,Teams!$E:$E,,0,1)</f>
        <v>#VALUE!</v>
      </c>
      <c r="Q34" s="290" t="s">
        <v>1204</v>
      </c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Coppin State</v>
      </c>
      <c r="B35" s="91" t="str">
        <f t="shared" si="0"/>
        <v>Cornell</v>
      </c>
      <c r="C35" s="91" t="str">
        <f t="shared" ca="1" si="1"/>
        <v>Cornell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Coppin State</v>
      </c>
      <c r="H35" s="178" t="s">
        <v>9</v>
      </c>
      <c r="I35" s="119" t="str">
        <f>Teams!C63</f>
        <v>Cornell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95</v>
      </c>
      <c r="M35" s="83" t="e" vm="126">
        <f>_xlfn.XLOOKUP(I35,Teams!$C:$C,Teams!$E:$E,,0,1)</f>
        <v>#VALUE!</v>
      </c>
      <c r="N35" s="83">
        <f t="shared" ca="1" si="5"/>
        <v>93</v>
      </c>
      <c r="O35" s="192" t="str">
        <f t="shared" ca="1" si="3"/>
        <v>Coppin State</v>
      </c>
      <c r="P35" s="207" t="e" vm="125">
        <f ca="1">_xlfn.XLOOKUP(O35,Teams!$C:$C,Teams!$E:$E,,0,1)</f>
        <v>#VALUE!</v>
      </c>
      <c r="Q35" s="290" t="s">
        <v>1204</v>
      </c>
      <c r="R35" s="6" t="b">
        <f t="shared" ca="1" si="6"/>
        <v>0</v>
      </c>
      <c r="S35" s="98"/>
    </row>
    <row r="36" spans="1:19" ht="24" customHeight="1" thickBot="1" x14ac:dyDescent="0.3">
      <c r="A36" s="91" t="str">
        <f t="shared" si="7"/>
        <v>Creighton</v>
      </c>
      <c r="B36" s="91" t="str">
        <f t="shared" si="0"/>
        <v>Dartmouth</v>
      </c>
      <c r="C36" s="91" t="str">
        <f t="shared" ca="1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Creighton</v>
      </c>
      <c r="H36" s="179" t="s">
        <v>9</v>
      </c>
      <c r="I36" s="124" t="str">
        <f>Teams!C65</f>
        <v>Dartmouth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103</v>
      </c>
      <c r="M36" s="126" t="e" vm="128">
        <f>_xlfn.XLOOKUP(I36,Teams!$C:$C,Teams!$E:$E,,0,1)</f>
        <v>#VALUE!</v>
      </c>
      <c r="N36" s="126">
        <f t="shared" ca="1" si="5"/>
        <v>92</v>
      </c>
      <c r="O36" s="193" t="str">
        <f t="shared" ca="1" si="3"/>
        <v>Creighton</v>
      </c>
      <c r="P36" s="208" t="e" vm="127">
        <f ca="1">_xlfn.XLOOKUP(O36,Teams!$C:$C,Teams!$E:$E,,0,1)</f>
        <v>#VALUE!</v>
      </c>
      <c r="Q36" s="291" t="s">
        <v>1204</v>
      </c>
      <c r="R36" s="6" t="b">
        <f t="shared" ca="1" si="6"/>
        <v>0</v>
      </c>
      <c r="S36" s="98"/>
    </row>
    <row r="37" spans="1:19" ht="24" customHeight="1" thickBot="1" x14ac:dyDescent="0.3">
      <c r="E37" s="67" t="s">
        <v>10</v>
      </c>
      <c r="F37" s="226" t="str">
        <f>Bracket!F2</f>
        <v>Second Round</v>
      </c>
      <c r="G37" s="226"/>
      <c r="H37" s="226"/>
      <c r="I37" s="226"/>
      <c r="J37" s="226"/>
      <c r="K37" s="68"/>
      <c r="L37" s="68"/>
      <c r="M37" s="68"/>
      <c r="N37" s="68"/>
      <c r="O37" s="68" t="s">
        <v>8</v>
      </c>
      <c r="P37" s="68"/>
      <c r="Q37" s="293"/>
      <c r="S37" s="98"/>
    </row>
    <row r="38" spans="1:19" ht="24" customHeight="1" x14ac:dyDescent="0.25">
      <c r="A38" s="91" t="str">
        <f ca="1">G38</f>
        <v>Air Force</v>
      </c>
      <c r="B38" s="91" t="str">
        <f ca="1">I38</f>
        <v>Alabama</v>
      </c>
      <c r="C38" s="91" t="str">
        <f t="shared" ref="C38:C53" ca="1" si="8">IF(O38="","",IF(A38=O38,B38,A38))</f>
        <v>Alabama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16</v>
      </c>
      <c r="G38" s="131" t="str">
        <f ca="1">O5</f>
        <v>Air Force</v>
      </c>
      <c r="H38" s="181" t="s">
        <v>9</v>
      </c>
      <c r="I38" s="132" t="str">
        <f ca="1">O6</f>
        <v>Alabama</v>
      </c>
      <c r="J38" s="133" cm="1">
        <f t="array" aca="1" ref="J38" ca="1">_xlfn.XLOOKUP(I38,Teams[[#All],[Team]],Teams[[#All],[Seed]],0,0,1)</f>
        <v>9</v>
      </c>
      <c r="K38" s="84" t="e" vm="66">
        <f ca="1">_xlfn.XLOOKUP(G38,Teams!$C:$C,Teams!$E:$E,,0,1)</f>
        <v>#VALUE!</v>
      </c>
      <c r="L38" s="84">
        <f t="shared" ref="L38:N72" ca="1" si="10">RANDBETWEEN(90,120)</f>
        <v>110</v>
      </c>
      <c r="M38" s="84" t="e" vm="68">
        <f ca="1">_xlfn.XLOOKUP(I38,Teams!$C:$C,Teams!$E:$E,,0,1)</f>
        <v>#VALUE!</v>
      </c>
      <c r="N38" s="84">
        <f t="shared" ca="1" si="10"/>
        <v>100</v>
      </c>
      <c r="O38" s="194" t="str">
        <f t="shared" ref="O38:O53" ca="1" si="11">IF(L38&gt;N38,G38,I38)</f>
        <v>Air Force</v>
      </c>
      <c r="P38" s="209" t="e" vm="66">
        <f ca="1">_xlfn.XLOOKUP(O38,Teams!$C:$C,Teams!$E:$E,,0,1)</f>
        <v>#VALUE!</v>
      </c>
      <c r="Q38" s="286" t="s">
        <v>1204</v>
      </c>
      <c r="R38" s="6" t="b">
        <f t="shared" ca="1" si="6"/>
        <v>1</v>
      </c>
      <c r="S38" s="98"/>
    </row>
    <row r="39" spans="1:19" ht="24" customHeight="1" x14ac:dyDescent="0.25">
      <c r="A39" s="91" t="str">
        <f t="shared" ref="A39:A53" ca="1" si="12">G39</f>
        <v>Alabama A&amp;M</v>
      </c>
      <c r="B39" s="91" t="str">
        <f t="shared" ref="B39:B53" ca="1" si="13">I39</f>
        <v>Alcorn State</v>
      </c>
      <c r="C39" s="91" t="str">
        <f t="shared" ca="1" si="8"/>
        <v>Alcorn State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5</v>
      </c>
      <c r="G39" s="101" t="str">
        <f ca="1">O7</f>
        <v>Alabama A&amp;M</v>
      </c>
      <c r="H39" s="176" t="s">
        <v>9</v>
      </c>
      <c r="I39" s="102" t="str">
        <f ca="1">O8</f>
        <v>Alcorn State</v>
      </c>
      <c r="J39" s="103" cm="1">
        <f t="array" aca="1" ref="J39" ca="1">_xlfn.XLOOKUP(I39,Teams[[#All],[Team]],Teams[[#All],[Seed]],0,0,1)</f>
        <v>13</v>
      </c>
      <c r="K39" s="82" t="e" vm="69">
        <f ca="1">_xlfn.XLOOKUP(G39,Teams!$C:$C,Teams!$E:$E,,0,1)</f>
        <v>#VALUE!</v>
      </c>
      <c r="L39" s="82">
        <f t="shared" ca="1" si="10"/>
        <v>116</v>
      </c>
      <c r="M39" s="82" t="e" vm="72">
        <f ca="1">_xlfn.XLOOKUP(I39,Teams!$C:$C,Teams!$E:$E,,0,1)</f>
        <v>#VALUE!</v>
      </c>
      <c r="N39" s="82">
        <f t="shared" ca="1" si="10"/>
        <v>108</v>
      </c>
      <c r="O39" s="189" t="str">
        <f t="shared" ca="1" si="11"/>
        <v>Alabama A&amp;M</v>
      </c>
      <c r="P39" s="204" t="e" vm="69">
        <f ca="1">_xlfn.XLOOKUP(O39,Teams!$C:$C,Teams!$E:$E,,0,1)</f>
        <v>#VALUE!</v>
      </c>
      <c r="Q39" s="287" t="s">
        <v>1204</v>
      </c>
      <c r="R39" s="6" t="b">
        <f t="shared" ca="1" si="6"/>
        <v>0</v>
      </c>
      <c r="S39" s="98"/>
    </row>
    <row r="40" spans="1:19" ht="24" customHeight="1" x14ac:dyDescent="0.25">
      <c r="A40" s="91" t="str">
        <f t="shared" ca="1" si="12"/>
        <v>American</v>
      </c>
      <c r="B40" s="91" t="str">
        <f t="shared" ca="1" si="13"/>
        <v>Arizona State</v>
      </c>
      <c r="C40" s="91" t="str">
        <f t="shared" ca="1" si="8"/>
        <v>Arizona State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6</v>
      </c>
      <c r="G40" s="101" t="str">
        <f ca="1">O9</f>
        <v>American</v>
      </c>
      <c r="H40" s="176" t="s">
        <v>9</v>
      </c>
      <c r="I40" s="102" t="str">
        <f ca="1">O10</f>
        <v>Arizona State</v>
      </c>
      <c r="J40" s="103" cm="1">
        <f t="array" aca="1" ref="J40" ca="1">_xlfn.XLOOKUP(I40,Teams[[#All],[Team]],Teams[[#All],[Seed]],0,0,1)</f>
        <v>14</v>
      </c>
      <c r="K40" s="82" t="e" vm="73">
        <f ca="1">_xlfn.XLOOKUP(G40,Teams!$C:$C,Teams!$E:$E,,0,1)</f>
        <v>#VALUE!</v>
      </c>
      <c r="L40" s="82">
        <f t="shared" ca="1" si="10"/>
        <v>109</v>
      </c>
      <c r="M40" s="82" t="e" vm="76">
        <f ca="1">_xlfn.XLOOKUP(I40,Teams!$C:$C,Teams!$E:$E,,0,1)</f>
        <v>#VALUE!</v>
      </c>
      <c r="N40" s="82">
        <f t="shared" ca="1" si="10"/>
        <v>101</v>
      </c>
      <c r="O40" s="189" t="str">
        <f t="shared" ca="1" si="11"/>
        <v>American</v>
      </c>
      <c r="P40" s="204" t="e" vm="73">
        <f ca="1">_xlfn.XLOOKUP(O40,Teams!$C:$C,Teams!$E:$E,,0,1)</f>
        <v>#VALUE!</v>
      </c>
      <c r="Q40" s="287" t="s">
        <v>1204</v>
      </c>
      <c r="R40" s="6" t="b">
        <f t="shared" ca="1" si="6"/>
        <v>0</v>
      </c>
      <c r="S40" s="98"/>
    </row>
    <row r="41" spans="1:19" ht="24" customHeight="1" thickBot="1" x14ac:dyDescent="0.3">
      <c r="A41" s="91" t="str">
        <f t="shared" ca="1" si="12"/>
        <v>Arkansas State</v>
      </c>
      <c r="B41" s="91" t="str">
        <f t="shared" ca="1" si="13"/>
        <v>Army</v>
      </c>
      <c r="C41" s="91" t="str">
        <f t="shared" ca="1" si="8"/>
        <v>Arkansas State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10</v>
      </c>
      <c r="G41" s="136" t="str">
        <f ca="1">O11</f>
        <v>Arkansas State</v>
      </c>
      <c r="H41" s="182" t="s">
        <v>9</v>
      </c>
      <c r="I41" s="137" t="str">
        <f ca="1">O12</f>
        <v>Army</v>
      </c>
      <c r="J41" s="138" cm="1">
        <f t="array" aca="1" ref="J41" ca="1">_xlfn.XLOOKUP(I41,Teams[[#All],[Team]],Teams[[#All],[Seed]],0,0,1)</f>
        <v>15</v>
      </c>
      <c r="K41" s="139" t="e" vm="78">
        <f ca="1">_xlfn.XLOOKUP(G41,Teams!$C:$C,Teams!$E:$E,,0,1)</f>
        <v>#VALUE!</v>
      </c>
      <c r="L41" s="139">
        <f t="shared" ca="1" si="10"/>
        <v>108</v>
      </c>
      <c r="M41" s="139" t="e" vm="80">
        <f ca="1">_xlfn.XLOOKUP(I41,Teams!$C:$C,Teams!$E:$E,,0,1)</f>
        <v>#VALUE!</v>
      </c>
      <c r="N41" s="139">
        <f t="shared" ca="1" si="10"/>
        <v>114</v>
      </c>
      <c r="O41" s="195" t="str">
        <f t="shared" ca="1" si="11"/>
        <v>Army</v>
      </c>
      <c r="P41" s="210" t="e" vm="80">
        <f ca="1">_xlfn.XLOOKUP(O41,Teams!$C:$C,Teams!$E:$E,,0,1)</f>
        <v>#VALUE!</v>
      </c>
      <c r="Q41" s="288" t="s">
        <v>1204</v>
      </c>
      <c r="R41" s="6" t="b">
        <f t="shared" ca="1" si="6"/>
        <v>1</v>
      </c>
      <c r="S41" s="98"/>
    </row>
    <row r="42" spans="1:19" ht="24" customHeight="1" x14ac:dyDescent="0.25">
      <c r="A42" s="91" t="str">
        <f t="shared" ca="1" si="12"/>
        <v>Auburn</v>
      </c>
      <c r="B42" s="91" t="str">
        <f t="shared" ca="1" si="13"/>
        <v>Baylor</v>
      </c>
      <c r="C42" s="91" t="str">
        <f t="shared" ca="1" si="8"/>
        <v>Auburn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</v>
      </c>
      <c r="G42" s="142" t="str">
        <f ca="1">O13</f>
        <v>Auburn</v>
      </c>
      <c r="H42" s="183" t="s">
        <v>9</v>
      </c>
      <c r="I42" s="143" t="str">
        <f ca="1">O14</f>
        <v>Baylor</v>
      </c>
      <c r="J42" s="144" cm="1">
        <f t="array" aca="1" ref="J42" ca="1">_xlfn.XLOOKUP(I42,Teams[[#All],[Team]],Teams[[#All],[Seed]],0,0,1)</f>
        <v>9</v>
      </c>
      <c r="K42" s="145" t="e" vm="81">
        <f ca="1">_xlfn.XLOOKUP(G42,Teams!$C:$C,Teams!$E:$E,,0,1)</f>
        <v>#VALUE!</v>
      </c>
      <c r="L42" s="145">
        <f t="shared" ca="1" si="10"/>
        <v>90</v>
      </c>
      <c r="M42" s="145" t="e" vm="84">
        <f ca="1">_xlfn.XLOOKUP(I42,Teams!$C:$C,Teams!$E:$E,,0,1)</f>
        <v>#VALUE!</v>
      </c>
      <c r="N42" s="145">
        <f t="shared" ca="1" si="10"/>
        <v>116</v>
      </c>
      <c r="O42" s="196" t="str">
        <f t="shared" ca="1" si="11"/>
        <v>Baylor</v>
      </c>
      <c r="P42" s="211" t="e" vm="84">
        <f ca="1">_xlfn.XLOOKUP(O42,Teams!$C:$C,Teams!$E:$E,,0,1)</f>
        <v>#VALUE!</v>
      </c>
      <c r="Q42" s="289" t="s">
        <v>1204</v>
      </c>
      <c r="R42" s="6" t="b">
        <f t="shared" ca="1" si="6"/>
        <v>1</v>
      </c>
      <c r="S42" s="98"/>
    </row>
    <row r="43" spans="1:19" ht="24" customHeight="1" x14ac:dyDescent="0.25">
      <c r="A43" s="91" t="str">
        <f t="shared" ca="1" si="12"/>
        <v>Belmont</v>
      </c>
      <c r="B43" s="91" t="str">
        <f t="shared" ca="1" si="13"/>
        <v>Binghamton</v>
      </c>
      <c r="C43" s="91" t="str">
        <f t="shared" ca="1" si="8"/>
        <v>Belmont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12</v>
      </c>
      <c r="G43" s="118" t="str">
        <f ca="1">O15</f>
        <v>Belmont</v>
      </c>
      <c r="H43" s="178" t="s">
        <v>9</v>
      </c>
      <c r="I43" s="119" t="str">
        <f ca="1">O16</f>
        <v>Binghamton</v>
      </c>
      <c r="J43" s="120" cm="1">
        <f t="array" aca="1" ref="J43" ca="1">_xlfn.XLOOKUP(I43,Teams[[#All],[Team]],Teams[[#All],[Seed]],0,0,1)</f>
        <v>13</v>
      </c>
      <c r="K43" s="83" t="e" vm="86">
        <f ca="1">_xlfn.XLOOKUP(G43,Teams!$C:$C,Teams!$E:$E,,0,1)</f>
        <v>#VALUE!</v>
      </c>
      <c r="L43" s="83">
        <f t="shared" ca="1" si="10"/>
        <v>109</v>
      </c>
      <c r="M43" s="83" t="e" vm="88">
        <f ca="1">_xlfn.XLOOKUP(I43,Teams!$C:$C,Teams!$E:$E,,0,1)</f>
        <v>#VALUE!</v>
      </c>
      <c r="N43" s="83">
        <f t="shared" ca="1" si="10"/>
        <v>115</v>
      </c>
      <c r="O43" s="192" t="str">
        <f t="shared" ca="1" si="11"/>
        <v>Binghamton</v>
      </c>
      <c r="P43" s="207" t="e" vm="88">
        <f ca="1">_xlfn.XLOOKUP(O43,Teams!$C:$C,Teams!$E:$E,,0,1)</f>
        <v>#VALUE!</v>
      </c>
      <c r="Q43" s="290" t="s">
        <v>1204</v>
      </c>
      <c r="R43" s="6" t="b">
        <f t="shared" ca="1" si="6"/>
        <v>1</v>
      </c>
      <c r="S43" s="98"/>
    </row>
    <row r="44" spans="1:19" ht="24" customHeight="1" x14ac:dyDescent="0.25">
      <c r="A44" s="91" t="str">
        <f t="shared" ca="1" si="12"/>
        <v>Boise State</v>
      </c>
      <c r="B44" s="91" t="str">
        <f t="shared" ca="1" si="13"/>
        <v>Bowling Green</v>
      </c>
      <c r="C44" s="91" t="str">
        <f t="shared" ca="1" si="8"/>
        <v>Bowling Green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6</v>
      </c>
      <c r="G44" s="118" t="str">
        <f ca="1">O17</f>
        <v>Boise State</v>
      </c>
      <c r="H44" s="178" t="s">
        <v>9</v>
      </c>
      <c r="I44" s="119" t="str">
        <f ca="1">O18</f>
        <v>Bowling Green</v>
      </c>
      <c r="J44" s="120" cm="1">
        <f t="array" aca="1" ref="J44" ca="1">_xlfn.XLOOKUP(I44,Teams[[#All],[Team]],Teams[[#All],[Seed]],0,0,1)</f>
        <v>14</v>
      </c>
      <c r="K44" s="83" t="e" vm="89">
        <f ca="1">_xlfn.XLOOKUP(G44,Teams!$C:$C,Teams!$E:$E,,0,1)</f>
        <v>#VALUE!</v>
      </c>
      <c r="L44" s="83">
        <f t="shared" ca="1" si="10"/>
        <v>110</v>
      </c>
      <c r="M44" s="83" t="e" vm="92">
        <f ca="1">_xlfn.XLOOKUP(I44,Teams!$C:$C,Teams!$E:$E,,0,1)</f>
        <v>#VALUE!</v>
      </c>
      <c r="N44" s="83">
        <f t="shared" ca="1" si="10"/>
        <v>106</v>
      </c>
      <c r="O44" s="192" t="str">
        <f t="shared" ca="1" si="11"/>
        <v>Boise State</v>
      </c>
      <c r="P44" s="207" t="e" vm="89">
        <f ca="1">_xlfn.XLOOKUP(O44,Teams!$C:$C,Teams!$E:$E,,0,1)</f>
        <v>#VALUE!</v>
      </c>
      <c r="Q44" s="290" t="s">
        <v>1204</v>
      </c>
      <c r="R44" s="6" t="b">
        <f t="shared" ca="1" si="6"/>
        <v>0</v>
      </c>
      <c r="S44" s="98"/>
    </row>
    <row r="45" spans="1:19" ht="24" customHeight="1" thickBot="1" x14ac:dyDescent="0.3">
      <c r="A45" s="91" t="str">
        <f t="shared" ca="1" si="12"/>
        <v>Brigham Young</v>
      </c>
      <c r="B45" s="91" t="str">
        <f t="shared" ca="1" si="13"/>
        <v>Brown</v>
      </c>
      <c r="C45" s="91" t="str">
        <f t="shared" ca="1" si="8"/>
        <v>Brigham Young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10</v>
      </c>
      <c r="G45" s="148" t="str">
        <f ca="1">O19</f>
        <v>Brigham Young</v>
      </c>
      <c r="H45" s="184" t="s">
        <v>9</v>
      </c>
      <c r="I45" s="149" t="str">
        <f ca="1">O20</f>
        <v>Brown</v>
      </c>
      <c r="J45" s="150" cm="1">
        <f t="array" aca="1" ref="J45" ca="1">_xlfn.XLOOKUP(I45,Teams[[#All],[Team]],Teams[[#All],[Seed]],0,0,1)</f>
        <v>2</v>
      </c>
      <c r="K45" s="151" t="e" vm="94">
        <f ca="1">_xlfn.XLOOKUP(G45,Teams!$C:$C,Teams!$E:$E,,0,1)</f>
        <v>#VALUE!</v>
      </c>
      <c r="L45" s="151">
        <f t="shared" ca="1" si="10"/>
        <v>92</v>
      </c>
      <c r="M45" s="151" t="e" vm="95">
        <f ca="1">_xlfn.XLOOKUP(I45,Teams!$C:$C,Teams!$E:$E,,0,1)</f>
        <v>#VALUE!</v>
      </c>
      <c r="N45" s="151">
        <f t="shared" ca="1" si="10"/>
        <v>117</v>
      </c>
      <c r="O45" s="197" t="str">
        <f t="shared" ca="1" si="11"/>
        <v>Brown</v>
      </c>
      <c r="P45" s="212" t="e" vm="95">
        <f ca="1">_xlfn.XLOOKUP(O45,Teams!$C:$C,Teams!$E:$E,,0,1)</f>
        <v>#VALUE!</v>
      </c>
      <c r="Q45" s="291" t="s">
        <v>1204</v>
      </c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Buffalo</v>
      </c>
      <c r="B46" s="152" t="str">
        <f t="shared" ca="1" si="13"/>
        <v>Butler</v>
      </c>
      <c r="C46" s="152" t="str">
        <f t="shared" ca="1" si="8"/>
        <v>Butler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16</v>
      </c>
      <c r="G46" s="131" t="str">
        <f ca="1">O21</f>
        <v>Buffalo</v>
      </c>
      <c r="H46" s="181" t="s">
        <v>9</v>
      </c>
      <c r="I46" s="132" t="str">
        <f ca="1">O22</f>
        <v>Butler</v>
      </c>
      <c r="J46" s="133" cm="1">
        <f t="array" aca="1" ref="J46" ca="1">_xlfn.XLOOKUP(I46,Teams[[#All],[Team]],Teams[[#All],[Seed]],0,0,1)</f>
        <v>8</v>
      </c>
      <c r="K46" s="84" t="e" vm="98">
        <f ca="1">_xlfn.XLOOKUP(G46,Teams!$C:$C,Teams!$E:$E,,0,1)</f>
        <v>#VALUE!</v>
      </c>
      <c r="L46" s="84">
        <f t="shared" ca="1" si="10"/>
        <v>101</v>
      </c>
      <c r="M46" s="84" t="e" vm="99">
        <f ca="1">_xlfn.XLOOKUP(I46,Teams!$C:$C,Teams!$E:$E,,0,1)</f>
        <v>#VALUE!</v>
      </c>
      <c r="N46" s="84">
        <f t="shared" ca="1" si="10"/>
        <v>91</v>
      </c>
      <c r="O46" s="194" t="str">
        <f t="shared" ca="1" si="11"/>
        <v>Buffalo</v>
      </c>
      <c r="P46" s="209" t="e" vm="98">
        <f ca="1">_xlfn.XLOOKUP(O46,Teams!$C:$C,Teams!$E:$E,,0,1)</f>
        <v>#VALUE!</v>
      </c>
      <c r="Q46" s="292" t="s">
        <v>1204</v>
      </c>
      <c r="R46" s="6" t="b">
        <f t="shared" ca="1" si="6"/>
        <v>1</v>
      </c>
      <c r="S46" s="98"/>
    </row>
    <row r="47" spans="1:19" ht="24" customHeight="1" x14ac:dyDescent="0.25">
      <c r="A47" s="152" t="str">
        <f t="shared" ca="1" si="12"/>
        <v>Cal State Fullerton</v>
      </c>
      <c r="B47" s="152" t="str">
        <f t="shared" ca="1" si="13"/>
        <v>Cal State Northridge</v>
      </c>
      <c r="C47" s="152" t="str">
        <f t="shared" ca="1" si="8"/>
        <v>Cal State Northridge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Cal State Fullerton</v>
      </c>
      <c r="H47" s="176" t="s">
        <v>9</v>
      </c>
      <c r="I47" s="102" t="str">
        <f ca="1">O24</f>
        <v>Cal State Northridge</v>
      </c>
      <c r="J47" s="103" cm="1">
        <f t="array" aca="1" ref="J47" ca="1">_xlfn.XLOOKUP(I47,Teams[[#All],[Team]],Teams[[#All],[Seed]],0,0,1)</f>
        <v>4</v>
      </c>
      <c r="K47" s="82" t="e" vm="102">
        <f ca="1">_xlfn.XLOOKUP(G47,Teams!$C:$C,Teams!$E:$E,,0,1)</f>
        <v>#VALUE!</v>
      </c>
      <c r="L47" s="82">
        <f t="shared" ca="1" si="10"/>
        <v>120</v>
      </c>
      <c r="M47" s="82" t="e" vm="103">
        <f ca="1">_xlfn.XLOOKUP(I47,Teams!$C:$C,Teams!$E:$E,,0,1)</f>
        <v>#VALUE!</v>
      </c>
      <c r="N47" s="82">
        <f t="shared" ca="1" si="10"/>
        <v>109</v>
      </c>
      <c r="O47" s="189" t="str">
        <f t="shared" ca="1" si="11"/>
        <v>Cal State Fullerton</v>
      </c>
      <c r="P47" s="204" t="e" vm="102">
        <f ca="1">_xlfn.XLOOKUP(O47,Teams!$C:$C,Teams!$E:$E,,0,1)</f>
        <v>#VALUE!</v>
      </c>
      <c r="Q47" s="287" t="s">
        <v>1204</v>
      </c>
      <c r="R47" s="6" t="b">
        <f t="shared" ca="1" si="6"/>
        <v>1</v>
      </c>
      <c r="S47" s="98"/>
    </row>
    <row r="48" spans="1:19" ht="24" customHeight="1" x14ac:dyDescent="0.25">
      <c r="A48" s="152" t="str">
        <f t="shared" ca="1" si="12"/>
        <v>Campbell</v>
      </c>
      <c r="B48" s="152" t="str">
        <f t="shared" ca="1" si="13"/>
        <v>Central Arkansas</v>
      </c>
      <c r="C48" s="152" t="str">
        <f t="shared" ca="1" si="8"/>
        <v>Central Arkansas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11</v>
      </c>
      <c r="G48" s="101" t="str">
        <f ca="1">O25</f>
        <v>Campbell</v>
      </c>
      <c r="H48" s="176" t="s">
        <v>9</v>
      </c>
      <c r="I48" s="102" t="str">
        <f ca="1">O26</f>
        <v>Central Arkansas</v>
      </c>
      <c r="J48" s="103" cm="1">
        <f t="array" aca="1" ref="J48" ca="1">_xlfn.XLOOKUP(I48,Teams[[#All],[Team]],Teams[[#All],[Seed]],0,0,1)</f>
        <v>14</v>
      </c>
      <c r="K48" s="82" t="e" vm="106">
        <f ca="1">_xlfn.XLOOKUP(G48,Teams!$C:$C,Teams!$E:$E,,0,1)</f>
        <v>#VALUE!</v>
      </c>
      <c r="L48" s="82">
        <f t="shared" ca="1" si="10"/>
        <v>107</v>
      </c>
      <c r="M48" s="82" t="e" vm="108">
        <f ca="1">_xlfn.XLOOKUP(I48,Teams!$C:$C,Teams!$E:$E,,0,1)</f>
        <v>#VALUE!</v>
      </c>
      <c r="N48" s="82">
        <f t="shared" ca="1" si="10"/>
        <v>98</v>
      </c>
      <c r="O48" s="189" t="str">
        <f t="shared" ca="1" si="11"/>
        <v>Campbell</v>
      </c>
      <c r="P48" s="204" t="e" vm="106">
        <f ca="1">_xlfn.XLOOKUP(O48,Teams!$C:$C,Teams!$E:$E,,0,1)</f>
        <v>#VALUE!</v>
      </c>
      <c r="Q48" s="287" t="s">
        <v>1204</v>
      </c>
      <c r="R48" s="6" t="b">
        <f t="shared" ca="1" si="6"/>
        <v>0</v>
      </c>
      <c r="S48" s="98"/>
    </row>
    <row r="49" spans="1:19" ht="24" customHeight="1" thickBot="1" x14ac:dyDescent="0.3">
      <c r="A49" s="152" t="str">
        <f t="shared" ca="1" si="12"/>
        <v>Central Connecticut State</v>
      </c>
      <c r="B49" s="152" t="str">
        <f t="shared" ca="1" si="13"/>
        <v>Charlotte</v>
      </c>
      <c r="C49" s="152" t="str">
        <f t="shared" ca="1" si="8"/>
        <v>Charlotte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7</v>
      </c>
      <c r="G49" s="136" t="str">
        <f ca="1">O27</f>
        <v>Central Connecticut State</v>
      </c>
      <c r="H49" s="182" t="s">
        <v>9</v>
      </c>
      <c r="I49" s="137" t="str">
        <f ca="1">O28</f>
        <v>Charlotte</v>
      </c>
      <c r="J49" s="138" cm="1">
        <f t="array" aca="1" ref="J49" ca="1">_xlfn.XLOOKUP(I49,Teams[[#All],[Team]],Teams[[#All],[Seed]],0,0,1)</f>
        <v>15</v>
      </c>
      <c r="K49" s="139" t="e" vm="109">
        <f ca="1">_xlfn.XLOOKUP(G49,Teams!$C:$C,Teams!$E:$E,,0,1)</f>
        <v>#VALUE!</v>
      </c>
      <c r="L49" s="139">
        <f t="shared" ca="1" si="10"/>
        <v>110</v>
      </c>
      <c r="M49" s="139" t="e" vm="112">
        <f ca="1">_xlfn.XLOOKUP(I49,Teams!$C:$C,Teams!$E:$E,,0,1)</f>
        <v>#VALUE!</v>
      </c>
      <c r="N49" s="139">
        <f t="shared" ca="1" si="10"/>
        <v>100</v>
      </c>
      <c r="O49" s="195" t="str">
        <f t="shared" ca="1" si="11"/>
        <v>Central Connecticut State</v>
      </c>
      <c r="P49" s="210" t="e" vm="109">
        <f ca="1">_xlfn.XLOOKUP(O49,Teams!$C:$C,Teams!$E:$E,,0,1)</f>
        <v>#VALUE!</v>
      </c>
      <c r="Q49" s="288" t="s">
        <v>1204</v>
      </c>
      <c r="R49" s="6" t="b">
        <f t="shared" ca="1" si="6"/>
        <v>0</v>
      </c>
      <c r="S49" s="98"/>
    </row>
    <row r="50" spans="1:19" ht="24" customHeight="1" x14ac:dyDescent="0.25">
      <c r="A50" s="91" t="str">
        <f t="shared" ca="1" si="12"/>
        <v>Chicago State</v>
      </c>
      <c r="B50" s="91" t="str">
        <f t="shared" ca="1" si="13"/>
        <v>Clemson</v>
      </c>
      <c r="C50" s="91" t="str">
        <f t="shared" ca="1" si="8"/>
        <v>Clemson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16</v>
      </c>
      <c r="G50" s="142" t="str">
        <f ca="1">O29</f>
        <v>Chicago State</v>
      </c>
      <c r="H50" s="183" t="s">
        <v>9</v>
      </c>
      <c r="I50" s="143" t="str">
        <f ca="1">O30</f>
        <v>Clemson</v>
      </c>
      <c r="J50" s="144" cm="1">
        <f t="array" aca="1" ref="J50" ca="1">_xlfn.XLOOKUP(I50,Teams[[#All],[Team]],Teams[[#All],[Seed]],0,0,1)</f>
        <v>9</v>
      </c>
      <c r="K50" s="145" t="e" vm="114">
        <f ca="1">_xlfn.XLOOKUP(G50,Teams!$C:$C,Teams!$E:$E,,0,1)</f>
        <v>#VALUE!</v>
      </c>
      <c r="L50" s="145">
        <f t="shared" ca="1" si="10"/>
        <v>117</v>
      </c>
      <c r="M50" s="145" t="e" vm="116">
        <f ca="1">_xlfn.XLOOKUP(I50,Teams!$C:$C,Teams!$E:$E,,0,1)</f>
        <v>#VALUE!</v>
      </c>
      <c r="N50" s="145">
        <f t="shared" ca="1" si="10"/>
        <v>105</v>
      </c>
      <c r="O50" s="196" t="str">
        <f t="shared" ca="1" si="11"/>
        <v>Chicago State</v>
      </c>
      <c r="P50" s="211" t="e" vm="114">
        <f ca="1">_xlfn.XLOOKUP(O50,Teams!$C:$C,Teams!$E:$E,,0,1)</f>
        <v>#VALUE!</v>
      </c>
      <c r="Q50" s="289" t="s">
        <v>1204</v>
      </c>
      <c r="R50" s="6" t="b">
        <f t="shared" ca="1" si="6"/>
        <v>1</v>
      </c>
      <c r="S50" s="98"/>
    </row>
    <row r="51" spans="1:19" ht="24" customHeight="1" x14ac:dyDescent="0.25">
      <c r="A51" s="91" t="str">
        <f t="shared" ca="1" si="12"/>
        <v>Coastal Carolina</v>
      </c>
      <c r="B51" s="91" t="str">
        <f t="shared" ca="1" si="13"/>
        <v>Colgate</v>
      </c>
      <c r="C51" s="91" t="str">
        <f t="shared" ca="1" si="8"/>
        <v>Colgate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12</v>
      </c>
      <c r="G51" s="118" t="str">
        <f ca="1">O31</f>
        <v>Coastal Carolina</v>
      </c>
      <c r="H51" s="178" t="s">
        <v>9</v>
      </c>
      <c r="I51" s="119" t="str">
        <f ca="1">O32</f>
        <v>Colgate</v>
      </c>
      <c r="J51" s="120" cm="1">
        <f t="array" aca="1" ref="J51" ca="1">_xlfn.XLOOKUP(I51,Teams[[#All],[Team]],Teams[[#All],[Seed]],0,0,1)</f>
        <v>4</v>
      </c>
      <c r="K51" s="83" t="e" vm="118">
        <f ca="1">_xlfn.XLOOKUP(G51,Teams!$C:$C,Teams!$E:$E,,0,1)</f>
        <v>#VALUE!</v>
      </c>
      <c r="L51" s="83">
        <f t="shared" ca="1" si="10"/>
        <v>103</v>
      </c>
      <c r="M51" s="83" t="e" vm="119">
        <f ca="1">_xlfn.XLOOKUP(I51,Teams!$C:$C,Teams!$E:$E,,0,1)</f>
        <v>#VALUE!</v>
      </c>
      <c r="N51" s="83">
        <f t="shared" ca="1" si="10"/>
        <v>98</v>
      </c>
      <c r="O51" s="192" t="str">
        <f t="shared" ca="1" si="11"/>
        <v>Coastal Carolina</v>
      </c>
      <c r="P51" s="207" t="e" vm="118">
        <f ca="1">_xlfn.XLOOKUP(O51,Teams!$C:$C,Teams!$E:$E,,0,1)</f>
        <v>#VALUE!</v>
      </c>
      <c r="Q51" s="290" t="s">
        <v>1204</v>
      </c>
      <c r="R51" s="6" t="b">
        <f t="shared" ca="1" si="6"/>
        <v>1</v>
      </c>
      <c r="S51" s="98"/>
    </row>
    <row r="52" spans="1:19" ht="24" customHeight="1" x14ac:dyDescent="0.25">
      <c r="A52" s="91" t="str">
        <f t="shared" ca="1" si="12"/>
        <v>Colorado State</v>
      </c>
      <c r="B52" s="91" t="str">
        <f t="shared" ca="1" si="13"/>
        <v>Columbia</v>
      </c>
      <c r="C52" s="91" t="str">
        <f t="shared" ca="1" si="8"/>
        <v>Columbia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11</v>
      </c>
      <c r="G52" s="118" t="str">
        <f ca="1">O33</f>
        <v>Colorado State</v>
      </c>
      <c r="H52" s="178" t="s">
        <v>9</v>
      </c>
      <c r="I52" s="119" t="str">
        <f ca="1">O34</f>
        <v>Columbia</v>
      </c>
      <c r="J52" s="120" cm="1">
        <f t="array" aca="1" ref="J52" ca="1">_xlfn.XLOOKUP(I52,Teams[[#All],[Team]],Teams[[#All],[Seed]],0,0,1)</f>
        <v>3</v>
      </c>
      <c r="K52" s="83" t="e" vm="122">
        <f ca="1">_xlfn.XLOOKUP(G52,Teams!$C:$C,Teams!$E:$E,,0,1)</f>
        <v>#VALUE!</v>
      </c>
      <c r="L52" s="83">
        <f t="shared" ca="1" si="10"/>
        <v>120</v>
      </c>
      <c r="M52" s="83" t="e" vm="123">
        <f ca="1">_xlfn.XLOOKUP(I52,Teams!$C:$C,Teams!$E:$E,,0,1)</f>
        <v>#VALUE!</v>
      </c>
      <c r="N52" s="83">
        <f t="shared" ca="1" si="10"/>
        <v>113</v>
      </c>
      <c r="O52" s="192" t="str">
        <f t="shared" ca="1" si="11"/>
        <v>Colorado State</v>
      </c>
      <c r="P52" s="207" t="e" vm="122">
        <f ca="1">_xlfn.XLOOKUP(O52,Teams!$C:$C,Teams!$E:$E,,0,1)</f>
        <v>#VALUE!</v>
      </c>
      <c r="Q52" s="290" t="s">
        <v>1204</v>
      </c>
      <c r="R52" s="6" t="b">
        <f t="shared" ca="1" si="6"/>
        <v>1</v>
      </c>
      <c r="S52" s="98"/>
    </row>
    <row r="53" spans="1:19" ht="24" customHeight="1" thickBot="1" x14ac:dyDescent="0.3">
      <c r="A53" s="91" t="str">
        <f t="shared" ca="1" si="12"/>
        <v>Coppin State</v>
      </c>
      <c r="B53" s="91" t="str">
        <f t="shared" ca="1" si="13"/>
        <v>Creighton</v>
      </c>
      <c r="C53" s="91" t="str">
        <f t="shared" ca="1" si="8"/>
        <v>Coppin State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7</v>
      </c>
      <c r="G53" s="148" t="str">
        <f ca="1">O35</f>
        <v>Coppin State</v>
      </c>
      <c r="H53" s="184" t="s">
        <v>9</v>
      </c>
      <c r="I53" s="149" t="str">
        <f ca="1">O36</f>
        <v>Creighton</v>
      </c>
      <c r="J53" s="150" cm="1">
        <f t="array" aca="1" ref="J53" ca="1">_xlfn.XLOOKUP(I53,Teams[[#All],[Team]],Teams[[#All],[Seed]],0,0,1)</f>
        <v>2</v>
      </c>
      <c r="K53" s="151" t="e" vm="125">
        <f ca="1">_xlfn.XLOOKUP(G53,Teams!$C:$C,Teams!$E:$E,,0,1)</f>
        <v>#VALUE!</v>
      </c>
      <c r="L53" s="151">
        <f t="shared" ca="1" si="10"/>
        <v>115</v>
      </c>
      <c r="M53" s="151" t="e" vm="127">
        <f ca="1">_xlfn.XLOOKUP(I53,Teams!$C:$C,Teams!$E:$E,,0,1)</f>
        <v>#VALUE!</v>
      </c>
      <c r="N53" s="151">
        <f t="shared" ca="1" si="10"/>
        <v>119</v>
      </c>
      <c r="O53" s="197" t="str">
        <f t="shared" ca="1" si="11"/>
        <v>Creighton</v>
      </c>
      <c r="P53" s="212" t="e" vm="127">
        <f ca="1">_xlfn.XLOOKUP(O53,Teams!$C:$C,Teams!$E:$E,,0,1)</f>
        <v>#VALUE!</v>
      </c>
      <c r="Q53" s="291" t="s">
        <v>1204</v>
      </c>
      <c r="R53" s="6" t="b">
        <f t="shared" ca="1" si="6"/>
        <v>0</v>
      </c>
      <c r="S53" s="98"/>
    </row>
    <row r="54" spans="1:19" ht="24" customHeight="1" thickBot="1" x14ac:dyDescent="0.3">
      <c r="E54" s="67" t="s">
        <v>10</v>
      </c>
      <c r="F54" s="226" t="str">
        <f>Bracket!I2</f>
        <v>Sweet 16</v>
      </c>
      <c r="G54" s="226"/>
      <c r="H54" s="226"/>
      <c r="I54" s="226"/>
      <c r="J54" s="226"/>
      <c r="K54" s="68"/>
      <c r="L54" s="68"/>
      <c r="M54" s="68"/>
      <c r="N54" s="68"/>
      <c r="O54" s="68" t="s">
        <v>8</v>
      </c>
      <c r="P54" s="68"/>
      <c r="Q54" s="293"/>
      <c r="S54" s="98"/>
    </row>
    <row r="55" spans="1:19" ht="24" customHeight="1" x14ac:dyDescent="0.25">
      <c r="A55" s="91" t="str">
        <f ca="1">G55</f>
        <v>Air Force</v>
      </c>
      <c r="B55" s="91" t="str">
        <f ca="1">I55</f>
        <v>Alabama A&amp;M</v>
      </c>
      <c r="C55" s="91" t="str">
        <f t="shared" ref="C55:C62" ca="1" si="14">IF(O55="","",IF(A55=O55,B55,A55))</f>
        <v>Alabama A&amp;M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16</v>
      </c>
      <c r="G55" s="94" t="str">
        <f ca="1">O38</f>
        <v>Air Force</v>
      </c>
      <c r="H55" s="175" t="s">
        <v>9</v>
      </c>
      <c r="I55" s="95" t="str">
        <f ca="1">O39</f>
        <v>Alabama A&amp;M</v>
      </c>
      <c r="J55" s="96" cm="1">
        <f t="array" aca="1" ref="J55" ca="1">_xlfn.XLOOKUP(I55,Teams[[#All],[Team]],Teams[[#All],[Seed]],0,0,1)</f>
        <v>5</v>
      </c>
      <c r="K55" s="97" t="e" vm="66">
        <f ca="1">_xlfn.XLOOKUP(G55,Teams!$C:$C,Teams!$E:$E,,0,1)</f>
        <v>#VALUE!</v>
      </c>
      <c r="L55" s="97">
        <f t="shared" ca="1" si="10"/>
        <v>113</v>
      </c>
      <c r="M55" s="97" t="e" vm="69">
        <f ca="1">_xlfn.XLOOKUP(I55,Teams!$C:$C,Teams!$E:$E,,0,1)</f>
        <v>#VALUE!</v>
      </c>
      <c r="N55" s="97">
        <f t="shared" ca="1" si="10"/>
        <v>111</v>
      </c>
      <c r="O55" s="188" t="str">
        <f t="shared" ref="O55:O62" ca="1" si="16">IF(L55&gt;N55,G55,I55)</f>
        <v>Air Force</v>
      </c>
      <c r="P55" s="204" t="e" vm="66">
        <f ca="1">_xlfn.XLOOKUP(O55,Teams!$C:$C,Teams!$E:$E,,0,1)</f>
        <v>#VALUE!</v>
      </c>
      <c r="Q55" s="286" t="s">
        <v>1204</v>
      </c>
      <c r="R55" s="6" t="b">
        <f t="shared" ca="1" si="6"/>
        <v>1</v>
      </c>
      <c r="S55" s="98"/>
    </row>
    <row r="56" spans="1:19" ht="24" customHeight="1" thickBot="1" x14ac:dyDescent="0.3">
      <c r="A56" s="91" t="str">
        <f t="shared" ref="A56:A62" ca="1" si="17">G56</f>
        <v>American</v>
      </c>
      <c r="B56" s="91" t="str">
        <f t="shared" ref="B56:B62" ca="1" si="18">I56</f>
        <v>Army</v>
      </c>
      <c r="C56" s="91" t="str">
        <f t="shared" ca="1" si="14"/>
        <v>American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6</v>
      </c>
      <c r="G56" s="136" t="str">
        <f ca="1">O40</f>
        <v>American</v>
      </c>
      <c r="H56" s="182" t="s">
        <v>9</v>
      </c>
      <c r="I56" s="137" t="str">
        <f ca="1">O41</f>
        <v>Army</v>
      </c>
      <c r="J56" s="138" cm="1">
        <f t="array" aca="1" ref="J56" ca="1">_xlfn.XLOOKUP(I56,Teams[[#All],[Team]],Teams[[#All],[Seed]],0,0,1)</f>
        <v>15</v>
      </c>
      <c r="K56" s="139" t="e" vm="73">
        <f ca="1">_xlfn.XLOOKUP(G56,Teams!$C:$C,Teams!$E:$E,,0,1)</f>
        <v>#VALUE!</v>
      </c>
      <c r="L56" s="139">
        <f t="shared" ca="1" si="10"/>
        <v>91</v>
      </c>
      <c r="M56" s="139" t="e" vm="80">
        <f ca="1">_xlfn.XLOOKUP(I56,Teams!$C:$C,Teams!$E:$E,,0,1)</f>
        <v>#VALUE!</v>
      </c>
      <c r="N56" s="139">
        <f t="shared" ca="1" si="10"/>
        <v>95</v>
      </c>
      <c r="O56" s="195" t="str">
        <f t="shared" ca="1" si="16"/>
        <v>Army</v>
      </c>
      <c r="P56" s="210" t="e" vm="80">
        <f ca="1">_xlfn.XLOOKUP(O56,Teams!$C:$C,Teams!$E:$E,,0,1)</f>
        <v>#VALUE!</v>
      </c>
      <c r="Q56" s="288" t="s">
        <v>1204</v>
      </c>
      <c r="R56" s="6" t="b">
        <f t="shared" ca="1" si="6"/>
        <v>1</v>
      </c>
      <c r="S56" s="98"/>
    </row>
    <row r="57" spans="1:19" ht="24" customHeight="1" x14ac:dyDescent="0.25">
      <c r="A57" s="91" t="str">
        <f t="shared" ca="1" si="17"/>
        <v>Baylor</v>
      </c>
      <c r="B57" s="91" t="str">
        <f t="shared" ca="1" si="18"/>
        <v>Binghamton</v>
      </c>
      <c r="C57" s="91" t="str">
        <f t="shared" ca="1" si="14"/>
        <v>Binghamton</v>
      </c>
      <c r="D57" s="91" t="e">
        <f t="shared" si="15"/>
        <v>#REF!</v>
      </c>
      <c r="E57" s="140">
        <v>51</v>
      </c>
      <c r="F57" s="142" cm="1">
        <f t="array" aca="1" ref="F57" ca="1">_xlfn.XLOOKUP(G57,Teams[[#All],[Team]],Teams[[#All],[Seed]],0,0,1)</f>
        <v>9</v>
      </c>
      <c r="G57" s="142" t="str">
        <f ca="1">O42</f>
        <v>Baylor</v>
      </c>
      <c r="H57" s="183" t="s">
        <v>9</v>
      </c>
      <c r="I57" s="143" t="str">
        <f ca="1">O43</f>
        <v>Binghamton</v>
      </c>
      <c r="J57" s="144" cm="1">
        <f t="array" aca="1" ref="J57" ca="1">_xlfn.XLOOKUP(I57,Teams[[#All],[Team]],Teams[[#All],[Seed]],0,0,1)</f>
        <v>13</v>
      </c>
      <c r="K57" s="145" t="e" vm="84">
        <f ca="1">_xlfn.XLOOKUP(G57,Teams!$C:$C,Teams!$E:$E,,0,1)</f>
        <v>#VALUE!</v>
      </c>
      <c r="L57" s="145">
        <f t="shared" ca="1" si="10"/>
        <v>103</v>
      </c>
      <c r="M57" s="145" t="e" vm="88">
        <f ca="1">_xlfn.XLOOKUP(I57,Teams!$C:$C,Teams!$E:$E,,0,1)</f>
        <v>#VALUE!</v>
      </c>
      <c r="N57" s="145">
        <f t="shared" ca="1" si="10"/>
        <v>94</v>
      </c>
      <c r="O57" s="196" t="str">
        <f t="shared" ca="1" si="16"/>
        <v>Baylor</v>
      </c>
      <c r="P57" s="211" t="e" vm="84">
        <f ca="1">_xlfn.XLOOKUP(O57,Teams!$C:$C,Teams!$E:$E,,0,1)</f>
        <v>#VALUE!</v>
      </c>
      <c r="Q57" s="289" t="s">
        <v>1204</v>
      </c>
      <c r="R57" s="6" t="b">
        <f t="shared" ca="1" si="6"/>
        <v>0</v>
      </c>
      <c r="S57" s="98"/>
    </row>
    <row r="58" spans="1:19" ht="24" customHeight="1" thickBot="1" x14ac:dyDescent="0.3">
      <c r="A58" s="91" t="str">
        <f t="shared" ca="1" si="17"/>
        <v>Boise State</v>
      </c>
      <c r="B58" s="91" t="str">
        <f t="shared" ca="1" si="18"/>
        <v>Brown</v>
      </c>
      <c r="C58" s="91" t="str">
        <f t="shared" ca="1" si="14"/>
        <v>Boise State</v>
      </c>
      <c r="D58" s="91" t="e">
        <f t="shared" si="15"/>
        <v>#REF!</v>
      </c>
      <c r="E58" s="146">
        <v>52</v>
      </c>
      <c r="F58" s="148" cm="1">
        <f t="array" aca="1" ref="F58" ca="1">_xlfn.XLOOKUP(G58,Teams[[#All],[Team]],Teams[[#All],[Seed]],0,0,1)</f>
        <v>6</v>
      </c>
      <c r="G58" s="148" t="str">
        <f ca="1">O44</f>
        <v>Boise State</v>
      </c>
      <c r="H58" s="184" t="s">
        <v>9</v>
      </c>
      <c r="I58" s="149" t="str">
        <f ca="1">O45</f>
        <v>Brown</v>
      </c>
      <c r="J58" s="150" cm="1">
        <f t="array" aca="1" ref="J58" ca="1">_xlfn.XLOOKUP(I58,Teams[[#All],[Team]],Teams[[#All],[Seed]],0,0,1)</f>
        <v>2</v>
      </c>
      <c r="K58" s="151" t="e" vm="89">
        <f ca="1">_xlfn.XLOOKUP(G58,Teams!$C:$C,Teams!$E:$E,,0,1)</f>
        <v>#VALUE!</v>
      </c>
      <c r="L58" s="151">
        <f t="shared" ca="1" si="10"/>
        <v>98</v>
      </c>
      <c r="M58" s="151" t="e" vm="95">
        <f ca="1">_xlfn.XLOOKUP(I58,Teams!$C:$C,Teams!$E:$E,,0,1)</f>
        <v>#VALUE!</v>
      </c>
      <c r="N58" s="151">
        <f t="shared" ca="1" si="10"/>
        <v>118</v>
      </c>
      <c r="O58" s="197" t="str">
        <f t="shared" ca="1" si="16"/>
        <v>Brown</v>
      </c>
      <c r="P58" s="212" t="e" vm="95">
        <f ca="1">_xlfn.XLOOKUP(O58,Teams!$C:$C,Teams!$E:$E,,0,1)</f>
        <v>#VALUE!</v>
      </c>
      <c r="Q58" s="291" t="s">
        <v>1204</v>
      </c>
      <c r="R58" s="6" t="b">
        <f t="shared" ca="1" si="6"/>
        <v>0</v>
      </c>
      <c r="S58" s="98"/>
    </row>
    <row r="59" spans="1:19" ht="24" customHeight="1" x14ac:dyDescent="0.25">
      <c r="A59" s="152" t="str">
        <f t="shared" ca="1" si="17"/>
        <v>Buffalo</v>
      </c>
      <c r="B59" s="152" t="str">
        <f t="shared" ca="1" si="18"/>
        <v>Cal State Fullerton</v>
      </c>
      <c r="C59" s="152" t="str">
        <f t="shared" ca="1" si="14"/>
        <v>Cal State Fullerton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16</v>
      </c>
      <c r="G59" s="131" t="str">
        <f ca="1">O46</f>
        <v>Buffalo</v>
      </c>
      <c r="H59" s="181" t="s">
        <v>9</v>
      </c>
      <c r="I59" s="132" t="str">
        <f ca="1">O47</f>
        <v>Cal State Fullerton</v>
      </c>
      <c r="J59" s="133" cm="1">
        <f t="array" aca="1" ref="J59" ca="1">_xlfn.XLOOKUP(I59,Teams[[#All],[Team]],Teams[[#All],[Seed]],0,0,1)</f>
        <v>12</v>
      </c>
      <c r="K59" s="84" t="e" vm="98">
        <f ca="1">_xlfn.XLOOKUP(G59,Teams!$C:$C,Teams!$E:$E,,0,1)</f>
        <v>#VALUE!</v>
      </c>
      <c r="L59" s="84">
        <f t="shared" ca="1" si="10"/>
        <v>99</v>
      </c>
      <c r="M59" s="84" t="e" vm="102">
        <f ca="1">_xlfn.XLOOKUP(I59,Teams!$C:$C,Teams!$E:$E,,0,1)</f>
        <v>#VALUE!</v>
      </c>
      <c r="N59" s="84">
        <f t="shared" ca="1" si="10"/>
        <v>94</v>
      </c>
      <c r="O59" s="194" t="str">
        <f t="shared" ca="1" si="16"/>
        <v>Buffalo</v>
      </c>
      <c r="P59" s="209" t="e" vm="98">
        <f ca="1">_xlfn.XLOOKUP(O59,Teams!$C:$C,Teams!$E:$E,,0,1)</f>
        <v>#VALUE!</v>
      </c>
      <c r="Q59" s="292" t="s">
        <v>1204</v>
      </c>
      <c r="R59" s="6" t="b">
        <f t="shared" ca="1" si="6"/>
        <v>1</v>
      </c>
      <c r="S59" s="98"/>
    </row>
    <row r="60" spans="1:19" ht="24" customHeight="1" thickBot="1" x14ac:dyDescent="0.3">
      <c r="A60" s="152" t="str">
        <f t="shared" ca="1" si="17"/>
        <v>Campbell</v>
      </c>
      <c r="B60" s="152" t="str">
        <f t="shared" ca="1" si="18"/>
        <v>Central Connecticut State</v>
      </c>
      <c r="C60" s="152" t="str">
        <f t="shared" ca="1" si="14"/>
        <v>Central Connecticut State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11</v>
      </c>
      <c r="G60" s="136" t="str">
        <f ca="1">O48</f>
        <v>Campbell</v>
      </c>
      <c r="H60" s="182" t="s">
        <v>9</v>
      </c>
      <c r="I60" s="137" t="str">
        <f ca="1">O49</f>
        <v>Central Connecticut State</v>
      </c>
      <c r="J60" s="138" cm="1">
        <f t="array" aca="1" ref="J60" ca="1">_xlfn.XLOOKUP(I60,Teams[[#All],[Team]],Teams[[#All],[Seed]],0,0,1)</f>
        <v>7</v>
      </c>
      <c r="K60" s="139" t="e" vm="106">
        <f ca="1">_xlfn.XLOOKUP(G60,Teams!$C:$C,Teams!$E:$E,,0,1)</f>
        <v>#VALUE!</v>
      </c>
      <c r="L60" s="139">
        <f t="shared" ca="1" si="10"/>
        <v>101</v>
      </c>
      <c r="M60" s="139" t="e" vm="109">
        <f ca="1">_xlfn.XLOOKUP(I60,Teams!$C:$C,Teams!$E:$E,,0,1)</f>
        <v>#VALUE!</v>
      </c>
      <c r="N60" s="139">
        <f t="shared" ca="1" si="10"/>
        <v>92</v>
      </c>
      <c r="O60" s="195" t="str">
        <f t="shared" ca="1" si="16"/>
        <v>Campbell</v>
      </c>
      <c r="P60" s="210" t="e" vm="106">
        <f ca="1">_xlfn.XLOOKUP(O60,Teams!$C:$C,Teams!$E:$E,,0,1)</f>
        <v>#VALUE!</v>
      </c>
      <c r="Q60" s="288" t="s">
        <v>1204</v>
      </c>
      <c r="R60" s="6" t="b">
        <f t="shared" ca="1" si="6"/>
        <v>1</v>
      </c>
      <c r="S60" s="98"/>
    </row>
    <row r="61" spans="1:19" ht="24" customHeight="1" x14ac:dyDescent="0.25">
      <c r="A61" s="91" t="str">
        <f t="shared" ca="1" si="17"/>
        <v>Chicago State</v>
      </c>
      <c r="B61" s="91" t="str">
        <f t="shared" ca="1" si="18"/>
        <v>Coastal Carolina</v>
      </c>
      <c r="C61" s="91" t="str">
        <f t="shared" ca="1" si="14"/>
        <v>Chicago State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16</v>
      </c>
      <c r="G61" s="142" t="str">
        <f ca="1">O50</f>
        <v>Chicago State</v>
      </c>
      <c r="H61" s="183" t="s">
        <v>9</v>
      </c>
      <c r="I61" s="143" t="str">
        <f ca="1">O51</f>
        <v>Coastal Carolina</v>
      </c>
      <c r="J61" s="144" cm="1">
        <f t="array" aca="1" ref="J61" ca="1">_xlfn.XLOOKUP(I61,Teams[[#All],[Team]],Teams[[#All],[Seed]],0,0,1)</f>
        <v>12</v>
      </c>
      <c r="K61" s="145" t="e" vm="114">
        <f ca="1">_xlfn.XLOOKUP(G61,Teams!$C:$C,Teams!$E:$E,,0,1)</f>
        <v>#VALUE!</v>
      </c>
      <c r="L61" s="145">
        <f t="shared" ca="1" si="10"/>
        <v>99</v>
      </c>
      <c r="M61" s="145" t="e" vm="118">
        <f ca="1">_xlfn.XLOOKUP(I61,Teams!$C:$C,Teams!$E:$E,,0,1)</f>
        <v>#VALUE!</v>
      </c>
      <c r="N61" s="145">
        <f t="shared" ca="1" si="10"/>
        <v>99</v>
      </c>
      <c r="O61" s="196" t="str">
        <f t="shared" ca="1" si="16"/>
        <v>Coastal Carolina</v>
      </c>
      <c r="P61" s="211" t="e" vm="118">
        <f ca="1">_xlfn.XLOOKUP(O61,Teams!$C:$C,Teams!$E:$E,,0,1)</f>
        <v>#VALUE!</v>
      </c>
      <c r="Q61" s="289" t="s">
        <v>1204</v>
      </c>
      <c r="R61" s="6" t="b">
        <f t="shared" ca="1" si="6"/>
        <v>0</v>
      </c>
      <c r="S61" s="98"/>
    </row>
    <row r="62" spans="1:19" ht="24" customHeight="1" thickBot="1" x14ac:dyDescent="0.3">
      <c r="A62" s="91" t="str">
        <f t="shared" ca="1" si="17"/>
        <v>Colorado State</v>
      </c>
      <c r="B62" s="91" t="str">
        <f t="shared" ca="1" si="18"/>
        <v>Creighton</v>
      </c>
      <c r="C62" s="91" t="str">
        <f t="shared" ca="1" si="14"/>
        <v>Creighton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11</v>
      </c>
      <c r="G62" s="148" t="str">
        <f ca="1">O52</f>
        <v>Colorado State</v>
      </c>
      <c r="H62" s="184" t="s">
        <v>9</v>
      </c>
      <c r="I62" s="149" t="str">
        <f ca="1">O53</f>
        <v>Creighton</v>
      </c>
      <c r="J62" s="150" cm="1">
        <f t="array" aca="1" ref="J62" ca="1">_xlfn.XLOOKUP(I62,Teams[[#All],[Team]],Teams[[#All],[Seed]],0,0,1)</f>
        <v>2</v>
      </c>
      <c r="K62" s="151" t="e" vm="122">
        <f ca="1">_xlfn.XLOOKUP(G62,Teams!$C:$C,Teams!$E:$E,,0,1)</f>
        <v>#VALUE!</v>
      </c>
      <c r="L62" s="151">
        <f t="shared" ca="1" si="10"/>
        <v>115</v>
      </c>
      <c r="M62" s="151" t="e" vm="127">
        <f ca="1">_xlfn.XLOOKUP(I62,Teams!$C:$C,Teams!$E:$E,,0,1)</f>
        <v>#VALUE!</v>
      </c>
      <c r="N62" s="151">
        <f t="shared" ca="1" si="10"/>
        <v>94</v>
      </c>
      <c r="O62" s="197" t="str">
        <f t="shared" ca="1" si="16"/>
        <v>Colorado State</v>
      </c>
      <c r="P62" s="212" t="e" vm="122">
        <f ca="1">_xlfn.XLOOKUP(O62,Teams!$C:$C,Teams!$E:$E,,0,1)</f>
        <v>#VALUE!</v>
      </c>
      <c r="Q62" s="291" t="s">
        <v>1204</v>
      </c>
      <c r="R62" s="6" t="b">
        <f t="shared" ca="1" si="6"/>
        <v>1</v>
      </c>
      <c r="S62" s="98"/>
    </row>
    <row r="63" spans="1:19" ht="24" customHeight="1" thickBot="1" x14ac:dyDescent="0.3">
      <c r="E63" s="67" t="s">
        <v>10</v>
      </c>
      <c r="F63" s="226" t="str">
        <f>Bracket!L2</f>
        <v>Elite 8</v>
      </c>
      <c r="G63" s="226"/>
      <c r="H63" s="226"/>
      <c r="I63" s="226"/>
      <c r="J63" s="226"/>
      <c r="K63" s="68"/>
      <c r="L63" s="68"/>
      <c r="M63" s="68"/>
      <c r="N63" s="68"/>
      <c r="O63" s="68" t="s">
        <v>8</v>
      </c>
      <c r="P63" s="68"/>
      <c r="Q63" s="293"/>
      <c r="S63" s="98"/>
    </row>
    <row r="64" spans="1:19" ht="24" customHeight="1" thickBot="1" x14ac:dyDescent="0.3">
      <c r="A64" s="91" t="str">
        <f ca="1">G64</f>
        <v>Air Force</v>
      </c>
      <c r="B64" s="91" t="str">
        <f ca="1">I64</f>
        <v>Army</v>
      </c>
      <c r="C64" s="91" t="str">
        <f ca="1">IF(O64="","",IF(A64=O64,B64,A64))</f>
        <v>Army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16</v>
      </c>
      <c r="G64" s="155" t="str">
        <f ca="1">O55</f>
        <v>Air Force</v>
      </c>
      <c r="H64" s="185" t="s">
        <v>9</v>
      </c>
      <c r="I64" s="156" t="str">
        <f ca="1">O56</f>
        <v>Army</v>
      </c>
      <c r="J64" s="157" cm="1">
        <f t="array" aca="1" ref="J64" ca="1">_xlfn.XLOOKUP(I64,Teams[[#All],[Team]],Teams[[#All],[Seed]],0,0,1)</f>
        <v>15</v>
      </c>
      <c r="K64" s="158" t="e" vm="66">
        <f ca="1">_xlfn.XLOOKUP(G64,Teams!$C:$C,Teams!$E:$E,,0,1)</f>
        <v>#VALUE!</v>
      </c>
      <c r="L64" s="158">
        <f t="shared" ca="1" si="10"/>
        <v>115</v>
      </c>
      <c r="M64" s="158" t="e" vm="80">
        <f ca="1">_xlfn.XLOOKUP(I64,Teams!$C:$C,Teams!$E:$E,,0,1)</f>
        <v>#VALUE!</v>
      </c>
      <c r="N64" s="158">
        <f t="shared" ca="1" si="10"/>
        <v>103</v>
      </c>
      <c r="O64" s="198" t="str">
        <f ca="1">IF(L64&gt;N64,G64,I64)</f>
        <v>Air Force</v>
      </c>
      <c r="P64" s="204" t="e" vm="66">
        <f ca="1">_xlfn.XLOOKUP(O64,Teams!$C:$C,Teams!$E:$E,,0,1)</f>
        <v>#VALUE!</v>
      </c>
      <c r="Q64" s="294" t="s">
        <v>1204</v>
      </c>
      <c r="R64" s="6" t="b">
        <f t="shared" ca="1" si="6"/>
        <v>1</v>
      </c>
      <c r="S64" s="98"/>
    </row>
    <row r="65" spans="1:19" ht="24" customHeight="1" thickBot="1" x14ac:dyDescent="0.3">
      <c r="A65" s="91" t="str">
        <f ca="1">G65</f>
        <v>Baylor</v>
      </c>
      <c r="B65" s="91" t="str">
        <f ca="1">I65</f>
        <v>Brown</v>
      </c>
      <c r="C65" s="91" t="str">
        <f ca="1">IF(O65="","",IF(A65=O65,B65,A65))</f>
        <v>Baylor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9</v>
      </c>
      <c r="G65" s="161" t="str">
        <f ca="1">O57</f>
        <v>Baylor</v>
      </c>
      <c r="H65" s="186" t="s">
        <v>9</v>
      </c>
      <c r="I65" s="162" t="str">
        <f ca="1">O58</f>
        <v>Brown</v>
      </c>
      <c r="J65" s="163" cm="1">
        <f t="array" aca="1" ref="J65" ca="1">_xlfn.XLOOKUP(I65,Teams[[#All],[Team]],Teams[[#All],[Seed]],0,0,1)</f>
        <v>2</v>
      </c>
      <c r="K65" s="164" t="e" vm="84">
        <f ca="1">_xlfn.XLOOKUP(G65,Teams!$C:$C,Teams!$E:$E,,0,1)</f>
        <v>#VALUE!</v>
      </c>
      <c r="L65" s="164">
        <f t="shared" ca="1" si="10"/>
        <v>91</v>
      </c>
      <c r="M65" s="164" t="e" vm="95">
        <f ca="1">_xlfn.XLOOKUP(I65,Teams!$C:$C,Teams!$E:$E,,0,1)</f>
        <v>#VALUE!</v>
      </c>
      <c r="N65" s="164">
        <f t="shared" ca="1" si="10"/>
        <v>104</v>
      </c>
      <c r="O65" s="199" t="str">
        <f ca="1">IF(L65&gt;N65,G65,I65)</f>
        <v>Brown</v>
      </c>
      <c r="P65" s="207" t="e" vm="95">
        <f ca="1">_xlfn.XLOOKUP(O65,Teams!$C:$C,Teams!$E:$E,,0,1)</f>
        <v>#VALUE!</v>
      </c>
      <c r="Q65" s="295" t="s">
        <v>1204</v>
      </c>
      <c r="R65" s="6" t="b">
        <f t="shared" ca="1" si="6"/>
        <v>0</v>
      </c>
      <c r="S65" s="98"/>
    </row>
    <row r="66" spans="1:19" ht="24" customHeight="1" thickBot="1" x14ac:dyDescent="0.3">
      <c r="A66" s="91" t="str">
        <f ca="1">G66</f>
        <v>Buffalo</v>
      </c>
      <c r="B66" s="91" t="str">
        <f ca="1">I66</f>
        <v>Campbell</v>
      </c>
      <c r="C66" s="91" t="str">
        <f ca="1">IF(O66="","",IF(A66=O66,B66,A66))</f>
        <v>Campbell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16</v>
      </c>
      <c r="G66" s="155" t="str">
        <f ca="1">O59</f>
        <v>Buffalo</v>
      </c>
      <c r="H66" s="185" t="s">
        <v>9</v>
      </c>
      <c r="I66" s="156" t="str">
        <f ca="1">O60</f>
        <v>Campbell</v>
      </c>
      <c r="J66" s="157" cm="1">
        <f t="array" aca="1" ref="J66" ca="1">_xlfn.XLOOKUP(I66,Teams[[#All],[Team]],Teams[[#All],[Seed]],0,0,1)</f>
        <v>11</v>
      </c>
      <c r="K66" s="158" t="e" vm="98">
        <f ca="1">_xlfn.XLOOKUP(G66,Teams!$C:$C,Teams!$E:$E,,0,1)</f>
        <v>#VALUE!</v>
      </c>
      <c r="L66" s="158">
        <f t="shared" ca="1" si="10"/>
        <v>113</v>
      </c>
      <c r="M66" s="158" t="e" vm="106">
        <f ca="1">_xlfn.XLOOKUP(I66,Teams!$C:$C,Teams!$E:$E,,0,1)</f>
        <v>#VALUE!</v>
      </c>
      <c r="N66" s="158">
        <f t="shared" ca="1" si="10"/>
        <v>98</v>
      </c>
      <c r="O66" s="198" t="str">
        <f ca="1">IF(L66&gt;N66,G66,I66)</f>
        <v>Buffalo</v>
      </c>
      <c r="P66" s="204" t="e" vm="98">
        <f ca="1">_xlfn.XLOOKUP(O66,Teams!$C:$C,Teams!$E:$E,,0,1)</f>
        <v>#VALUE!</v>
      </c>
      <c r="Q66" s="296" t="s">
        <v>1204</v>
      </c>
      <c r="R66" s="6" t="b">
        <f t="shared" ca="1" si="6"/>
        <v>1</v>
      </c>
      <c r="S66" s="98"/>
    </row>
    <row r="67" spans="1:19" ht="24" customHeight="1" thickBot="1" x14ac:dyDescent="0.3">
      <c r="A67" s="91" t="str">
        <f ca="1">G67</f>
        <v>Coastal Carolina</v>
      </c>
      <c r="B67" s="91" t="str">
        <f ca="1">I67</f>
        <v>Colorado State</v>
      </c>
      <c r="C67" s="91" t="str">
        <f ca="1">IF(O67="","",IF(A67=O67,B67,A67))</f>
        <v>Coastal Carolina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12</v>
      </c>
      <c r="G67" s="161" t="str">
        <f ca="1">O61</f>
        <v>Coastal Carolina</v>
      </c>
      <c r="H67" s="186" t="s">
        <v>9</v>
      </c>
      <c r="I67" s="162" t="str">
        <f ca="1">O62</f>
        <v>Colorado State</v>
      </c>
      <c r="J67" s="163" cm="1">
        <f t="array" aca="1" ref="J67" ca="1">_xlfn.XLOOKUP(I67,Teams[[#All],[Team]],Teams[[#All],[Seed]],0,0,1)</f>
        <v>11</v>
      </c>
      <c r="K67" s="164" t="e" vm="118">
        <f ca="1">_xlfn.XLOOKUP(G67,Teams!$C:$C,Teams!$E:$E,,0,1)</f>
        <v>#VALUE!</v>
      </c>
      <c r="L67" s="164">
        <f t="shared" ca="1" si="10"/>
        <v>102</v>
      </c>
      <c r="M67" s="164" t="e" vm="122">
        <f ca="1">_xlfn.XLOOKUP(I67,Teams!$C:$C,Teams!$E:$E,,0,1)</f>
        <v>#VALUE!</v>
      </c>
      <c r="N67" s="164">
        <f t="shared" ca="1" si="10"/>
        <v>111</v>
      </c>
      <c r="O67" s="199" t="str">
        <f ca="1">IF(L67&gt;N67,G67,I67)</f>
        <v>Colorado State</v>
      </c>
      <c r="P67" s="207" t="e" vm="122">
        <f ca="1">_xlfn.XLOOKUP(O67,Teams!$C:$C,Teams!$E:$E,,0,1)</f>
        <v>#VALUE!</v>
      </c>
      <c r="Q67" s="295" t="s">
        <v>1204</v>
      </c>
      <c r="R67" s="6" t="b">
        <f t="shared" ca="1" si="6"/>
        <v>0</v>
      </c>
      <c r="S67" s="98"/>
    </row>
    <row r="68" spans="1:19" ht="24" customHeight="1" thickBot="1" x14ac:dyDescent="0.3">
      <c r="E68" s="67" t="s">
        <v>10</v>
      </c>
      <c r="F68" s="226" t="str">
        <f>Bracket!O2</f>
        <v>Final Four</v>
      </c>
      <c r="G68" s="226"/>
      <c r="H68" s="226"/>
      <c r="I68" s="226"/>
      <c r="J68" s="226"/>
      <c r="K68" s="68"/>
      <c r="L68" s="68"/>
      <c r="M68" s="68"/>
      <c r="N68" s="68"/>
      <c r="O68" s="68" t="s">
        <v>8</v>
      </c>
      <c r="P68" s="68"/>
      <c r="Q68" s="293"/>
      <c r="S68" s="98"/>
    </row>
    <row r="69" spans="1:19" ht="24" customHeight="1" thickBot="1" x14ac:dyDescent="0.3">
      <c r="A69" s="91" t="str">
        <f ca="1">G69</f>
        <v>Air Force</v>
      </c>
      <c r="B69" s="91" t="str">
        <f ca="1">I69</f>
        <v>Brown</v>
      </c>
      <c r="C69" s="91" t="str">
        <f ca="1">IF(O69="","",IF(A69=O69,B69,A69))</f>
        <v>Air Force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16</v>
      </c>
      <c r="G69" s="167" t="str">
        <f ca="1">O64</f>
        <v>Air Force</v>
      </c>
      <c r="H69" s="187" t="s">
        <v>9</v>
      </c>
      <c r="I69" s="168" t="str">
        <f ca="1">O65</f>
        <v>Brown</v>
      </c>
      <c r="J69" s="169" cm="1">
        <f t="array" aca="1" ref="J69" ca="1">_xlfn.XLOOKUP(I69,Teams[[#All],[Team]],Teams[[#All],[Seed]],0,0,1)</f>
        <v>2</v>
      </c>
      <c r="K69" s="170" t="e" vm="66">
        <f ca="1">_xlfn.XLOOKUP(G69,Teams!$C:$C,Teams!$E:$E,,0,1)</f>
        <v>#VALUE!</v>
      </c>
      <c r="L69" s="170">
        <f t="shared" ca="1" si="10"/>
        <v>92</v>
      </c>
      <c r="M69" s="170" t="e" vm="95">
        <f ca="1">_xlfn.XLOOKUP(I69,Teams!$C:$C,Teams!$E:$E,,0,1)</f>
        <v>#VALUE!</v>
      </c>
      <c r="N69" s="170">
        <f t="shared" ca="1" si="10"/>
        <v>101</v>
      </c>
      <c r="O69" s="200" t="str">
        <f ca="1">IF(L69&gt;N69,G69,I69)</f>
        <v>Brown</v>
      </c>
      <c r="P69" s="210" t="e" vm="95">
        <f ca="1">_xlfn.XLOOKUP(O69,Teams!$C:$C,Teams!$E:$E,,0,1)</f>
        <v>#VALUE!</v>
      </c>
      <c r="Q69" s="294" t="s">
        <v>1204</v>
      </c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Buffalo</v>
      </c>
      <c r="B70" s="91" t="str">
        <f ca="1">I70</f>
        <v>Colorado State</v>
      </c>
      <c r="C70" s="91" t="str">
        <f ca="1">IF(O70="","",IF(A70=O70,B70,A70))</f>
        <v>Buffalo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16</v>
      </c>
      <c r="G70" s="161" t="str">
        <f ca="1">O66</f>
        <v>Buffalo</v>
      </c>
      <c r="H70" s="186" t="s">
        <v>9</v>
      </c>
      <c r="I70" s="162" t="str">
        <f ca="1">O67</f>
        <v>Colorado State</v>
      </c>
      <c r="J70" s="163" cm="1">
        <f t="array" aca="1" ref="J70" ca="1">_xlfn.XLOOKUP(I70,Teams[[#All],[Team]],Teams[[#All],[Seed]],0,0,1)</f>
        <v>11</v>
      </c>
      <c r="K70" s="164" t="e" vm="98">
        <f ca="1">_xlfn.XLOOKUP(G70,Teams!$C:$C,Teams!$E:$E,,0,1)</f>
        <v>#VALUE!</v>
      </c>
      <c r="L70" s="164">
        <f t="shared" ca="1" si="10"/>
        <v>99</v>
      </c>
      <c r="M70" s="164" t="e" vm="122">
        <f ca="1">_xlfn.XLOOKUP(I70,Teams!$C:$C,Teams!$E:$E,,0,1)</f>
        <v>#VALUE!</v>
      </c>
      <c r="N70" s="164">
        <f t="shared" ca="1" si="10"/>
        <v>102</v>
      </c>
      <c r="O70" s="199" t="str">
        <f ca="1">IF(L70&gt;N70,G70,I70)</f>
        <v>Colorado State</v>
      </c>
      <c r="P70" s="213" t="e" vm="122">
        <f ca="1">_xlfn.XLOOKUP(O70,Teams!$C:$C,Teams!$E:$E,,0,1)</f>
        <v>#VALUE!</v>
      </c>
      <c r="Q70" s="295" t="s">
        <v>1204</v>
      </c>
      <c r="R70" s="6" t="b">
        <f t="shared" ref="R70:R72" ca="1" si="19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26" t="str">
        <f>Bracket!S2</f>
        <v>Championship</v>
      </c>
      <c r="G71" s="226"/>
      <c r="H71" s="226"/>
      <c r="I71" s="226"/>
      <c r="J71" s="226"/>
      <c r="K71" s="68"/>
      <c r="L71" s="68"/>
      <c r="M71" s="68"/>
      <c r="N71" s="68"/>
      <c r="O71" s="68" t="s">
        <v>8</v>
      </c>
      <c r="P71" s="68"/>
      <c r="Q71" s="293"/>
      <c r="S71" s="98"/>
    </row>
    <row r="72" spans="1:19" ht="24" customHeight="1" thickBot="1" x14ac:dyDescent="0.3">
      <c r="A72" s="91" t="str">
        <f ca="1">G72</f>
        <v>Brown</v>
      </c>
      <c r="B72" s="91" t="str">
        <f ca="1">I72</f>
        <v>Colorado State</v>
      </c>
      <c r="C72" s="91" t="str">
        <f ca="1">IF(O72="","",IF(A72=O72,B72,A72))</f>
        <v>Colorado State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2</v>
      </c>
      <c r="G72" s="155" t="str">
        <f ca="1">O69</f>
        <v>Brown</v>
      </c>
      <c r="H72" s="185" t="s">
        <v>9</v>
      </c>
      <c r="I72" s="156" t="str">
        <f ca="1">O70</f>
        <v>Colorado State</v>
      </c>
      <c r="J72" s="157" cm="1">
        <f t="array" aca="1" ref="J72" ca="1">_xlfn.XLOOKUP(I72,Teams[[#All],[Team]],Teams[[#All],[Seed]],0,0,1)</f>
        <v>11</v>
      </c>
      <c r="K72" s="158" t="e" vm="95">
        <f ca="1">_xlfn.XLOOKUP(G72,Teams!$C:$C,Teams!$E:$E,,0,1)</f>
        <v>#VALUE!</v>
      </c>
      <c r="L72" s="158">
        <f t="shared" ca="1" si="10"/>
        <v>110</v>
      </c>
      <c r="M72" s="158" t="e" vm="122">
        <f ca="1">_xlfn.XLOOKUP(I72,Teams!$C:$C,Teams!$E:$E,,0,1)</f>
        <v>#VALUE!</v>
      </c>
      <c r="N72" s="158">
        <f t="shared" ca="1" si="10"/>
        <v>98</v>
      </c>
      <c r="O72" s="198" t="str">
        <f ca="1">IF(L72&gt;N72,G72,I72)</f>
        <v>Brown</v>
      </c>
      <c r="P72" s="205" t="e" vm="95">
        <f ca="1">_xlfn.XLOOKUP(O72,Teams!$C:$C,Teams!$E:$E,,0,1)</f>
        <v>#VALUE!</v>
      </c>
      <c r="Q72" s="297" t="s">
        <v>1204</v>
      </c>
      <c r="R72" s="6" t="b">
        <f t="shared" ca="1" si="19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/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73" t="s">
        <v>20</v>
      </c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273"/>
      <c r="AK1" s="273"/>
      <c r="AL1" s="273"/>
      <c r="AM1" s="273"/>
      <c r="AN1" s="273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63" t="s">
        <v>2</v>
      </c>
      <c r="T2" s="263"/>
      <c r="U2" s="263"/>
      <c r="V2" s="263"/>
      <c r="W2" s="263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47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47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0" t="e" vm="65">
        <f>_xlfn.XLOOKUP(C5,Teams!$C:$C,Teams!$E:$E,,0,1)</f>
        <v>#VALUE!</v>
      </c>
      <c r="E5" s="46">
        <f ca="1">Games!L5</f>
        <v>117</v>
      </c>
      <c r="F5" s="242" t="str">
        <f ca="1">Games!O5</f>
        <v>Air Force</v>
      </c>
      <c r="G5" s="235" t="e" vm="66">
        <f ca="1">_xlfn.XLOOKUP(F5,Teams!$C:$C,Teams!$E:$E,,0,1)</f>
        <v>#VALUE!</v>
      </c>
      <c r="H5" s="274">
        <f ca="1">Games!L38</f>
        <v>110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37">
        <f ca="1">Games!L46</f>
        <v>101</v>
      </c>
      <c r="AI5" s="233" t="e" vm="98">
        <f ca="1">_xlfn.XLOOKUP(AJ5,Teams!$C:$C,Teams!$E:$E,,0,1)</f>
        <v>#VALUE!</v>
      </c>
      <c r="AJ5" s="242" t="str">
        <f ca="1">Games!O21</f>
        <v>Buffalo</v>
      </c>
      <c r="AK5" s="58">
        <f ca="1">Games!L21</f>
        <v>109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47"/>
      <c r="AU5" s="2" t="b">
        <f>IF(AP29="x",TRUE,FALSE)</f>
        <v>1</v>
      </c>
    </row>
    <row r="6" spans="1:47" ht="10.5" customHeight="1" thickBot="1" x14ac:dyDescent="0.35">
      <c r="A6" s="241">
        <f>IF($AU$5=TRUE,1,"")</f>
        <v>1</v>
      </c>
      <c r="B6" s="28"/>
      <c r="C6" s="38"/>
      <c r="D6" s="71"/>
      <c r="E6" s="47"/>
      <c r="F6" s="243"/>
      <c r="G6" s="236"/>
      <c r="H6" s="238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38"/>
      <c r="AI6" s="234"/>
      <c r="AJ6" s="243"/>
      <c r="AK6" s="55"/>
      <c r="AM6" s="39"/>
      <c r="AN6" s="28"/>
      <c r="AO6" s="248">
        <f>IF($AU$5=TRUE,A66+1,"")</f>
        <v>17</v>
      </c>
      <c r="AQ6" s="247"/>
    </row>
    <row r="7" spans="1:47" ht="13.8" customHeight="1" thickBot="1" x14ac:dyDescent="0.35">
      <c r="A7" s="241"/>
      <c r="B7" s="27">
        <v>16</v>
      </c>
      <c r="C7" s="40" t="str">
        <f>Games!I5</f>
        <v>Air Force</v>
      </c>
      <c r="D7" s="70" t="e" vm="66">
        <f>_xlfn.XLOOKUP(C7,Teams!$C:$C,Teams!$E:$E,,0,1)</f>
        <v>#VALUE!</v>
      </c>
      <c r="E7" s="48">
        <f ca="1">Games!N5</f>
        <v>117</v>
      </c>
      <c r="F7" s="249">
        <f>IF($AU$5=TRUE,AO66+1,"")</f>
        <v>33</v>
      </c>
      <c r="G7" s="14"/>
      <c r="H7" s="49"/>
      <c r="I7" s="252" t="str">
        <f ca="1">Games!O38</f>
        <v>Air Force</v>
      </c>
      <c r="J7" s="235" t="e" vm="66">
        <f ca="1">_xlfn.XLOOKUP(I7,Teams!$C:$C,Teams!$E:$E,,0,1)</f>
        <v>#VALUE!</v>
      </c>
      <c r="K7" s="237">
        <f ca="1">Games!L55</f>
        <v>113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37">
        <f ca="1">Games!L59</f>
        <v>99</v>
      </c>
      <c r="AF7" s="233" t="e" vm="98">
        <f ca="1">_xlfn.XLOOKUP(AG7,Teams!$C:$C,Teams!$E:$E,,0,1)</f>
        <v>#VALUE!</v>
      </c>
      <c r="AG7" s="242" t="str">
        <f ca="1">Games!O46</f>
        <v>Buffalo</v>
      </c>
      <c r="AH7" s="55"/>
      <c r="AI7" s="51"/>
      <c r="AJ7" s="249">
        <f>IF($AU$5=TRUE,F63+1,"")</f>
        <v>41</v>
      </c>
      <c r="AK7" s="59">
        <f ca="1">Games!N21</f>
        <v>114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48"/>
      <c r="AQ7" s="247"/>
    </row>
    <row r="8" spans="1:47" ht="10.199999999999999" customHeight="1" thickBot="1" x14ac:dyDescent="0.35">
      <c r="A8" s="16"/>
      <c r="B8" s="28"/>
      <c r="C8" s="38"/>
      <c r="D8" s="71"/>
      <c r="F8" s="241"/>
      <c r="G8" s="15"/>
      <c r="H8" s="50"/>
      <c r="I8" s="253"/>
      <c r="J8" s="236"/>
      <c r="K8" s="238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38"/>
      <c r="AF8" s="234"/>
      <c r="AG8" s="243"/>
      <c r="AH8" s="56"/>
      <c r="AJ8" s="241"/>
      <c r="AM8" s="39"/>
      <c r="AN8" s="28"/>
      <c r="AO8" s="17"/>
      <c r="AQ8" s="247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0" t="e" vm="67">
        <f>_xlfn.XLOOKUP(C9,Teams!$C:$C,Teams!$E:$E,,0,1)</f>
        <v>#VALUE!</v>
      </c>
      <c r="E9" s="46">
        <f ca="1">Games!L6</f>
        <v>110</v>
      </c>
      <c r="F9" s="242" t="str">
        <f ca="1">Games!O6</f>
        <v>Alabama</v>
      </c>
      <c r="G9" s="235" t="e" vm="68">
        <f ca="1">_xlfn.XLOOKUP(F9,Teams!$C:$C,Teams!$E:$E,,0,1)</f>
        <v>#VALUE!</v>
      </c>
      <c r="H9" s="245">
        <f ca="1">Games!N38</f>
        <v>100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39">
        <f ca="1">Games!N46</f>
        <v>91</v>
      </c>
      <c r="AI9" s="233" t="e" vm="99">
        <f ca="1">_xlfn.XLOOKUP(AJ9,Teams!$C:$C,Teams!$E:$E,,0,1)</f>
        <v>#VALUE!</v>
      </c>
      <c r="AJ9" s="242" t="str">
        <f ca="1">Games!O22</f>
        <v>Butler</v>
      </c>
      <c r="AK9" s="58">
        <f ca="1">Games!L22</f>
        <v>109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47"/>
    </row>
    <row r="10" spans="1:47" ht="10.5" customHeight="1" thickBot="1" x14ac:dyDescent="0.35">
      <c r="A10" s="262">
        <f>IF($AU$5=TRUE,A6+1,"")</f>
        <v>2</v>
      </c>
      <c r="B10" s="28"/>
      <c r="C10" s="38"/>
      <c r="D10" s="71"/>
      <c r="E10" s="47"/>
      <c r="F10" s="243"/>
      <c r="G10" s="236"/>
      <c r="H10" s="246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40"/>
      <c r="AI10" s="234"/>
      <c r="AJ10" s="243"/>
      <c r="AK10" s="55"/>
      <c r="AM10" s="39"/>
      <c r="AN10" s="28"/>
      <c r="AO10" s="248">
        <f>IF($AU$5=TRUE,AO6+1,"")</f>
        <v>18</v>
      </c>
      <c r="AQ10" s="247"/>
    </row>
    <row r="11" spans="1:47" ht="13.8" customHeight="1" thickBot="1" x14ac:dyDescent="0.35">
      <c r="A11" s="262"/>
      <c r="B11" s="27">
        <v>9</v>
      </c>
      <c r="C11" s="36" t="str">
        <f>Games!I6</f>
        <v>Alabama</v>
      </c>
      <c r="D11" s="70" t="e" vm="68">
        <f>_xlfn.XLOOKUP(C11,Teams!$C:$C,Teams!$E:$E,,0,1)</f>
        <v>#VALUE!</v>
      </c>
      <c r="E11" s="48">
        <f ca="1">Games!N6</f>
        <v>112</v>
      </c>
      <c r="F11" s="24"/>
      <c r="G11" s="24"/>
      <c r="I11" s="241">
        <f>IF($AU$5=TRUE,AJ63+1,"")</f>
        <v>49</v>
      </c>
      <c r="J11" s="15"/>
      <c r="K11" s="50"/>
      <c r="L11" s="252" t="str">
        <f ca="1">Games!O55</f>
        <v>Air Force</v>
      </c>
      <c r="M11" s="235" t="e" vm="66">
        <f ca="1">_xlfn.XLOOKUP(L11,Teams!$C:$C,Teams!$E:$E,,0,1)</f>
        <v>#VALUE!</v>
      </c>
      <c r="N11" s="237">
        <f ca="1">Games!L64</f>
        <v>115</v>
      </c>
      <c r="O11" s="25"/>
      <c r="P11" s="25"/>
      <c r="R11" s="25"/>
      <c r="S11" s="25"/>
      <c r="T11" s="275" t="e" vm="95">
        <f ca="1">_xlfn.XLOOKUP(S32,Teams!$C:$C,Teams!$E:$E,,0,1)</f>
        <v>#VALUE!</v>
      </c>
      <c r="U11" s="276"/>
      <c r="V11" s="277"/>
      <c r="W11" s="25"/>
      <c r="X11" s="25"/>
      <c r="AA11" s="25"/>
      <c r="AB11" s="237">
        <f ca="1">Games!L66</f>
        <v>113</v>
      </c>
      <c r="AC11" s="231" t="e" vm="98">
        <f ca="1">_xlfn.XLOOKUP(AD11,Teams!$C:$C,Teams!$E:$E,,0,1)</f>
        <v>#VALUE!</v>
      </c>
      <c r="AD11" s="242" t="str">
        <f ca="1">Games!O59</f>
        <v>Buffalo</v>
      </c>
      <c r="AE11" s="56"/>
      <c r="AG11" s="241">
        <f>IF($AU$5=TRUE,I59+1,"")</f>
        <v>53</v>
      </c>
      <c r="AJ11" s="24"/>
      <c r="AK11" s="59">
        <f ca="1">Games!N22</f>
        <v>105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48"/>
      <c r="AQ11" s="247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41"/>
      <c r="J12" s="15"/>
      <c r="K12" s="50"/>
      <c r="L12" s="253"/>
      <c r="M12" s="236"/>
      <c r="N12" s="238"/>
      <c r="O12" s="25"/>
      <c r="P12" s="25"/>
      <c r="R12" s="25"/>
      <c r="S12" s="25"/>
      <c r="T12" s="278"/>
      <c r="U12" s="270"/>
      <c r="V12" s="279"/>
      <c r="W12" s="25"/>
      <c r="X12" s="25"/>
      <c r="AA12" s="25"/>
      <c r="AB12" s="238"/>
      <c r="AC12" s="232"/>
      <c r="AD12" s="243"/>
      <c r="AE12" s="56"/>
      <c r="AG12" s="241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0" t="e" vm="69">
        <f>_xlfn.XLOOKUP(C13,Teams!$C:$C,Teams!$E:$E,,0,1)</f>
        <v>#VALUE!</v>
      </c>
      <c r="E13" s="46">
        <f ca="1">Games!L7</f>
        <v>106</v>
      </c>
      <c r="F13" s="242" t="str">
        <f ca="1">Games!O7</f>
        <v>Alabama A&amp;M</v>
      </c>
      <c r="G13" s="235" t="e" vm="69">
        <f ca="1">_xlfn.XLOOKUP(F13,Teams!$C:$C,Teams!$E:$E,,0,1)</f>
        <v>#VALUE!</v>
      </c>
      <c r="H13" s="237">
        <f ca="1">Games!L39</f>
        <v>116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78"/>
      <c r="U13" s="270"/>
      <c r="V13" s="279"/>
      <c r="W13" s="25"/>
      <c r="X13" s="25"/>
      <c r="AA13" s="25"/>
      <c r="AB13" s="55"/>
      <c r="AD13" s="25"/>
      <c r="AE13" s="56"/>
      <c r="AG13" s="24"/>
      <c r="AH13" s="237">
        <f ca="1">Games!L47</f>
        <v>120</v>
      </c>
      <c r="AI13" s="231" t="e" vm="102">
        <f ca="1">_xlfn.XLOOKUP(AJ13,Teams!$C:$C,Teams!$E:$E,,0,1)</f>
        <v>#VALUE!</v>
      </c>
      <c r="AJ13" s="242" t="str">
        <f ca="1">Games!O23</f>
        <v>Cal State Fullerton</v>
      </c>
      <c r="AK13" s="58">
        <f ca="1">Games!L23</f>
        <v>95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41">
        <f>IF($AU$5=TRUE,A10+1,"")</f>
        <v>3</v>
      </c>
      <c r="B14" s="28"/>
      <c r="C14" s="38"/>
      <c r="D14" s="71"/>
      <c r="E14" s="49"/>
      <c r="F14" s="243"/>
      <c r="G14" s="236"/>
      <c r="H14" s="238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78"/>
      <c r="U14" s="270"/>
      <c r="V14" s="279"/>
      <c r="W14" s="25"/>
      <c r="X14" s="25"/>
      <c r="AA14" s="25"/>
      <c r="AB14" s="56"/>
      <c r="AD14" s="25"/>
      <c r="AE14" s="56"/>
      <c r="AG14" s="24"/>
      <c r="AH14" s="238"/>
      <c r="AI14" s="232"/>
      <c r="AJ14" s="243"/>
      <c r="AK14" s="55"/>
      <c r="AM14" s="39"/>
      <c r="AN14" s="28"/>
      <c r="AO14" s="248">
        <f>IF($AU$5=TRUE,AO10+1,"")</f>
        <v>19</v>
      </c>
      <c r="AQ14" s="247"/>
    </row>
    <row r="15" spans="1:47" ht="13.8" customHeight="1" thickBot="1" x14ac:dyDescent="0.35">
      <c r="A15" s="241"/>
      <c r="B15" s="27">
        <v>12</v>
      </c>
      <c r="C15" s="36" t="str">
        <f>Games!I7</f>
        <v>Alabama State</v>
      </c>
      <c r="D15" s="70" t="e" vm="70">
        <f>_xlfn.XLOOKUP(C15,Teams!$C:$C,Teams!$E:$E,,0,1)</f>
        <v>#VALUE!</v>
      </c>
      <c r="E15" s="48">
        <f ca="1">Games!N7</f>
        <v>98</v>
      </c>
      <c r="F15" s="249">
        <f>IF($AU$5=TRUE,F7+1,"")</f>
        <v>34</v>
      </c>
      <c r="G15" s="14"/>
      <c r="H15" s="49"/>
      <c r="I15" s="252" t="str">
        <f ca="1">Games!O39</f>
        <v>Alabama A&amp;M</v>
      </c>
      <c r="J15" s="235" t="e" vm="69">
        <f ca="1">_xlfn.XLOOKUP(I15,Teams!$C:$C,Teams!$E:$E,,0,1)</f>
        <v>#VALUE!</v>
      </c>
      <c r="K15" s="245">
        <f ca="1">Games!N55</f>
        <v>111</v>
      </c>
      <c r="L15" s="25"/>
      <c r="M15" s="25"/>
      <c r="N15" s="50"/>
      <c r="O15" s="25"/>
      <c r="P15" s="25"/>
      <c r="R15" s="25"/>
      <c r="S15" s="25"/>
      <c r="T15" s="278"/>
      <c r="U15" s="270"/>
      <c r="V15" s="279"/>
      <c r="W15" s="25"/>
      <c r="X15" s="25"/>
      <c r="AA15" s="25"/>
      <c r="AB15" s="56"/>
      <c r="AD15" s="25"/>
      <c r="AE15" s="239">
        <f ca="1">Games!N59</f>
        <v>94</v>
      </c>
      <c r="AF15" s="231" t="e" vm="102">
        <f ca="1">_xlfn.XLOOKUP(AG15,Teams!$C:$C,Teams!$E:$E,,0,1)</f>
        <v>#VALUE!</v>
      </c>
      <c r="AG15" s="242" t="str">
        <f ca="1">Games!O47</f>
        <v>Cal State Fullerton</v>
      </c>
      <c r="AH15" s="55"/>
      <c r="AI15" s="51"/>
      <c r="AJ15" s="249">
        <f>IF($AU$5=TRUE,AJ7+1,"")</f>
        <v>42</v>
      </c>
      <c r="AK15" s="59">
        <f ca="1">Games!N23</f>
        <v>107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48"/>
      <c r="AQ15" s="247"/>
    </row>
    <row r="16" spans="1:47" ht="10.5" customHeight="1" thickBot="1" x14ac:dyDescent="0.35">
      <c r="A16" s="16"/>
      <c r="B16" s="28"/>
      <c r="C16" s="38"/>
      <c r="D16" s="71"/>
      <c r="F16" s="241"/>
      <c r="G16" s="15"/>
      <c r="H16" s="50"/>
      <c r="I16" s="253"/>
      <c r="J16" s="236"/>
      <c r="K16" s="246"/>
      <c r="L16" s="25"/>
      <c r="M16" s="25"/>
      <c r="N16" s="50"/>
      <c r="O16" s="25"/>
      <c r="P16" s="25"/>
      <c r="R16" s="25"/>
      <c r="S16" s="25"/>
      <c r="T16" s="278"/>
      <c r="U16" s="270"/>
      <c r="V16" s="279"/>
      <c r="W16" s="25"/>
      <c r="X16" s="25"/>
      <c r="AA16" s="25"/>
      <c r="AB16" s="56"/>
      <c r="AD16" s="25"/>
      <c r="AE16" s="240"/>
      <c r="AF16" s="232"/>
      <c r="AG16" s="243"/>
      <c r="AH16" s="56"/>
      <c r="AJ16" s="241"/>
      <c r="AM16" s="39"/>
      <c r="AN16" s="28"/>
      <c r="AO16" s="17"/>
      <c r="AQ16" s="247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0" t="e" vm="71">
        <f>_xlfn.XLOOKUP(C17,Teams!$C:$C,Teams!$E:$E,,0,1)</f>
        <v>#VALUE!</v>
      </c>
      <c r="E17" s="46">
        <f ca="1">Games!L8</f>
        <v>106</v>
      </c>
      <c r="F17" s="242" t="str">
        <f ca="1">Games!O8</f>
        <v>Alcorn State</v>
      </c>
      <c r="G17" s="235" t="e" vm="72">
        <f ca="1">_xlfn.XLOOKUP(F17,Teams!$C:$C,Teams!$E:$E,,0,1)</f>
        <v>#VALUE!</v>
      </c>
      <c r="H17" s="245">
        <f ca="1">Games!N39</f>
        <v>108</v>
      </c>
      <c r="I17" s="24"/>
      <c r="J17" s="24"/>
      <c r="L17" s="25"/>
      <c r="M17" s="25"/>
      <c r="N17" s="50"/>
      <c r="O17" s="25"/>
      <c r="P17" s="25"/>
      <c r="R17" s="25"/>
      <c r="S17" s="25"/>
      <c r="T17" s="278"/>
      <c r="U17" s="270"/>
      <c r="V17" s="279"/>
      <c r="W17" s="25"/>
      <c r="X17" s="25"/>
      <c r="AA17" s="25"/>
      <c r="AB17" s="56"/>
      <c r="AD17" s="25"/>
      <c r="AG17" s="24"/>
      <c r="AH17" s="239">
        <f ca="1">Games!N47</f>
        <v>109</v>
      </c>
      <c r="AI17" s="231" t="e" vm="103">
        <f ca="1">_xlfn.XLOOKUP(AJ17,Teams!$C:$C,Teams!$E:$E,,0,1)</f>
        <v>#VALUE!</v>
      </c>
      <c r="AJ17" s="242" t="str">
        <f ca="1">Games!O24</f>
        <v>Cal State Northridge</v>
      </c>
      <c r="AK17" s="58">
        <f ca="1">Games!L24</f>
        <v>108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47"/>
    </row>
    <row r="18" spans="1:43" ht="10.5" customHeight="1" thickBot="1" x14ac:dyDescent="0.35">
      <c r="A18" s="241">
        <f>IF($AU$5=TRUE,A14+1,"")</f>
        <v>4</v>
      </c>
      <c r="B18" s="28"/>
      <c r="C18" s="38"/>
      <c r="D18" s="71"/>
      <c r="E18" s="49"/>
      <c r="F18" s="243"/>
      <c r="G18" s="236"/>
      <c r="H18" s="246"/>
      <c r="I18" s="24"/>
      <c r="J18" s="24"/>
      <c r="L18" s="25"/>
      <c r="M18" s="25"/>
      <c r="N18" s="50"/>
      <c r="O18" s="25"/>
      <c r="P18" s="25"/>
      <c r="R18" s="25"/>
      <c r="S18" s="25"/>
      <c r="T18" s="278"/>
      <c r="U18" s="270"/>
      <c r="V18" s="279"/>
      <c r="W18" s="25"/>
      <c r="X18" s="25"/>
      <c r="AA18" s="25"/>
      <c r="AB18" s="56"/>
      <c r="AD18" s="25"/>
      <c r="AG18" s="24"/>
      <c r="AH18" s="240"/>
      <c r="AI18" s="232"/>
      <c r="AJ18" s="243"/>
      <c r="AK18" s="55"/>
      <c r="AM18" s="39"/>
      <c r="AN18" s="28"/>
      <c r="AO18" s="248">
        <f>IF($AU$5=TRUE,AO14+1,"")</f>
        <v>20</v>
      </c>
      <c r="AQ18" s="247"/>
    </row>
    <row r="19" spans="1:43" ht="13.8" customHeight="1" thickBot="1" x14ac:dyDescent="0.45">
      <c r="A19" s="241"/>
      <c r="B19" s="27">
        <v>13</v>
      </c>
      <c r="C19" s="36" t="str">
        <f>Games!I8</f>
        <v>Alcorn State</v>
      </c>
      <c r="D19" s="70" t="e" vm="72">
        <f>_xlfn.XLOOKUP(C19,Teams!$C:$C,Teams!$E:$E,,0,1)</f>
        <v>#VALUE!</v>
      </c>
      <c r="E19" s="48">
        <f ca="1">Games!N8</f>
        <v>118</v>
      </c>
      <c r="F19" s="24"/>
      <c r="G19" s="24"/>
      <c r="I19" s="24"/>
      <c r="J19" s="24"/>
      <c r="K19" s="244" t="s">
        <v>15</v>
      </c>
      <c r="L19" s="244"/>
      <c r="M19" s="20"/>
      <c r="N19" s="50"/>
      <c r="O19" s="252" t="str">
        <f ca="1">Games!O64</f>
        <v>Air Force</v>
      </c>
      <c r="P19" s="235" t="e" vm="66">
        <f ca="1">_xlfn.XLOOKUP(O19,Teams!$C:$C,Teams!$E:$E,,0,1)</f>
        <v>#VALUE!</v>
      </c>
      <c r="Q19" s="237">
        <f ca="1">Games!L69</f>
        <v>92</v>
      </c>
      <c r="R19" s="25"/>
      <c r="S19" s="25"/>
      <c r="T19" s="280"/>
      <c r="U19" s="281"/>
      <c r="V19" s="282"/>
      <c r="W19" s="25"/>
      <c r="X19" s="25"/>
      <c r="Y19" s="237">
        <f ca="1">Games!L70</f>
        <v>99</v>
      </c>
      <c r="Z19" s="231" t="e" vm="98">
        <f ca="1">_xlfn.XLOOKUP(AA19,Teams!$C:$C,Teams!$E:$E,,0,1)</f>
        <v>#VALUE!</v>
      </c>
      <c r="AA19" s="242" t="str">
        <f ca="1">Games!O66</f>
        <v>Buffalo</v>
      </c>
      <c r="AB19" s="56"/>
      <c r="AD19" s="244" t="s">
        <v>3</v>
      </c>
      <c r="AE19" s="244"/>
      <c r="AF19" s="20"/>
      <c r="AG19" s="24"/>
      <c r="AJ19" s="24"/>
      <c r="AK19" s="59">
        <f ca="1">Games!N24</f>
        <v>105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48"/>
      <c r="AQ19" s="247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44"/>
      <c r="L20" s="244"/>
      <c r="M20" s="20"/>
      <c r="N20" s="50"/>
      <c r="O20" s="253"/>
      <c r="P20" s="236"/>
      <c r="Q20" s="238"/>
      <c r="R20" s="25"/>
      <c r="S20" s="25"/>
      <c r="T20" s="25"/>
      <c r="U20" s="75"/>
      <c r="V20" s="25"/>
      <c r="W20" s="25"/>
      <c r="X20" s="25"/>
      <c r="Y20" s="238"/>
      <c r="Z20" s="232"/>
      <c r="AA20" s="243"/>
      <c r="AB20" s="56"/>
      <c r="AD20" s="244"/>
      <c r="AE20" s="244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41">
        <f>IF($AU$5=TRUE,A18+1,"")</f>
        <v>5</v>
      </c>
      <c r="B21" s="27">
        <v>6</v>
      </c>
      <c r="C21" s="36" t="str">
        <f>Games!G9</f>
        <v>American</v>
      </c>
      <c r="D21" s="70" t="e" vm="73">
        <f>_xlfn.XLOOKUP(C21,Teams!$C:$C,Teams!$E:$E,,0,1)</f>
        <v>#VALUE!</v>
      </c>
      <c r="E21" s="46">
        <f ca="1">Games!L9</f>
        <v>106</v>
      </c>
      <c r="F21" s="242" t="str">
        <f ca="1">Games!O9</f>
        <v>American</v>
      </c>
      <c r="G21" s="235" t="e" vm="73">
        <f ca="1">_xlfn.XLOOKUP(F21,Teams!$C:$C,Teams!$E:$E,,0,1)</f>
        <v>#VALUE!</v>
      </c>
      <c r="H21" s="237">
        <f ca="1">Games!L40</f>
        <v>109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37">
        <f ca="1">Games!L48</f>
        <v>107</v>
      </c>
      <c r="AI21" s="231" t="e" vm="106">
        <f ca="1">_xlfn.XLOOKUP(AJ21,Teams!$C:$C,Teams!$E:$E,,0,1)</f>
        <v>#VALUE!</v>
      </c>
      <c r="AJ21" s="242" t="str">
        <f ca="1">Games!O25</f>
        <v>Campbell</v>
      </c>
      <c r="AK21" s="58">
        <f ca="1">Games!L25</f>
        <v>91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41"/>
      <c r="B22" s="28"/>
      <c r="C22" s="38"/>
      <c r="D22" s="71"/>
      <c r="E22" s="49"/>
      <c r="F22" s="243"/>
      <c r="G22" s="236"/>
      <c r="H22" s="238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38"/>
      <c r="AI22" s="232"/>
      <c r="AJ22" s="243"/>
      <c r="AK22" s="55"/>
      <c r="AM22" s="39"/>
      <c r="AN22" s="28"/>
      <c r="AO22" s="248">
        <f>IF($AU$5=TRUE,AO18+1,"")</f>
        <v>21</v>
      </c>
      <c r="AQ22" s="247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0" t="e" vm="74">
        <f>_xlfn.XLOOKUP(C23,Teams!$C:$C,Teams!$E:$E,,0,1)</f>
        <v>#VALUE!</v>
      </c>
      <c r="E23" s="48">
        <f ca="1">Games!N9</f>
        <v>93</v>
      </c>
      <c r="F23" s="249">
        <f>IF($AU$5=TRUE,F15+1,"")</f>
        <v>35</v>
      </c>
      <c r="G23" s="14"/>
      <c r="H23" s="49"/>
      <c r="I23" s="252" t="str">
        <f ca="1">Games!O40</f>
        <v>American</v>
      </c>
      <c r="J23" s="235" t="e" vm="73">
        <f ca="1">_xlfn.XLOOKUP(I23,Teams!$C:$C,Teams!$E:$E,,0,1)</f>
        <v>#VALUE!</v>
      </c>
      <c r="K23" s="237">
        <f ca="1">Games!L56</f>
        <v>91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37">
        <f ca="1">Games!L60</f>
        <v>101</v>
      </c>
      <c r="AF23" s="231" t="e" vm="106">
        <f ca="1">_xlfn.XLOOKUP(AG23,Teams!$C:$C,Teams!$E:$E,,0,1)</f>
        <v>#VALUE!</v>
      </c>
      <c r="AG23" s="242" t="str">
        <f ca="1">Games!O48</f>
        <v>Campbell</v>
      </c>
      <c r="AH23" s="55"/>
      <c r="AI23" s="51"/>
      <c r="AJ23" s="249">
        <f>IF($AU$5=TRUE,AJ15+1,"")</f>
        <v>43</v>
      </c>
      <c r="AK23" s="59">
        <f ca="1">Games!N25</f>
        <v>101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48"/>
      <c r="AQ23" s="247"/>
    </row>
    <row r="24" spans="1:43" ht="10.5" customHeight="1" thickBot="1" x14ac:dyDescent="0.35">
      <c r="A24" s="16"/>
      <c r="B24" s="28"/>
      <c r="C24" s="38"/>
      <c r="D24" s="71"/>
      <c r="F24" s="241"/>
      <c r="G24" s="15"/>
      <c r="H24" s="50"/>
      <c r="I24" s="253"/>
      <c r="J24" s="236"/>
      <c r="K24" s="238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38"/>
      <c r="AF24" s="232"/>
      <c r="AG24" s="243"/>
      <c r="AH24" s="56"/>
      <c r="AJ24" s="241"/>
      <c r="AM24" s="39"/>
      <c r="AN24" s="28"/>
      <c r="AO24" s="17"/>
      <c r="AQ24" s="247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0" t="e" vm="75">
        <f>_xlfn.XLOOKUP(C25,Teams!$C:$C,Teams!$E:$E,,0,1)</f>
        <v>#VALUE!</v>
      </c>
      <c r="E25" s="46">
        <f ca="1">Games!L10</f>
        <v>100</v>
      </c>
      <c r="F25" s="242" t="str">
        <f ca="1">Games!O10</f>
        <v>Arizona State</v>
      </c>
      <c r="G25" s="235" t="e" vm="76">
        <f ca="1">_xlfn.XLOOKUP(F25,Teams!$C:$C,Teams!$E:$E,,0,1)</f>
        <v>#VALUE!</v>
      </c>
      <c r="H25" s="245">
        <f ca="1">Games!N40</f>
        <v>101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39">
        <f ca="1">Games!N48</f>
        <v>98</v>
      </c>
      <c r="AI25" s="231" t="e" vm="108">
        <f ca="1">_xlfn.XLOOKUP(AJ25,Teams!$C:$C,Teams!$E:$E,,0,1)</f>
        <v>#VALUE!</v>
      </c>
      <c r="AJ25" s="242" t="str">
        <f ca="1">Games!O26</f>
        <v>Central Arkansas</v>
      </c>
      <c r="AK25" s="58">
        <f ca="1">Games!L26</f>
        <v>112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47"/>
    </row>
    <row r="26" spans="1:43" ht="10.5" customHeight="1" thickBot="1" x14ac:dyDescent="0.35">
      <c r="A26" s="241">
        <f>IF($AU$5=TRUE,A21+1,"")</f>
        <v>6</v>
      </c>
      <c r="B26" s="28"/>
      <c r="C26" s="38"/>
      <c r="D26" s="71"/>
      <c r="E26" s="49"/>
      <c r="F26" s="243"/>
      <c r="G26" s="236"/>
      <c r="H26" s="246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40"/>
      <c r="AI26" s="232"/>
      <c r="AJ26" s="243"/>
      <c r="AK26" s="55"/>
      <c r="AM26" s="39"/>
      <c r="AN26" s="28"/>
      <c r="AO26" s="248">
        <f>IF($AU$5=TRUE,AO22+1,"")</f>
        <v>22</v>
      </c>
      <c r="AQ26" s="247"/>
    </row>
    <row r="27" spans="1:43" ht="13.8" customHeight="1" thickBot="1" x14ac:dyDescent="0.35">
      <c r="A27" s="241"/>
      <c r="B27" s="27">
        <v>14</v>
      </c>
      <c r="C27" s="36" t="str">
        <f>Games!I10</f>
        <v>Arizona State</v>
      </c>
      <c r="D27" s="70" t="e" vm="76">
        <f>_xlfn.XLOOKUP(C27,Teams!$C:$C,Teams!$E:$E,,0,1)</f>
        <v>#VALUE!</v>
      </c>
      <c r="E27" s="48">
        <f ca="1">Games!N10</f>
        <v>118</v>
      </c>
      <c r="F27" s="24"/>
      <c r="G27" s="24"/>
      <c r="I27" s="241">
        <f>IF($AU$5=TRUE,I11+1,"")</f>
        <v>50</v>
      </c>
      <c r="J27" s="15"/>
      <c r="K27" s="50"/>
      <c r="L27" s="252" t="str">
        <f ca="1">Games!O56</f>
        <v>Army</v>
      </c>
      <c r="M27" s="235" t="e" vm="80">
        <f ca="1">_xlfn.XLOOKUP(L27,Teams!$C:$C,Teams!$E:$E,,0,1)</f>
        <v>#VALUE!</v>
      </c>
      <c r="N27" s="245">
        <f ca="1">Games!N64</f>
        <v>103</v>
      </c>
      <c r="O27" s="25"/>
      <c r="P27" s="25"/>
      <c r="Q27" s="50"/>
      <c r="R27" s="252" t="str">
        <f ca="1">Games!O69</f>
        <v>Brown</v>
      </c>
      <c r="S27" s="242"/>
      <c r="T27" s="242"/>
      <c r="U27" s="256" t="e" vm="95">
        <f ca="1">_xlfn.XLOOKUP(R27,Teams!$C:$C,Teams!$E:$E,,0,1)</f>
        <v>#VALUE!</v>
      </c>
      <c r="V27" s="260">
        <f ca="1">Games!L72</f>
        <v>110</v>
      </c>
      <c r="W27" s="24"/>
      <c r="X27" s="25"/>
      <c r="Y27" s="56"/>
      <c r="AA27" s="25"/>
      <c r="AB27" s="239">
        <f ca="1">Games!N66</f>
        <v>98</v>
      </c>
      <c r="AC27" s="231" t="e" vm="106">
        <f ca="1">_xlfn.XLOOKUP(AD27,Teams!$C:$C,Teams!$E:$E,,0,1)</f>
        <v>#VALUE!</v>
      </c>
      <c r="AD27" s="242" t="str">
        <f ca="1">Games!O60</f>
        <v>Campbell</v>
      </c>
      <c r="AE27" s="56"/>
      <c r="AG27" s="241">
        <f>IF($AU$5=TRUE,AG11+1,"")</f>
        <v>54</v>
      </c>
      <c r="AJ27" s="24"/>
      <c r="AK27" s="59">
        <f ca="1">Games!N26</f>
        <v>113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48"/>
      <c r="AQ27" s="247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41"/>
      <c r="J28" s="15"/>
      <c r="K28" s="50"/>
      <c r="L28" s="253"/>
      <c r="M28" s="236"/>
      <c r="N28" s="246"/>
      <c r="O28" s="25"/>
      <c r="P28" s="25"/>
      <c r="Q28" s="50"/>
      <c r="R28" s="253"/>
      <c r="S28" s="243"/>
      <c r="T28" s="243"/>
      <c r="U28" s="257"/>
      <c r="V28" s="261"/>
      <c r="W28" s="24"/>
      <c r="X28" s="25"/>
      <c r="Y28" s="56"/>
      <c r="AA28" s="25"/>
      <c r="AB28" s="240"/>
      <c r="AC28" s="232"/>
      <c r="AD28" s="243"/>
      <c r="AE28" s="56"/>
      <c r="AG28" s="241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0" t="e" vm="77">
        <f>_xlfn.XLOOKUP(C29,Teams!$C:$C,Teams!$E:$E,,0,1)</f>
        <v>#VALUE!</v>
      </c>
      <c r="E29" s="46">
        <f ca="1">Games!L11</f>
        <v>101</v>
      </c>
      <c r="F29" s="242" t="str">
        <f ca="1">Games!O11</f>
        <v>Arkansas State</v>
      </c>
      <c r="G29" s="235" t="e" vm="78">
        <f ca="1">_xlfn.XLOOKUP(F29,Teams!$C:$C,Teams!$E:$E,,0,1)</f>
        <v>#VALUE!</v>
      </c>
      <c r="H29" s="237">
        <f ca="1">Games!L41</f>
        <v>108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37">
        <f ca="1">Games!L49</f>
        <v>110</v>
      </c>
      <c r="AI29" s="231" t="e" vm="109">
        <f ca="1">_xlfn.XLOOKUP(AJ29,Teams!$C:$C,Teams!$E:$E,,0,1)</f>
        <v>#VALUE!</v>
      </c>
      <c r="AJ29" s="242" t="str">
        <f ca="1">Games!O27</f>
        <v>Central Connecticut State</v>
      </c>
      <c r="AK29" s="58">
        <f ca="1">Games!L27</f>
        <v>109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41">
        <f>IF($AU$5=TRUE,A26+1,"")</f>
        <v>7</v>
      </c>
      <c r="B30" s="28"/>
      <c r="C30" s="38"/>
      <c r="D30" s="71"/>
      <c r="E30" s="49"/>
      <c r="F30" s="243"/>
      <c r="G30" s="236"/>
      <c r="H30" s="238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38"/>
      <c r="AI30" s="232"/>
      <c r="AJ30" s="243"/>
      <c r="AK30" s="55"/>
      <c r="AM30" s="39"/>
      <c r="AN30" s="28"/>
      <c r="AO30" s="248">
        <f>IF($AU$5=TRUE,AO26+1,"")</f>
        <v>23</v>
      </c>
    </row>
    <row r="31" spans="1:43" ht="14.4" customHeight="1" thickBot="1" x14ac:dyDescent="0.35">
      <c r="A31" s="241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 ca="1">Games!N11</f>
        <v>110</v>
      </c>
      <c r="F31" s="249">
        <f>IF($AU$5=TRUE,F23+1,"")</f>
        <v>36</v>
      </c>
      <c r="G31" s="14"/>
      <c r="H31" s="49"/>
      <c r="I31" s="252" t="str">
        <f ca="1">Games!O41</f>
        <v>Army</v>
      </c>
      <c r="J31" s="235" t="e" vm="80">
        <f ca="1">_xlfn.XLOOKUP(I31,Teams!$C:$C,Teams!$E:$E,,0,1)</f>
        <v>#VALUE!</v>
      </c>
      <c r="K31" s="245">
        <f ca="1">Games!N56</f>
        <v>95</v>
      </c>
      <c r="L31" s="25"/>
      <c r="M31" s="25"/>
      <c r="O31" s="25"/>
      <c r="P31" s="25"/>
      <c r="Q31" s="50"/>
      <c r="R31" s="4"/>
      <c r="S31" s="270" t="s">
        <v>0</v>
      </c>
      <c r="T31" s="270"/>
      <c r="U31" s="270"/>
      <c r="V31" s="270"/>
      <c r="W31" s="270"/>
      <c r="X31" s="5"/>
      <c r="Y31" s="56"/>
      <c r="AA31" s="25"/>
      <c r="AD31" s="25"/>
      <c r="AE31" s="239">
        <f ca="1">Games!N60</f>
        <v>92</v>
      </c>
      <c r="AF31" s="231" t="e" vm="109">
        <f ca="1">_xlfn.XLOOKUP(AG31,Teams!$C:$C,Teams!$E:$E,,0,1)</f>
        <v>#VALUE!</v>
      </c>
      <c r="AG31" s="242" t="str">
        <f ca="1">Games!O49</f>
        <v>Central Connecticut State</v>
      </c>
      <c r="AH31" s="55"/>
      <c r="AI31" s="51"/>
      <c r="AJ31" s="249">
        <f>IF($AU$5=TRUE,AJ23+1,"")</f>
        <v>44</v>
      </c>
      <c r="AK31" s="59">
        <f ca="1">Games!N27</f>
        <v>93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48"/>
    </row>
    <row r="32" spans="1:43" ht="10.5" customHeight="1" thickBot="1" x14ac:dyDescent="0.35">
      <c r="A32" s="16"/>
      <c r="B32" s="28"/>
      <c r="C32" s="38"/>
      <c r="D32" s="71"/>
      <c r="F32" s="241"/>
      <c r="G32" s="15"/>
      <c r="H32" s="50"/>
      <c r="I32" s="253"/>
      <c r="J32" s="236"/>
      <c r="K32" s="246"/>
      <c r="L32" s="25"/>
      <c r="M32" s="25"/>
      <c r="O32" s="25"/>
      <c r="P32" s="25"/>
      <c r="Q32" s="50"/>
      <c r="R32" s="30"/>
      <c r="S32" s="264" t="str">
        <f ca="1">Games!O72</f>
        <v>Brown</v>
      </c>
      <c r="T32" s="265"/>
      <c r="U32" s="265"/>
      <c r="V32" s="265"/>
      <c r="W32" s="266"/>
      <c r="X32" s="31"/>
      <c r="Y32" s="56"/>
      <c r="AA32" s="25"/>
      <c r="AD32" s="25"/>
      <c r="AE32" s="240"/>
      <c r="AF32" s="232"/>
      <c r="AG32" s="243"/>
      <c r="AH32" s="56"/>
      <c r="AJ32" s="241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0" t="e" vm="79">
        <f>_xlfn.XLOOKUP(C33,Teams!$C:$C,Teams!$E:$E,,0,1)</f>
        <v>#VALUE!</v>
      </c>
      <c r="E33" s="46">
        <f ca="1">Games!L12</f>
        <v>94</v>
      </c>
      <c r="F33" s="242" t="str">
        <f ca="1">Games!O12</f>
        <v>Army</v>
      </c>
      <c r="G33" s="235" t="e" vm="80">
        <f ca="1">_xlfn.XLOOKUP(F33,Teams!$C:$C,Teams!$E:$E,,0,1)</f>
        <v>#VALUE!</v>
      </c>
      <c r="H33" s="245">
        <f ca="1">Games!N41</f>
        <v>114</v>
      </c>
      <c r="I33" s="24"/>
      <c r="J33" s="24"/>
      <c r="L33" s="25"/>
      <c r="M33" s="25"/>
      <c r="O33" s="25"/>
      <c r="P33" s="25"/>
      <c r="Q33" s="50"/>
      <c r="R33" s="30"/>
      <c r="S33" s="267"/>
      <c r="T33" s="268"/>
      <c r="U33" s="268"/>
      <c r="V33" s="268"/>
      <c r="W33" s="269"/>
      <c r="X33" s="31"/>
      <c r="Y33" s="56"/>
      <c r="AA33" s="25"/>
      <c r="AD33" s="25"/>
      <c r="AG33" s="24"/>
      <c r="AH33" s="239">
        <f ca="1">Games!N49</f>
        <v>100</v>
      </c>
      <c r="AI33" s="231" t="e" vm="112">
        <f ca="1">_xlfn.XLOOKUP(AJ33,Teams!$C:$C,Teams!$E:$E,,0,1)</f>
        <v>#VALUE!</v>
      </c>
      <c r="AJ33" s="242" t="str">
        <f ca="1">Games!O28</f>
        <v>Charlotte</v>
      </c>
      <c r="AK33" s="58">
        <f ca="1">Games!L28</f>
        <v>104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41">
        <f>IF($AU$5=TRUE,A30+1,"")</f>
        <v>8</v>
      </c>
      <c r="B34" s="28"/>
      <c r="C34" s="38"/>
      <c r="D34" s="71"/>
      <c r="E34" s="49"/>
      <c r="F34" s="243"/>
      <c r="G34" s="236"/>
      <c r="H34" s="246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40"/>
      <c r="AI34" s="232"/>
      <c r="AJ34" s="243"/>
      <c r="AK34" s="55"/>
      <c r="AM34" s="39"/>
      <c r="AN34" s="28"/>
      <c r="AO34" s="248">
        <f>IF($AU$5=TRUE,AO30+1,"")</f>
        <v>24</v>
      </c>
      <c r="AQ34" s="247"/>
    </row>
    <row r="35" spans="1:43" ht="16.2" thickBot="1" x14ac:dyDescent="0.35">
      <c r="A35" s="241"/>
      <c r="B35" s="27">
        <v>15</v>
      </c>
      <c r="C35" s="36" t="str">
        <f>Games!I12</f>
        <v>Army</v>
      </c>
      <c r="D35" s="70" t="e" vm="80">
        <f>_xlfn.XLOOKUP(C35,Teams!$C:$C,Teams!$E:$E,,0,1)</f>
        <v>#VALUE!</v>
      </c>
      <c r="E35" s="48">
        <f ca="1">Games!N12</f>
        <v>109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41">
        <f>IF($AU$5=TRUE,AA35+1,"")</f>
        <v>63</v>
      </c>
      <c r="U35" s="241"/>
      <c r="V35" s="241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120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48"/>
      <c r="AQ35" s="247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47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 ca="1">Games!L13</f>
        <v>118</v>
      </c>
      <c r="F37" s="242" t="str">
        <f ca="1">Games!O13</f>
        <v>Auburn</v>
      </c>
      <c r="G37" s="235" t="e" vm="81">
        <f ca="1">_xlfn.XLOOKUP(F37,Teams!$C:$C,Teams!$E:$E,,0,1)</f>
        <v>#VALUE!</v>
      </c>
      <c r="H37" s="237">
        <f ca="1">Games!L42</f>
        <v>90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37">
        <f ca="1">Games!L50</f>
        <v>117</v>
      </c>
      <c r="AI37" s="231" t="e" vm="114">
        <f ca="1">_xlfn.XLOOKUP(AJ37,Teams!$C:$C,Teams!$E:$E,,0,1)</f>
        <v>#VALUE!</v>
      </c>
      <c r="AJ37" s="242" t="str">
        <f ca="1">Games!O29</f>
        <v>Chicago State</v>
      </c>
      <c r="AK37" s="58">
        <f ca="1">Games!L29</f>
        <v>90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47"/>
    </row>
    <row r="38" spans="1:43" ht="10.5" customHeight="1" thickBot="1" x14ac:dyDescent="0.35">
      <c r="A38" s="241">
        <f>IF($AU$5=TRUE,A34+1,"")</f>
        <v>9</v>
      </c>
      <c r="B38" s="28"/>
      <c r="C38" s="38"/>
      <c r="D38" s="71"/>
      <c r="E38" s="49"/>
      <c r="F38" s="243"/>
      <c r="G38" s="236"/>
      <c r="H38" s="238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38"/>
      <c r="AI38" s="232"/>
      <c r="AJ38" s="243"/>
      <c r="AK38" s="55"/>
      <c r="AM38" s="39"/>
      <c r="AN38" s="28"/>
      <c r="AO38" s="248">
        <f>IF($AU$5=TRUE,AO34+1,"")</f>
        <v>25</v>
      </c>
    </row>
    <row r="39" spans="1:43" ht="13.8" customHeight="1" thickBot="1" x14ac:dyDescent="0.35">
      <c r="A39" s="241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 ca="1">Games!N13</f>
        <v>104</v>
      </c>
      <c r="F39" s="249">
        <f>IF($AU$5=TRUE,F31+1,"")</f>
        <v>37</v>
      </c>
      <c r="G39" s="14"/>
      <c r="H39" s="49"/>
      <c r="I39" s="252" t="str">
        <f ca="1">Games!O42</f>
        <v>Baylor</v>
      </c>
      <c r="J39" s="235" t="e" vm="84">
        <f ca="1">_xlfn.XLOOKUP(I39,Teams!$C:$C,Teams!$E:$E,,0,1)</f>
        <v>#VALUE!</v>
      </c>
      <c r="K39" s="237">
        <f ca="1">Games!L57</f>
        <v>103</v>
      </c>
      <c r="L39" s="25"/>
      <c r="M39" s="25"/>
      <c r="O39" s="25"/>
      <c r="P39" s="25"/>
      <c r="Q39" s="50"/>
      <c r="R39" s="25"/>
      <c r="S39" s="25"/>
      <c r="T39" s="260">
        <f ca="1">Games!N72</f>
        <v>98</v>
      </c>
      <c r="U39" s="254" t="e" vm="122">
        <f ca="1">_xlfn.XLOOKUP(V39,Teams!$C:$C,Teams!$E:$E,,0,1)</f>
        <v>#VALUE!</v>
      </c>
      <c r="V39" s="242" t="str">
        <f ca="1">Games!O70</f>
        <v>Colorado State</v>
      </c>
      <c r="W39" s="242"/>
      <c r="X39" s="258"/>
      <c r="Y39" s="56"/>
      <c r="AA39" s="25"/>
      <c r="AD39" s="25"/>
      <c r="AE39" s="239">
        <f ca="1">Games!L61</f>
        <v>99</v>
      </c>
      <c r="AF39" s="231" t="e" vm="114">
        <f ca="1">_xlfn.XLOOKUP(AG39,Teams!$C:$C,Teams!$E:$E,,0,1)</f>
        <v>#VALUE!</v>
      </c>
      <c r="AG39" s="242" t="str">
        <f ca="1">Games!O50</f>
        <v>Chicago State</v>
      </c>
      <c r="AH39" s="55"/>
      <c r="AI39" s="51"/>
      <c r="AJ39" s="249">
        <f>IF($AU$5=TRUE,AJ31+1,"")</f>
        <v>45</v>
      </c>
      <c r="AK39" s="59">
        <f ca="1">Games!N29</f>
        <v>97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48"/>
    </row>
    <row r="40" spans="1:43" ht="10.5" customHeight="1" thickBot="1" x14ac:dyDescent="0.35">
      <c r="A40" s="16"/>
      <c r="B40" s="28"/>
      <c r="C40" s="38"/>
      <c r="D40" s="71"/>
      <c r="F40" s="241"/>
      <c r="G40" s="15"/>
      <c r="H40" s="50"/>
      <c r="I40" s="253"/>
      <c r="J40" s="236"/>
      <c r="K40" s="238"/>
      <c r="L40" s="25"/>
      <c r="M40" s="25"/>
      <c r="O40" s="25"/>
      <c r="P40" s="25"/>
      <c r="Q40" s="50"/>
      <c r="R40" s="25"/>
      <c r="S40" s="25"/>
      <c r="T40" s="261"/>
      <c r="U40" s="255"/>
      <c r="V40" s="243"/>
      <c r="W40" s="243"/>
      <c r="X40" s="259"/>
      <c r="Y40" s="56"/>
      <c r="AA40" s="25"/>
      <c r="AD40" s="25"/>
      <c r="AE40" s="240"/>
      <c r="AF40" s="232"/>
      <c r="AG40" s="243"/>
      <c r="AH40" s="56"/>
      <c r="AJ40" s="241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 ca="1">Games!L14</f>
        <v>91</v>
      </c>
      <c r="F41" s="242" t="str">
        <f ca="1">Games!O14</f>
        <v>Baylor</v>
      </c>
      <c r="G41" s="235" t="e" vm="84">
        <f ca="1">_xlfn.XLOOKUP(F41,Teams!$C:$C,Teams!$E:$E,,0,1)</f>
        <v>#VALUE!</v>
      </c>
      <c r="H41" s="245">
        <f ca="1">Games!N42</f>
        <v>116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39">
        <f ca="1">Games!N50</f>
        <v>105</v>
      </c>
      <c r="AI41" s="231" t="e" vm="116">
        <f ca="1">_xlfn.XLOOKUP(AJ41,Teams!$C:$C,Teams!$E:$E,,0,1)</f>
        <v>#VALUE!</v>
      </c>
      <c r="AJ41" s="242" t="str">
        <f ca="1">Games!O30</f>
        <v>Clemson</v>
      </c>
      <c r="AK41" s="58">
        <f ca="1">Games!L30</f>
        <v>116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41">
        <f>IF($AU$5=TRUE,A38+1,"")</f>
        <v>10</v>
      </c>
      <c r="B42" s="28"/>
      <c r="C42" s="38"/>
      <c r="D42" s="71"/>
      <c r="E42" s="49"/>
      <c r="F42" s="243"/>
      <c r="G42" s="236"/>
      <c r="H42" s="246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40"/>
      <c r="AI42" s="232"/>
      <c r="AJ42" s="243"/>
      <c r="AK42" s="55"/>
      <c r="AM42" s="39"/>
      <c r="AN42" s="28"/>
      <c r="AO42" s="248">
        <f>IF($AU$5=TRUE,AO38+1,"")</f>
        <v>26</v>
      </c>
    </row>
    <row r="43" spans="1:43" ht="13.8" customHeight="1" thickBot="1" x14ac:dyDescent="0.35">
      <c r="A43" s="241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 ca="1">Games!N14</f>
        <v>92</v>
      </c>
      <c r="F43" s="24"/>
      <c r="G43" s="24"/>
      <c r="I43" s="241">
        <f>IF($AU$5=TRUE,I27+1,"")</f>
        <v>51</v>
      </c>
      <c r="J43" s="15"/>
      <c r="K43" s="50"/>
      <c r="L43" s="252" t="str">
        <f ca="1">Games!O57</f>
        <v>Baylor</v>
      </c>
      <c r="M43" s="235" t="e" vm="84">
        <f ca="1">_xlfn.XLOOKUP(L43,Teams!$C:$C,Teams!$E:$E,,0,1)</f>
        <v>#VALUE!</v>
      </c>
      <c r="N43" s="237">
        <f ca="1">Games!L65</f>
        <v>91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37">
        <f ca="1">Games!L67</f>
        <v>102</v>
      </c>
      <c r="AC43" s="231" t="e" vm="118">
        <f ca="1">_xlfn.XLOOKUP(AD43,Teams!$C:$C,Teams!$E:$E,,0,1)</f>
        <v>#VALUE!</v>
      </c>
      <c r="AD43" s="250" t="str">
        <f ca="1">Games!O61</f>
        <v>Coastal Carolina</v>
      </c>
      <c r="AE43" s="56"/>
      <c r="AG43" s="241">
        <f>IF($AU$5=TRUE,AG27+1,"")</f>
        <v>55</v>
      </c>
      <c r="AJ43" s="24"/>
      <c r="AK43" s="59">
        <f ca="1">Games!N30</f>
        <v>120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48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41"/>
      <c r="J44" s="15"/>
      <c r="K44" s="50"/>
      <c r="L44" s="253"/>
      <c r="M44" s="236"/>
      <c r="N44" s="238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38"/>
      <c r="AC44" s="232"/>
      <c r="AD44" s="251"/>
      <c r="AE44" s="56"/>
      <c r="AG44" s="241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 ca="1">Games!L15</f>
        <v>99</v>
      </c>
      <c r="F45" s="242" t="str">
        <f ca="1">Games!O15</f>
        <v>Belmont</v>
      </c>
      <c r="G45" s="235" t="e" vm="86">
        <f ca="1">_xlfn.XLOOKUP(F45,Teams!$C:$C,Teams!$E:$E,,0,1)</f>
        <v>#VALUE!</v>
      </c>
      <c r="H45" s="237">
        <f ca="1">Games!L43</f>
        <v>109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37">
        <f ca="1">Games!L51</f>
        <v>103</v>
      </c>
      <c r="AI45" s="231" t="e" vm="118">
        <f ca="1">_xlfn.XLOOKUP(AJ45,Teams!$C:$C,Teams!$E:$E,,0,1)</f>
        <v>#VALUE!</v>
      </c>
      <c r="AJ45" s="242" t="str">
        <f ca="1">Games!O31</f>
        <v>Coastal Carolina</v>
      </c>
      <c r="AK45" s="58">
        <f ca="1">Games!L31</f>
        <v>100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41">
        <f>IF($AU$5=TRUE,A42+1,"")</f>
        <v>11</v>
      </c>
      <c r="B46" s="28"/>
      <c r="C46" s="38"/>
      <c r="D46" s="71"/>
      <c r="E46" s="49"/>
      <c r="F46" s="243"/>
      <c r="G46" s="236"/>
      <c r="H46" s="238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38"/>
      <c r="AI46" s="232"/>
      <c r="AJ46" s="243"/>
      <c r="AK46" s="55"/>
      <c r="AM46" s="39"/>
      <c r="AN46" s="28"/>
      <c r="AO46" s="248">
        <f>IF($AU$5=TRUE,AO42+1,"")</f>
        <v>27</v>
      </c>
    </row>
    <row r="47" spans="1:43" ht="13.8" customHeight="1" thickBot="1" x14ac:dyDescent="0.35">
      <c r="A47" s="241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 ca="1">Games!N15</f>
        <v>109</v>
      </c>
      <c r="F47" s="249">
        <f>IF($AU$5=TRUE,F39+1,"")</f>
        <v>38</v>
      </c>
      <c r="G47" s="14"/>
      <c r="H47" s="49"/>
      <c r="I47" s="252" t="str">
        <f ca="1">Games!O43</f>
        <v>Binghamton</v>
      </c>
      <c r="J47" s="235" t="e" vm="88">
        <f ca="1">_xlfn.XLOOKUP(I47,Teams!$C:$C,Teams!$E:$E,,0,1)</f>
        <v>#VALUE!</v>
      </c>
      <c r="K47" s="245">
        <f ca="1">Games!N57</f>
        <v>94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39">
        <f ca="1">Games!N61</f>
        <v>99</v>
      </c>
      <c r="AF47" s="231" t="e" vm="118">
        <f ca="1">_xlfn.XLOOKUP(AG47,Teams!$C:$C,Teams!$E:$E,,0,1)</f>
        <v>#VALUE!</v>
      </c>
      <c r="AG47" s="242" t="str">
        <f ca="1">Games!O51</f>
        <v>Coastal Carolina</v>
      </c>
      <c r="AH47" s="55"/>
      <c r="AI47" s="51"/>
      <c r="AJ47" s="249">
        <f>IF($AU$5=TRUE,AJ39+1,"")</f>
        <v>46</v>
      </c>
      <c r="AK47" s="59">
        <f ca="1">Games!N31</f>
        <v>106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48"/>
    </row>
    <row r="48" spans="1:43" ht="10.5" customHeight="1" thickBot="1" x14ac:dyDescent="0.35">
      <c r="A48" s="16"/>
      <c r="B48" s="28"/>
      <c r="C48" s="38"/>
      <c r="D48" s="71"/>
      <c r="F48" s="241"/>
      <c r="G48" s="15"/>
      <c r="H48" s="50"/>
      <c r="I48" s="253"/>
      <c r="J48" s="236"/>
      <c r="K48" s="246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40"/>
      <c r="AF48" s="232"/>
      <c r="AG48" s="243"/>
      <c r="AH48" s="56"/>
      <c r="AJ48" s="241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 ca="1">Games!L16</f>
        <v>101</v>
      </c>
      <c r="F49" s="242" t="str">
        <f ca="1">Games!O16</f>
        <v>Binghamton</v>
      </c>
      <c r="G49" s="235" t="e" vm="88">
        <f ca="1">_xlfn.XLOOKUP(F49,Teams!$C:$C,Teams!$E:$E,,0,1)</f>
        <v>#VALUE!</v>
      </c>
      <c r="H49" s="245">
        <f ca="1">Games!N43</f>
        <v>115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39">
        <f ca="1">Games!N51</f>
        <v>98</v>
      </c>
      <c r="AI49" s="231" t="e" vm="119">
        <f ca="1">_xlfn.XLOOKUP(AJ49,Teams!$C:$C,Teams!$E:$E,,0,1)</f>
        <v>#VALUE!</v>
      </c>
      <c r="AJ49" s="242" t="str">
        <f ca="1">Games!O32</f>
        <v>Colgate</v>
      </c>
      <c r="AK49" s="58">
        <f ca="1">Games!L32</f>
        <v>98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41">
        <f>IF($AU$5=TRUE,A46+1,"")</f>
        <v>12</v>
      </c>
      <c r="B50" s="28"/>
      <c r="C50" s="38"/>
      <c r="D50" s="71"/>
      <c r="E50" s="49"/>
      <c r="F50" s="243"/>
      <c r="G50" s="236"/>
      <c r="H50" s="246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40"/>
      <c r="AI50" s="232"/>
      <c r="AJ50" s="243"/>
      <c r="AK50" s="55"/>
      <c r="AM50" s="39"/>
      <c r="AN50" s="28"/>
      <c r="AO50" s="248">
        <f>IF($AU$5=TRUE,AO46+1,"")</f>
        <v>28</v>
      </c>
    </row>
    <row r="51" spans="1:41" ht="13.8" customHeight="1" thickBot="1" x14ac:dyDescent="0.45">
      <c r="A51" s="241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 ca="1">Games!N16</f>
        <v>103</v>
      </c>
      <c r="F51" s="24"/>
      <c r="G51" s="24"/>
      <c r="I51" s="24"/>
      <c r="J51" s="24"/>
      <c r="K51" s="244" t="s">
        <v>4</v>
      </c>
      <c r="L51" s="244"/>
      <c r="M51" s="20"/>
      <c r="N51" s="50"/>
      <c r="O51" s="252" t="str">
        <f ca="1">Games!O65</f>
        <v>Brown</v>
      </c>
      <c r="P51" s="235" t="e" vm="95">
        <f ca="1">_xlfn.XLOOKUP(O51,Teams!$C:$C,Teams!$E:$E,,0,1)</f>
        <v>#VALUE!</v>
      </c>
      <c r="Q51" s="245">
        <f ca="1">Games!N69</f>
        <v>101</v>
      </c>
      <c r="R51" s="25"/>
      <c r="S51" s="25"/>
      <c r="T51" s="25"/>
      <c r="U51" s="75"/>
      <c r="V51" s="25"/>
      <c r="W51" s="25"/>
      <c r="X51" s="25"/>
      <c r="Y51" s="239">
        <f ca="1">Games!N70</f>
        <v>102</v>
      </c>
      <c r="Z51" s="231" t="e" vm="122">
        <f ca="1">_xlfn.XLOOKUP(AA51,Teams!$C:$C,Teams!$E:$E,,0,1)</f>
        <v>#VALUE!</v>
      </c>
      <c r="AA51" s="242" t="str">
        <f ca="1">Games!O67</f>
        <v>Colorado State</v>
      </c>
      <c r="AB51" s="56"/>
      <c r="AD51" s="244" t="s">
        <v>14</v>
      </c>
      <c r="AE51" s="244"/>
      <c r="AF51" s="20"/>
      <c r="AG51" s="24"/>
      <c r="AJ51" s="24"/>
      <c r="AK51" s="59">
        <f ca="1">Games!N32</f>
        <v>93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48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44"/>
      <c r="L52" s="244"/>
      <c r="M52" s="20"/>
      <c r="N52" s="50"/>
      <c r="O52" s="253"/>
      <c r="P52" s="236"/>
      <c r="Q52" s="246"/>
      <c r="R52" s="25"/>
      <c r="S52" s="25"/>
      <c r="T52" s="25"/>
      <c r="U52" s="75"/>
      <c r="V52" s="25"/>
      <c r="W52" s="25"/>
      <c r="X52" s="25"/>
      <c r="Y52" s="240"/>
      <c r="Z52" s="232"/>
      <c r="AA52" s="243"/>
      <c r="AB52" s="56"/>
      <c r="AD52" s="244"/>
      <c r="AE52" s="244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 ca="1">Games!L17</f>
        <v>117</v>
      </c>
      <c r="F53" s="242" t="str">
        <f ca="1">Games!O17</f>
        <v>Boise State</v>
      </c>
      <c r="G53" s="235" t="e" vm="89">
        <f ca="1">_xlfn.XLOOKUP(F53,Teams!$C:$C,Teams!$E:$E,,0,1)</f>
        <v>#VALUE!</v>
      </c>
      <c r="H53" s="237">
        <f ca="1">Games!L44</f>
        <v>110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37">
        <f ca="1">Games!L52</f>
        <v>120</v>
      </c>
      <c r="AI53" s="231" t="e" vm="122">
        <f ca="1">_xlfn.XLOOKUP(AJ53,Teams!$C:$C,Teams!$E:$E,,0,1)</f>
        <v>#VALUE!</v>
      </c>
      <c r="AJ53" s="242" t="str">
        <f ca="1">Games!O33</f>
        <v>Colorado State</v>
      </c>
      <c r="AK53" s="58">
        <f ca="1">Games!L33</f>
        <v>104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41">
        <f>IF($AU$5=TRUE,A50+1,"")</f>
        <v>13</v>
      </c>
      <c r="B54" s="28"/>
      <c r="C54" s="38"/>
      <c r="D54" s="71"/>
      <c r="E54" s="49"/>
      <c r="F54" s="243"/>
      <c r="G54" s="236"/>
      <c r="H54" s="238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38"/>
      <c r="AI54" s="232"/>
      <c r="AJ54" s="243"/>
      <c r="AK54" s="55"/>
      <c r="AM54" s="39"/>
      <c r="AN54" s="28"/>
      <c r="AO54" s="248">
        <f>IF($AU$5=TRUE,AO50+1,"")</f>
        <v>29</v>
      </c>
    </row>
    <row r="55" spans="1:41" ht="13.8" customHeight="1" thickBot="1" x14ac:dyDescent="0.35">
      <c r="A55" s="241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 ca="1">Games!N17</f>
        <v>95</v>
      </c>
      <c r="F55" s="249">
        <f>IF($AU$5=TRUE,F47+1,"")</f>
        <v>39</v>
      </c>
      <c r="G55" s="14"/>
      <c r="H55" s="49"/>
      <c r="I55" s="252" t="str">
        <f ca="1">Games!O44</f>
        <v>Boise State</v>
      </c>
      <c r="J55" s="235" t="e" vm="89">
        <f ca="1">_xlfn.XLOOKUP(I55,Teams!$C:$C,Teams!$E:$E,,0,1)</f>
        <v>#VALUE!</v>
      </c>
      <c r="K55" s="237">
        <f ca="1">Games!L58</f>
        <v>98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37">
        <f ca="1">Games!L62</f>
        <v>115</v>
      </c>
      <c r="AF55" s="231" t="e" vm="122">
        <f ca="1">_xlfn.XLOOKUP(AG55,Teams!$C:$C,Teams!$E:$E,,0,1)</f>
        <v>#VALUE!</v>
      </c>
      <c r="AG55" s="242" t="str">
        <f ca="1">Games!O52</f>
        <v>Colorado State</v>
      </c>
      <c r="AH55" s="55"/>
      <c r="AI55" s="51"/>
      <c r="AJ55" s="249">
        <f>IF($AU$5=TRUE,AJ47+1,"")</f>
        <v>47</v>
      </c>
      <c r="AK55" s="59">
        <f ca="1">Games!N33</f>
        <v>120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48"/>
    </row>
    <row r="56" spans="1:41" ht="10.5" customHeight="1" thickBot="1" x14ac:dyDescent="0.35">
      <c r="A56" s="16"/>
      <c r="B56" s="28"/>
      <c r="C56" s="38"/>
      <c r="D56" s="71"/>
      <c r="F56" s="241"/>
      <c r="G56" s="15"/>
      <c r="H56" s="50"/>
      <c r="I56" s="253"/>
      <c r="J56" s="236"/>
      <c r="K56" s="238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38"/>
      <c r="AF56" s="232"/>
      <c r="AG56" s="243"/>
      <c r="AH56" s="56"/>
      <c r="AJ56" s="241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Boston University</v>
      </c>
      <c r="D57" s="70" t="e" vm="91">
        <f>_xlfn.XLOOKUP(C57,Teams!$C:$C,Teams!$E:$E,,0,1)</f>
        <v>#VALUE!</v>
      </c>
      <c r="E57" s="46">
        <f ca="1">Games!L18</f>
        <v>92</v>
      </c>
      <c r="F57" s="242" t="str">
        <f ca="1">Games!O18</f>
        <v>Bowling Green</v>
      </c>
      <c r="G57" s="235" t="e" vm="92">
        <f ca="1">_xlfn.XLOOKUP(F57,Teams!$C:$C,Teams!$E:$E,,0,1)</f>
        <v>#VALUE!</v>
      </c>
      <c r="H57" s="245">
        <f ca="1">Games!N44</f>
        <v>106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39">
        <f ca="1">Games!N52</f>
        <v>113</v>
      </c>
      <c r="AI57" s="231" t="e" vm="123">
        <f ca="1">_xlfn.XLOOKUP(AJ57,Teams!$C:$C,Teams!$E:$E,,0,1)</f>
        <v>#VALUE!</v>
      </c>
      <c r="AJ57" s="242" t="str">
        <f ca="1">Games!O34</f>
        <v>Columbia</v>
      </c>
      <c r="AK57" s="58">
        <f ca="1">Games!L34</f>
        <v>119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41">
        <f>IF($AU$5=TRUE,A54+1,"")</f>
        <v>14</v>
      </c>
      <c r="B58" s="28"/>
      <c r="C58" s="38"/>
      <c r="D58" s="71"/>
      <c r="E58" s="49"/>
      <c r="F58" s="243"/>
      <c r="G58" s="236"/>
      <c r="H58" s="246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40"/>
      <c r="AI58" s="232"/>
      <c r="AJ58" s="243"/>
      <c r="AK58" s="55"/>
      <c r="AM58" s="39"/>
      <c r="AN58" s="28"/>
      <c r="AO58" s="248">
        <f>IF($AU$5=TRUE,AO54+1,"")</f>
        <v>30</v>
      </c>
    </row>
    <row r="59" spans="1:41" ht="13.8" customHeight="1" thickBot="1" x14ac:dyDescent="0.35">
      <c r="A59" s="241"/>
      <c r="B59" s="27">
        <v>14</v>
      </c>
      <c r="C59" s="36" t="str">
        <f>Games!I18</f>
        <v>Bowling Green</v>
      </c>
      <c r="D59" s="70" t="e" vm="92">
        <f>_xlfn.XLOOKUP(C59,Teams!$C:$C,Teams!$E:$E,,0,1)</f>
        <v>#VALUE!</v>
      </c>
      <c r="E59" s="48">
        <f ca="1">Games!N18</f>
        <v>96</v>
      </c>
      <c r="F59" s="24"/>
      <c r="G59" s="24"/>
      <c r="I59" s="241">
        <f>IF($AU$5=TRUE,I43+1,"")</f>
        <v>52</v>
      </c>
      <c r="J59" s="15"/>
      <c r="K59" s="50"/>
      <c r="L59" s="252" t="str">
        <f ca="1">Games!O58</f>
        <v>Brown</v>
      </c>
      <c r="M59" s="235" t="e" vm="95">
        <f ca="1">_xlfn.XLOOKUP(L59,Teams!$C:$C,Teams!$E:$E,,0,1)</f>
        <v>#VALUE!</v>
      </c>
      <c r="N59" s="245">
        <f ca="1">Games!N65</f>
        <v>104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39">
        <f ca="1">Games!N67</f>
        <v>111</v>
      </c>
      <c r="AC59" s="231" t="e" vm="122">
        <f ca="1">_xlfn.XLOOKUP(AD59,Teams!$C:$C,Teams!$E:$E,,0,1)</f>
        <v>#VALUE!</v>
      </c>
      <c r="AD59" s="242" t="str">
        <f ca="1">Games!O62</f>
        <v>Colorado State</v>
      </c>
      <c r="AE59" s="56"/>
      <c r="AG59" s="241">
        <f>IF($AU$5=TRUE,AG43+1,"")</f>
        <v>56</v>
      </c>
      <c r="AJ59" s="24"/>
      <c r="AK59" s="59">
        <f ca="1">Games!N34</f>
        <v>96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48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41"/>
      <c r="J60" s="15"/>
      <c r="K60" s="50"/>
      <c r="L60" s="253"/>
      <c r="M60" s="236"/>
      <c r="N60" s="246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40"/>
      <c r="AC60" s="232"/>
      <c r="AD60" s="243"/>
      <c r="AE60" s="56"/>
      <c r="AG60" s="241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 ca="1">Games!L19</f>
        <v>93</v>
      </c>
      <c r="F61" s="242" t="str">
        <f ca="1">Games!O19</f>
        <v>Brigham Young</v>
      </c>
      <c r="G61" s="235" t="e" vm="94">
        <f ca="1">_xlfn.XLOOKUP(F61,Teams!$C:$C,Teams!$E:$E,,0,1)</f>
        <v>#VALUE!</v>
      </c>
      <c r="H61" s="237">
        <f ca="1">Games!L45</f>
        <v>92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37">
        <f ca="1">Games!L53</f>
        <v>115</v>
      </c>
      <c r="AI61" s="231" t="e" vm="125">
        <f ca="1">_xlfn.XLOOKUP(AJ61,Teams!$C:$C,Teams!$E:$E,,0,1)</f>
        <v>#VALUE!</v>
      </c>
      <c r="AJ61" s="242" t="str">
        <f ca="1">Games!O35</f>
        <v>Coppin State</v>
      </c>
      <c r="AK61" s="58">
        <f ca="1">Games!L35</f>
        <v>95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41">
        <f>IF($AU$5=TRUE,A58+1,"")</f>
        <v>15</v>
      </c>
      <c r="B62" s="28"/>
      <c r="C62" s="38"/>
      <c r="D62" s="71"/>
      <c r="E62" s="49"/>
      <c r="F62" s="243"/>
      <c r="G62" s="236"/>
      <c r="H62" s="238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38"/>
      <c r="AI62" s="232"/>
      <c r="AJ62" s="243"/>
      <c r="AK62" s="55"/>
      <c r="AM62" s="39"/>
      <c r="AN62" s="28"/>
      <c r="AO62" s="248">
        <f>IF($AU$5=TRUE,AO58+1,"")</f>
        <v>31</v>
      </c>
    </row>
    <row r="63" spans="1:41" ht="13.8" customHeight="1" thickBot="1" x14ac:dyDescent="0.35">
      <c r="A63" s="241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 ca="1">Games!N19</f>
        <v>105</v>
      </c>
      <c r="F63" s="249">
        <f>IF($AU$5=TRUE,F55+1,"")</f>
        <v>40</v>
      </c>
      <c r="G63" s="14"/>
      <c r="H63" s="49"/>
      <c r="I63" s="252" t="str">
        <f ca="1">Games!O45</f>
        <v>Brown</v>
      </c>
      <c r="J63" s="235" t="e" vm="95">
        <f ca="1">_xlfn.XLOOKUP(I63,Teams!$C:$C,Teams!$E:$E,,0,1)</f>
        <v>#VALUE!</v>
      </c>
      <c r="K63" s="245">
        <f ca="1">Games!N58</f>
        <v>118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39">
        <f ca="1">Games!N62</f>
        <v>94</v>
      </c>
      <c r="AF63" s="231" t="e" vm="127">
        <f ca="1">_xlfn.XLOOKUP(AG63,Teams!$C:$C,Teams!$E:$E,,0,1)</f>
        <v>#VALUE!</v>
      </c>
      <c r="AG63" s="242" t="str">
        <f ca="1">Games!O53</f>
        <v>Creighton</v>
      </c>
      <c r="AH63" s="55"/>
      <c r="AI63" s="51"/>
      <c r="AJ63" s="249">
        <f>IF($AU$5=TRUE,AJ55+1,"")</f>
        <v>48</v>
      </c>
      <c r="AK63" s="59">
        <f ca="1">Games!N35</f>
        <v>93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48"/>
    </row>
    <row r="64" spans="1:41" ht="10.5" customHeight="1" thickBot="1" x14ac:dyDescent="0.35">
      <c r="A64" s="16"/>
      <c r="B64" s="28"/>
      <c r="C64" s="38"/>
      <c r="D64" s="71"/>
      <c r="F64" s="241"/>
      <c r="G64" s="15"/>
      <c r="H64" s="50"/>
      <c r="I64" s="253"/>
      <c r="J64" s="236"/>
      <c r="K64" s="246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40"/>
      <c r="AF64" s="232"/>
      <c r="AG64" s="243"/>
      <c r="AH64" s="56"/>
      <c r="AJ64" s="241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 ca="1">Games!L20</f>
        <v>114</v>
      </c>
      <c r="F65" s="242" t="str">
        <f ca="1">Games!O20</f>
        <v>Brown</v>
      </c>
      <c r="G65" s="235" t="e" vm="95">
        <f ca="1">_xlfn.XLOOKUP(F65,Teams!$C:$C,Teams!$E:$E,,0,1)</f>
        <v>#VALUE!</v>
      </c>
      <c r="H65" s="245">
        <f ca="1">Games!N45</f>
        <v>117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39">
        <f ca="1">Games!N53</f>
        <v>119</v>
      </c>
      <c r="AI65" s="231" t="e" vm="127">
        <f ca="1">_xlfn.XLOOKUP(AJ65,Teams!$C:$C,Teams!$E:$E,,0,1)</f>
        <v>#VALUE!</v>
      </c>
      <c r="AJ65" s="242" t="str">
        <f ca="1">Games!O36</f>
        <v>Creighton</v>
      </c>
      <c r="AK65" s="58">
        <f ca="1">Games!L36</f>
        <v>103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41">
        <f>IF($AU$5=TRUE,A62+1,"")</f>
        <v>16</v>
      </c>
      <c r="B66" s="28"/>
      <c r="C66" s="38"/>
      <c r="D66" s="71"/>
      <c r="E66" s="49"/>
      <c r="F66" s="243"/>
      <c r="G66" s="236"/>
      <c r="H66" s="246"/>
      <c r="I66" s="25"/>
      <c r="J66" s="25"/>
      <c r="L66" s="25"/>
      <c r="M66" s="25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D66" s="25"/>
      <c r="AG66" s="24"/>
      <c r="AH66" s="240"/>
      <c r="AI66" s="232"/>
      <c r="AJ66" s="243"/>
      <c r="AK66" s="55"/>
      <c r="AM66" s="39"/>
      <c r="AN66" s="28"/>
      <c r="AO66" s="248">
        <f>IF($AU$5=TRUE,AO62+1,"")</f>
        <v>32</v>
      </c>
    </row>
    <row r="67" spans="1:41" ht="13.8" customHeight="1" thickBot="1" x14ac:dyDescent="0.35">
      <c r="A67" s="241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 ca="1">Games!N20</f>
        <v>101</v>
      </c>
      <c r="F67" s="25"/>
      <c r="G67" s="25"/>
      <c r="I67" s="25"/>
      <c r="J67" s="25"/>
      <c r="L67" s="25"/>
      <c r="M67" s="25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D67" s="25"/>
      <c r="AG67" s="25"/>
      <c r="AJ67" s="24"/>
      <c r="AK67" s="59">
        <f ca="1">Games!N36</f>
        <v>92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48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F13:F14"/>
    <mergeCell ref="H17:H18"/>
    <mergeCell ref="F17:F18"/>
    <mergeCell ref="AF7:AF8"/>
    <mergeCell ref="M11:M12"/>
    <mergeCell ref="AC11:AC12"/>
    <mergeCell ref="T11:V19"/>
    <mergeCell ref="AF15:AF16"/>
    <mergeCell ref="O67:AA67"/>
    <mergeCell ref="O66:AA6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F33:F34"/>
    <mergeCell ref="N11:N12"/>
    <mergeCell ref="F21:F22"/>
    <mergeCell ref="F37:F38"/>
    <mergeCell ref="H37:H38"/>
    <mergeCell ref="I11:I12"/>
    <mergeCell ref="K55:K56"/>
    <mergeCell ref="K51:L52"/>
    <mergeCell ref="S2:W2"/>
    <mergeCell ref="AB11:AB12"/>
    <mergeCell ref="T39:T40"/>
    <mergeCell ref="AB27:AB28"/>
    <mergeCell ref="AA19:AA20"/>
    <mergeCell ref="S32:W33"/>
    <mergeCell ref="Y19:Y20"/>
    <mergeCell ref="S31:W31"/>
    <mergeCell ref="AJ5:AJ6"/>
    <mergeCell ref="AH5:AH6"/>
    <mergeCell ref="AJ9:AJ10"/>
    <mergeCell ref="AH9:AH10"/>
    <mergeCell ref="AJ13:AJ14"/>
    <mergeCell ref="AJ15:AJ16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G39:AG40"/>
    <mergeCell ref="AE63:AE64"/>
    <mergeCell ref="AG63:AG64"/>
    <mergeCell ref="AJ55:AJ56"/>
    <mergeCell ref="AJ63:AJ64"/>
    <mergeCell ref="AJ57:AJ58"/>
    <mergeCell ref="AH65:AH66"/>
    <mergeCell ref="AJ65:AJ66"/>
    <mergeCell ref="AH61:AH62"/>
    <mergeCell ref="A34:A35"/>
    <mergeCell ref="F65:F66"/>
    <mergeCell ref="H65:H66"/>
    <mergeCell ref="L59:L60"/>
    <mergeCell ref="I63:I64"/>
    <mergeCell ref="K63:K64"/>
    <mergeCell ref="I59:I60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O6:AO7"/>
    <mergeCell ref="AO10:AO11"/>
    <mergeCell ref="AO14:AO15"/>
    <mergeCell ref="AO18:AO19"/>
    <mergeCell ref="AO22:AO23"/>
    <mergeCell ref="A26:A27"/>
    <mergeCell ref="A30:A31"/>
    <mergeCell ref="O19:O20"/>
    <mergeCell ref="N27:N28"/>
    <mergeCell ref="F29:F30"/>
    <mergeCell ref="H29:H30"/>
    <mergeCell ref="F25:F26"/>
    <mergeCell ref="H25:H26"/>
    <mergeCell ref="L27:L28"/>
    <mergeCell ref="G21:G22"/>
    <mergeCell ref="G17:G18"/>
    <mergeCell ref="G13:G14"/>
    <mergeCell ref="K23:K24"/>
    <mergeCell ref="K31:K32"/>
    <mergeCell ref="H21:H22"/>
    <mergeCell ref="K19:L20"/>
    <mergeCell ref="I23:I24"/>
    <mergeCell ref="I31:I32"/>
    <mergeCell ref="I27:I28"/>
    <mergeCell ref="A62:A63"/>
    <mergeCell ref="A50:A51"/>
    <mergeCell ref="A54:A55"/>
    <mergeCell ref="A6:A7"/>
    <mergeCell ref="A10:A11"/>
    <mergeCell ref="A14:A15"/>
    <mergeCell ref="A18:A19"/>
    <mergeCell ref="A21:A22"/>
    <mergeCell ref="A66:A67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K47:K48"/>
    <mergeCell ref="L43:L44"/>
    <mergeCell ref="K39:K40"/>
    <mergeCell ref="G37:G38"/>
    <mergeCell ref="G33:G34"/>
    <mergeCell ref="G29:G30"/>
    <mergeCell ref="AC59:AC60"/>
    <mergeCell ref="AC43:AC44"/>
    <mergeCell ref="AC27:AC28"/>
    <mergeCell ref="V27:V28"/>
    <mergeCell ref="R27:T28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AQ3:AQ11"/>
    <mergeCell ref="AQ14:AQ19"/>
    <mergeCell ref="AQ22:AQ27"/>
    <mergeCell ref="AQ34:AQ37"/>
    <mergeCell ref="Y51:Y52"/>
    <mergeCell ref="AB59:AB60"/>
    <mergeCell ref="Q51:Q52"/>
    <mergeCell ref="AH45:AH46"/>
    <mergeCell ref="AE47:AE48"/>
    <mergeCell ref="AG59:AG60"/>
    <mergeCell ref="AG55:AG56"/>
    <mergeCell ref="AH57:AH58"/>
    <mergeCell ref="AO50:AO51"/>
    <mergeCell ref="AO54:AO55"/>
    <mergeCell ref="AO58:AO59"/>
    <mergeCell ref="AO38:AO39"/>
    <mergeCell ref="AO42:AO43"/>
    <mergeCell ref="AO46:AO47"/>
    <mergeCell ref="AJ31:AJ32"/>
    <mergeCell ref="AJ41:AJ42"/>
    <mergeCell ref="AJ39:AJ40"/>
    <mergeCell ref="AH41:AH42"/>
    <mergeCell ref="AH37:AH38"/>
    <mergeCell ref="AJ25:AJ26"/>
    <mergeCell ref="G65:G66"/>
    <mergeCell ref="G61:G62"/>
    <mergeCell ref="G57:G58"/>
    <mergeCell ref="G53:G54"/>
    <mergeCell ref="G49:G50"/>
    <mergeCell ref="G45:G46"/>
    <mergeCell ref="G41:G42"/>
    <mergeCell ref="H41:H42"/>
    <mergeCell ref="M43:M44"/>
    <mergeCell ref="AH25:AH26"/>
    <mergeCell ref="AH33:AH34"/>
    <mergeCell ref="AG43:AG44"/>
    <mergeCell ref="AF39:AF40"/>
    <mergeCell ref="AF31:AF32"/>
    <mergeCell ref="AF23:AF24"/>
    <mergeCell ref="G9:G10"/>
    <mergeCell ref="M59:M60"/>
    <mergeCell ref="J63:J64"/>
    <mergeCell ref="N59:N60"/>
    <mergeCell ref="AD27:AD28"/>
    <mergeCell ref="AD59:AD60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U27:U28"/>
    <mergeCell ref="P51:P52"/>
    <mergeCell ref="Z51:Z52"/>
    <mergeCell ref="G5:G6"/>
    <mergeCell ref="J7:J8"/>
    <mergeCell ref="J15:J16"/>
    <mergeCell ref="J23:J24"/>
    <mergeCell ref="J31:J32"/>
    <mergeCell ref="J39:J40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M27:M28"/>
    <mergeCell ref="AG7:AG8"/>
    <mergeCell ref="V39:X40"/>
    <mergeCell ref="G25:G26"/>
    <mergeCell ref="H13:H14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AI41:AI42"/>
    <mergeCell ref="AI45:AI46"/>
    <mergeCell ref="AI49:AI50"/>
    <mergeCell ref="AI53:AI54"/>
    <mergeCell ref="AI57:AI58"/>
    <mergeCell ref="AI61:AI62"/>
    <mergeCell ref="AI65:AI66"/>
    <mergeCell ref="AF63:AF64"/>
    <mergeCell ref="AF55:AF56"/>
    <mergeCell ref="AF47:AF4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Team_Links</vt:lpstr>
      <vt:lpstr>2024 Roster (Wikipedia)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2025-12-28T21:46:35Z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